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H:\96_Development\OPT3001\"/>
    </mc:Choice>
  </mc:AlternateContent>
  <xr:revisionPtr revIDLastSave="0" documentId="8_{DA520EE7-CF2D-435A-821F-F323BA98882A}" xr6:coauthVersionLast="47" xr6:coauthVersionMax="47" xr10:uidLastSave="{00000000-0000-0000-0000-000000000000}"/>
  <bookViews>
    <workbookView xWindow="13272" yWindow="2220" windowWidth="21972" windowHeight="22368" xr2:uid="{00000000-000D-0000-FFFF-FFFF00000000}"/>
  </bookViews>
  <sheets>
    <sheet name="Overview" sheetId="1" r:id="rId1"/>
    <sheet name="Input" sheetId="3" r:id="rId2"/>
    <sheet name="Code gen" sheetId="4" r:id="rId3"/>
    <sheet name="LUX calc" sheetId="5" r:id="rId4"/>
  </sheets>
  <functionGroups builtInGroupCount="19"/>
  <calcPr calcId="181029"/>
  <fileRecoveryPr repairLoad="1"/>
</workbook>
</file>

<file path=xl/calcChain.xml><?xml version="1.0" encoding="utf-8"?>
<calcChain xmlns="http://schemas.openxmlformats.org/spreadsheetml/2006/main">
  <c r="I259" i="3" l="1"/>
  <c r="I258" i="3"/>
  <c r="I257" i="3"/>
  <c r="I256" i="3"/>
  <c r="I255" i="3"/>
  <c r="I254" i="3"/>
  <c r="I253" i="3"/>
  <c r="I252" i="3"/>
  <c r="I251" i="3"/>
  <c r="I250" i="3"/>
  <c r="I249" i="3"/>
  <c r="I248" i="3"/>
  <c r="I247" i="3"/>
  <c r="I246" i="3"/>
  <c r="I245" i="3"/>
  <c r="I244" i="3"/>
  <c r="I243" i="3"/>
  <c r="I242" i="3"/>
  <c r="I241" i="3"/>
  <c r="I240" i="3"/>
  <c r="I239" i="3"/>
  <c r="I238" i="3"/>
  <c r="I237" i="3"/>
  <c r="I236" i="3"/>
  <c r="I235" i="3"/>
  <c r="I234" i="3"/>
  <c r="I233" i="3"/>
  <c r="I232" i="3"/>
  <c r="I231" i="3"/>
  <c r="I230" i="3"/>
  <c r="I229" i="3"/>
  <c r="I228" i="3"/>
  <c r="I227" i="3"/>
  <c r="I226" i="3"/>
  <c r="I225" i="3"/>
  <c r="I224" i="3"/>
  <c r="I223" i="3"/>
  <c r="I222" i="3"/>
  <c r="I221" i="3"/>
  <c r="I220" i="3"/>
  <c r="I219" i="3"/>
  <c r="I218" i="3"/>
  <c r="I217" i="3"/>
  <c r="I216" i="3"/>
  <c r="I215" i="3"/>
  <c r="I214" i="3"/>
  <c r="I213" i="3"/>
  <c r="I212" i="3"/>
  <c r="I211" i="3"/>
  <c r="I210" i="3"/>
  <c r="I209" i="3"/>
  <c r="I208" i="3"/>
  <c r="I207" i="3"/>
  <c r="I206" i="3"/>
  <c r="I205" i="3"/>
  <c r="I204" i="3"/>
  <c r="I203" i="3"/>
  <c r="I202" i="3"/>
  <c r="I201" i="3"/>
  <c r="I200" i="3"/>
  <c r="I199" i="3"/>
  <c r="I198" i="3"/>
  <c r="I197" i="3"/>
  <c r="I196" i="3"/>
  <c r="I195" i="3"/>
  <c r="I194" i="3"/>
  <c r="I193" i="3"/>
  <c r="I192" i="3"/>
  <c r="I191" i="3"/>
  <c r="I190" i="3"/>
  <c r="I189" i="3"/>
  <c r="I188" i="3"/>
  <c r="I187" i="3"/>
  <c r="I186" i="3"/>
  <c r="I185" i="3"/>
  <c r="I184" i="3"/>
  <c r="I183" i="3"/>
  <c r="I182" i="3"/>
  <c r="I181" i="3"/>
  <c r="I180" i="3"/>
  <c r="I179" i="3"/>
  <c r="I178" i="3"/>
  <c r="I177" i="3"/>
  <c r="I176" i="3"/>
  <c r="I175" i="3"/>
  <c r="I174" i="3"/>
  <c r="I173" i="3"/>
  <c r="I172" i="3"/>
  <c r="I171" i="3"/>
  <c r="I170" i="3"/>
  <c r="I169" i="3"/>
  <c r="I168" i="3"/>
  <c r="I167" i="3"/>
  <c r="I166" i="3"/>
  <c r="I165" i="3"/>
  <c r="I164" i="3"/>
  <c r="I163" i="3"/>
  <c r="I162" i="3"/>
  <c r="I161" i="3"/>
  <c r="I160" i="3"/>
  <c r="I159" i="3"/>
  <c r="I158" i="3"/>
  <c r="I157" i="3"/>
  <c r="I156" i="3"/>
  <c r="I155" i="3"/>
  <c r="I154" i="3"/>
  <c r="I153" i="3"/>
  <c r="I152" i="3"/>
  <c r="I151" i="3"/>
  <c r="I150" i="3"/>
  <c r="I149" i="3"/>
  <c r="I148" i="3"/>
  <c r="I147" i="3"/>
  <c r="I146" i="3"/>
  <c r="I145" i="3"/>
  <c r="I144" i="3"/>
  <c r="I143" i="3"/>
  <c r="I142" i="3"/>
  <c r="I141" i="3"/>
  <c r="I140" i="3"/>
  <c r="I139" i="3"/>
  <c r="I138" i="3"/>
  <c r="I137" i="3"/>
  <c r="I136" i="3"/>
  <c r="I135" i="3"/>
  <c r="I134" i="3"/>
  <c r="I133" i="3"/>
  <c r="I132" i="3"/>
  <c r="I131" i="3"/>
  <c r="I130" i="3"/>
  <c r="I129" i="3"/>
  <c r="I128" i="3"/>
  <c r="I127" i="3"/>
  <c r="I126" i="3"/>
  <c r="I125" i="3"/>
  <c r="I124" i="3"/>
  <c r="I123" i="3"/>
  <c r="I122" i="3"/>
  <c r="I121" i="3"/>
  <c r="I120" i="3"/>
  <c r="I119" i="3"/>
  <c r="I118" i="3"/>
  <c r="I117" i="3"/>
  <c r="I116" i="3"/>
  <c r="I115" i="3"/>
  <c r="I114" i="3"/>
  <c r="I113" i="3"/>
  <c r="I112" i="3"/>
  <c r="I111" i="3"/>
  <c r="I110" i="3"/>
  <c r="I109" i="3"/>
  <c r="I108" i="3"/>
  <c r="I107" i="3"/>
  <c r="I106" i="3"/>
  <c r="I105" i="3"/>
  <c r="I104" i="3"/>
  <c r="I103" i="3"/>
  <c r="I102" i="3"/>
  <c r="I101" i="3"/>
  <c r="I100" i="3"/>
  <c r="I99" i="3"/>
  <c r="I98" i="3"/>
  <c r="I97" i="3"/>
  <c r="I96" i="3"/>
  <c r="I95" i="3"/>
  <c r="I94" i="3"/>
  <c r="I93" i="3"/>
  <c r="I92" i="3"/>
  <c r="I91" i="3"/>
  <c r="I90" i="3"/>
  <c r="I89" i="3"/>
  <c r="I88" i="3"/>
  <c r="I87" i="3"/>
  <c r="I86" i="3"/>
  <c r="I85" i="3"/>
  <c r="I84" i="3"/>
  <c r="I83" i="3"/>
  <c r="I82" i="3"/>
  <c r="I81" i="3"/>
  <c r="I80" i="3"/>
  <c r="I79" i="3"/>
  <c r="I78" i="3"/>
  <c r="I77" i="3"/>
  <c r="I76" i="3"/>
  <c r="I75" i="3"/>
  <c r="I74" i="3"/>
  <c r="I73" i="3"/>
  <c r="I72" i="3"/>
  <c r="I71" i="3"/>
  <c r="I70" i="3"/>
  <c r="I69" i="3"/>
  <c r="I68" i="3"/>
  <c r="I67" i="3"/>
  <c r="I66" i="3"/>
  <c r="I65" i="3"/>
  <c r="I64" i="3"/>
  <c r="I63" i="3"/>
  <c r="I62" i="3"/>
  <c r="I61" i="3"/>
  <c r="I60" i="3"/>
  <c r="I59" i="3"/>
  <c r="I58" i="3"/>
  <c r="I57" i="3"/>
  <c r="I56" i="3"/>
  <c r="I55" i="3"/>
  <c r="I54" i="3"/>
  <c r="I53" i="3"/>
  <c r="I52" i="3"/>
  <c r="I51" i="3"/>
  <c r="I50" i="3"/>
  <c r="I49" i="3"/>
  <c r="I48" i="3"/>
  <c r="I47" i="3"/>
  <c r="I46" i="3"/>
  <c r="I45" i="3"/>
  <c r="I44" i="3"/>
  <c r="I43" i="3"/>
  <c r="I42" i="3"/>
  <c r="I41" i="3"/>
  <c r="I40" i="3"/>
  <c r="I39" i="3"/>
  <c r="I38" i="3"/>
  <c r="I37" i="3"/>
  <c r="I36" i="3"/>
  <c r="I35" i="3"/>
  <c r="I34" i="3"/>
  <c r="I33" i="3"/>
  <c r="I32" i="3"/>
  <c r="I31" i="3"/>
  <c r="I30" i="3"/>
  <c r="I29" i="3"/>
  <c r="I28" i="3"/>
  <c r="I27" i="3"/>
  <c r="I26" i="3"/>
  <c r="I25" i="3"/>
  <c r="I24" i="3"/>
  <c r="I23" i="3"/>
  <c r="I22" i="3"/>
  <c r="I21" i="3"/>
  <c r="I20" i="3"/>
  <c r="I19" i="3"/>
  <c r="I18" i="3"/>
  <c r="I17" i="3"/>
  <c r="I16" i="3"/>
  <c r="I15" i="3"/>
  <c r="I14" i="3"/>
  <c r="I13" i="3"/>
  <c r="I12" i="3"/>
  <c r="I11" i="3"/>
  <c r="I10" i="3"/>
  <c r="I9" i="3"/>
  <c r="I8" i="3"/>
  <c r="I7" i="3"/>
  <c r="I6" i="3"/>
  <c r="I5" i="3"/>
  <c r="I4" i="3"/>
  <c r="C11" i="1"/>
  <c r="C4" i="1"/>
  <c r="M12" i="4"/>
  <c r="C36" i="1"/>
  <c r="C20" i="1"/>
  <c r="C8" i="1"/>
  <c r="J6" i="4"/>
  <c r="K5" i="4"/>
  <c r="J5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4" i="4"/>
  <c r="E5" i="4"/>
  <c r="E6" i="4"/>
  <c r="E7" i="4"/>
  <c r="E8" i="4"/>
  <c r="E9" i="4"/>
  <c r="E10" i="4"/>
  <c r="E11" i="4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50" i="4"/>
  <c r="E51" i="4"/>
  <c r="E52" i="4"/>
  <c r="E53" i="4"/>
  <c r="E54" i="4"/>
  <c r="E55" i="4"/>
  <c r="E56" i="4"/>
  <c r="E57" i="4"/>
  <c r="E58" i="4"/>
  <c r="E59" i="4"/>
  <c r="E60" i="4"/>
  <c r="E61" i="4"/>
  <c r="E62" i="4"/>
  <c r="E63" i="4"/>
  <c r="E64" i="4"/>
  <c r="E65" i="4"/>
  <c r="E66" i="4"/>
  <c r="E67" i="4"/>
  <c r="E68" i="4"/>
  <c r="E69" i="4"/>
  <c r="E70" i="4"/>
  <c r="E71" i="4"/>
  <c r="E72" i="4"/>
  <c r="E73" i="4"/>
  <c r="E74" i="4"/>
  <c r="E75" i="4"/>
  <c r="E76" i="4"/>
  <c r="E77" i="4"/>
  <c r="E78" i="4"/>
  <c r="E79" i="4"/>
  <c r="E80" i="4"/>
  <c r="E81" i="4"/>
  <c r="E82" i="4"/>
  <c r="E83" i="4"/>
  <c r="E84" i="4"/>
  <c r="E85" i="4"/>
  <c r="E86" i="4"/>
  <c r="E87" i="4"/>
  <c r="E88" i="4"/>
  <c r="E89" i="4"/>
  <c r="E90" i="4"/>
  <c r="E91" i="4"/>
  <c r="E92" i="4"/>
  <c r="E93" i="4"/>
  <c r="E94" i="4"/>
  <c r="E95" i="4"/>
  <c r="E96" i="4"/>
  <c r="E97" i="4"/>
  <c r="E98" i="4"/>
  <c r="E99" i="4"/>
  <c r="E100" i="4"/>
  <c r="E101" i="4"/>
  <c r="E102" i="4"/>
  <c r="E103" i="4"/>
  <c r="E104" i="4"/>
  <c r="E105" i="4"/>
  <c r="E106" i="4"/>
  <c r="E107" i="4"/>
  <c r="E108" i="4"/>
  <c r="E109" i="4"/>
  <c r="E110" i="4"/>
  <c r="E111" i="4"/>
  <c r="E112" i="4"/>
  <c r="E113" i="4"/>
  <c r="E114" i="4"/>
  <c r="E115" i="4"/>
  <c r="E116" i="4"/>
  <c r="E117" i="4"/>
  <c r="E118" i="4"/>
  <c r="E119" i="4"/>
  <c r="E120" i="4"/>
  <c r="E121" i="4"/>
  <c r="E122" i="4"/>
  <c r="E123" i="4"/>
  <c r="E124" i="4"/>
  <c r="E125" i="4"/>
  <c r="E126" i="4"/>
  <c r="E127" i="4"/>
  <c r="E128" i="4"/>
  <c r="E129" i="4"/>
  <c r="E4" i="4"/>
  <c r="L9" i="5"/>
  <c r="L10" i="5"/>
  <c r="L11" i="5"/>
  <c r="L12" i="5"/>
  <c r="L13" i="5"/>
  <c r="L14" i="5"/>
  <c r="L15" i="5"/>
  <c r="L16" i="5"/>
  <c r="L17" i="5"/>
  <c r="L18" i="5"/>
  <c r="L19" i="5"/>
  <c r="C112" i="1"/>
  <c r="C108" i="1"/>
  <c r="C88" i="1"/>
  <c r="C84" i="1"/>
  <c r="C64" i="1"/>
  <c r="C60" i="1"/>
  <c r="C48" i="1"/>
  <c r="C44" i="1"/>
  <c r="C40" i="1"/>
  <c r="C28" i="1"/>
  <c r="C16" i="1"/>
  <c r="C12" i="1"/>
  <c r="I8" i="5"/>
  <c r="L8" i="5" s="1"/>
  <c r="J8" i="5"/>
  <c r="I9" i="5"/>
  <c r="J9" i="5"/>
  <c r="I10" i="5"/>
  <c r="J10" i="5"/>
  <c r="I11" i="5"/>
  <c r="J11" i="5"/>
  <c r="I12" i="5"/>
  <c r="J12" i="5"/>
  <c r="I13" i="5"/>
  <c r="J13" i="5"/>
  <c r="I14" i="5"/>
  <c r="J14" i="5"/>
  <c r="I15" i="5"/>
  <c r="J15" i="5"/>
  <c r="I16" i="5"/>
  <c r="J16" i="5"/>
  <c r="I17" i="5"/>
  <c r="J17" i="5"/>
  <c r="I18" i="5"/>
  <c r="J18" i="5"/>
  <c r="I19" i="5"/>
  <c r="J19" i="5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D38" i="4"/>
  <c r="D39" i="4"/>
  <c r="D40" i="4"/>
  <c r="D41" i="4"/>
  <c r="D42" i="4"/>
  <c r="D43" i="4"/>
  <c r="D44" i="4"/>
  <c r="D45" i="4"/>
  <c r="D46" i="4"/>
  <c r="D47" i="4"/>
  <c r="D48" i="4"/>
  <c r="D49" i="4"/>
  <c r="D50" i="4"/>
  <c r="D51" i="4"/>
  <c r="D52" i="4"/>
  <c r="D53" i="4"/>
  <c r="D54" i="4"/>
  <c r="D55" i="4"/>
  <c r="D56" i="4"/>
  <c r="D57" i="4"/>
  <c r="D58" i="4"/>
  <c r="D59" i="4"/>
  <c r="D60" i="4"/>
  <c r="D61" i="4"/>
  <c r="D62" i="4"/>
  <c r="D63" i="4"/>
  <c r="D64" i="4"/>
  <c r="D65" i="4"/>
  <c r="D66" i="4"/>
  <c r="D67" i="4"/>
  <c r="D68" i="4"/>
  <c r="D69" i="4"/>
  <c r="D70" i="4"/>
  <c r="D71" i="4"/>
  <c r="D72" i="4"/>
  <c r="D73" i="4"/>
  <c r="D74" i="4"/>
  <c r="D75" i="4"/>
  <c r="D76" i="4"/>
  <c r="D77" i="4"/>
  <c r="D78" i="4"/>
  <c r="D79" i="4"/>
  <c r="D80" i="4"/>
  <c r="D81" i="4"/>
  <c r="D82" i="4"/>
  <c r="D83" i="4"/>
  <c r="D84" i="4"/>
  <c r="D85" i="4"/>
  <c r="D86" i="4"/>
  <c r="D87" i="4"/>
  <c r="D88" i="4"/>
  <c r="D89" i="4"/>
  <c r="D90" i="4"/>
  <c r="D91" i="4"/>
  <c r="D92" i="4"/>
  <c r="D93" i="4"/>
  <c r="D94" i="4"/>
  <c r="D95" i="4"/>
  <c r="D96" i="4"/>
  <c r="D97" i="4"/>
  <c r="D98" i="4"/>
  <c r="D99" i="4"/>
  <c r="D100" i="4"/>
  <c r="D101" i="4"/>
  <c r="D102" i="4"/>
  <c r="D103" i="4"/>
  <c r="D104" i="4"/>
  <c r="D105" i="4"/>
  <c r="D106" i="4"/>
  <c r="D107" i="4"/>
  <c r="D108" i="4"/>
  <c r="D109" i="4"/>
  <c r="D110" i="4"/>
  <c r="D111" i="4"/>
  <c r="D112" i="4"/>
  <c r="D113" i="4"/>
  <c r="D114" i="4"/>
  <c r="D115" i="4"/>
  <c r="D116" i="4"/>
  <c r="D117" i="4"/>
  <c r="D118" i="4"/>
  <c r="D119" i="4"/>
  <c r="D120" i="4"/>
  <c r="D121" i="4"/>
  <c r="D122" i="4"/>
  <c r="D123" i="4"/>
  <c r="D124" i="4"/>
  <c r="D125" i="4"/>
  <c r="D126" i="4"/>
  <c r="D127" i="4"/>
  <c r="D128" i="4"/>
  <c r="D129" i="4"/>
  <c r="D130" i="4"/>
  <c r="D131" i="4"/>
  <c r="D132" i="4"/>
  <c r="D133" i="4"/>
  <c r="D134" i="4"/>
  <c r="D135" i="4"/>
  <c r="D136" i="4"/>
  <c r="D137" i="4"/>
  <c r="D138" i="4"/>
  <c r="D139" i="4"/>
  <c r="D140" i="4"/>
  <c r="D141" i="4"/>
  <c r="D142" i="4"/>
  <c r="D143" i="4"/>
  <c r="D144" i="4"/>
  <c r="D145" i="4"/>
  <c r="D146" i="4"/>
  <c r="D147" i="4"/>
  <c r="D148" i="4"/>
  <c r="D149" i="4"/>
  <c r="D150" i="4"/>
  <c r="D151" i="4"/>
  <c r="D152" i="4"/>
  <c r="D153" i="4"/>
  <c r="D154" i="4"/>
  <c r="D155" i="4"/>
  <c r="D156" i="4"/>
  <c r="D157" i="4"/>
  <c r="D158" i="4"/>
  <c r="D159" i="4"/>
  <c r="D160" i="4"/>
  <c r="D161" i="4"/>
  <c r="D162" i="4"/>
  <c r="D163" i="4"/>
  <c r="D164" i="4"/>
  <c r="D165" i="4"/>
  <c r="D166" i="4"/>
  <c r="D167" i="4"/>
  <c r="D168" i="4"/>
  <c r="D169" i="4"/>
  <c r="D170" i="4"/>
  <c r="D171" i="4"/>
  <c r="D172" i="4"/>
  <c r="D173" i="4"/>
  <c r="D174" i="4"/>
  <c r="D175" i="4"/>
  <c r="D176" i="4"/>
  <c r="D177" i="4"/>
  <c r="D178" i="4"/>
  <c r="D179" i="4"/>
  <c r="D180" i="4"/>
  <c r="D181" i="4"/>
  <c r="D182" i="4"/>
  <c r="D183" i="4"/>
  <c r="D184" i="4"/>
  <c r="D185" i="4"/>
  <c r="D186" i="4"/>
  <c r="D187" i="4"/>
  <c r="D188" i="4"/>
  <c r="D189" i="4"/>
  <c r="D190" i="4"/>
  <c r="D191" i="4"/>
  <c r="D192" i="4"/>
  <c r="D193" i="4"/>
  <c r="D194" i="4"/>
  <c r="D195" i="4"/>
  <c r="D196" i="4"/>
  <c r="D197" i="4"/>
  <c r="D198" i="4"/>
  <c r="D199" i="4"/>
  <c r="D200" i="4"/>
  <c r="D201" i="4"/>
  <c r="D202" i="4"/>
  <c r="D203" i="4"/>
  <c r="D204" i="4"/>
  <c r="D205" i="4"/>
  <c r="D206" i="4"/>
  <c r="D207" i="4"/>
  <c r="D208" i="4"/>
  <c r="D209" i="4"/>
  <c r="D210" i="4"/>
  <c r="D211" i="4"/>
  <c r="D212" i="4"/>
  <c r="D213" i="4"/>
  <c r="D214" i="4"/>
  <c r="D215" i="4"/>
  <c r="D216" i="4"/>
  <c r="D217" i="4"/>
  <c r="D218" i="4"/>
  <c r="D219" i="4"/>
  <c r="D220" i="4"/>
  <c r="D221" i="4"/>
  <c r="D222" i="4"/>
  <c r="D223" i="4"/>
  <c r="D224" i="4"/>
  <c r="D225" i="4"/>
  <c r="D226" i="4"/>
  <c r="D227" i="4"/>
  <c r="D228" i="4"/>
  <c r="D229" i="4"/>
  <c r="D230" i="4"/>
  <c r="D231" i="4"/>
  <c r="D232" i="4"/>
  <c r="D233" i="4"/>
  <c r="D234" i="4"/>
  <c r="D235" i="4"/>
  <c r="D236" i="4"/>
  <c r="D237" i="4"/>
  <c r="D238" i="4"/>
  <c r="D239" i="4"/>
  <c r="D240" i="4"/>
  <c r="D241" i="4"/>
  <c r="D242" i="4"/>
  <c r="D243" i="4"/>
  <c r="D244" i="4"/>
  <c r="D245" i="4"/>
  <c r="D246" i="4"/>
  <c r="D247" i="4"/>
  <c r="D248" i="4"/>
  <c r="D249" i="4"/>
  <c r="D250" i="4"/>
  <c r="D251" i="4"/>
  <c r="D252" i="4"/>
  <c r="D253" i="4"/>
  <c r="D254" i="4"/>
  <c r="D255" i="4"/>
  <c r="D256" i="4"/>
  <c r="D257" i="4"/>
  <c r="D258" i="4"/>
  <c r="D259" i="4"/>
  <c r="D4" i="4"/>
  <c r="C4" i="4"/>
  <c r="F5" i="1"/>
  <c r="C5" i="4" s="1"/>
  <c r="C239" i="1"/>
  <c r="C240" i="1"/>
  <c r="C32" i="1"/>
  <c r="C52" i="1"/>
  <c r="C56" i="1"/>
  <c r="C76" i="1"/>
  <c r="C80" i="1"/>
  <c r="C96" i="1"/>
  <c r="C104" i="1"/>
  <c r="C120" i="1"/>
  <c r="C124" i="1"/>
  <c r="C128" i="1"/>
  <c r="C132" i="1"/>
  <c r="C140" i="1"/>
  <c r="C144" i="1"/>
  <c r="C148" i="1"/>
  <c r="C152" i="1"/>
  <c r="C156" i="1"/>
  <c r="C160" i="1"/>
  <c r="C164" i="1"/>
  <c r="C168" i="1"/>
  <c r="C172" i="1"/>
  <c r="C176" i="1"/>
  <c r="C180" i="1"/>
  <c r="C184" i="1"/>
  <c r="C188" i="1"/>
  <c r="C192" i="1"/>
  <c r="C196" i="1"/>
  <c r="C200" i="1"/>
  <c r="C204" i="1"/>
  <c r="C208" i="1"/>
  <c r="C212" i="1"/>
  <c r="C216" i="1"/>
  <c r="C220" i="1"/>
  <c r="C224" i="1"/>
  <c r="C228" i="1"/>
  <c r="C232" i="1"/>
  <c r="C236" i="1"/>
  <c r="C244" i="1"/>
  <c r="C248" i="1"/>
  <c r="C252" i="1"/>
  <c r="C256" i="1"/>
  <c r="C24" i="1"/>
  <c r="C68" i="1"/>
  <c r="C92" i="1"/>
  <c r="C116" i="1"/>
  <c r="C136" i="1"/>
  <c r="C6" i="1"/>
  <c r="C10" i="1"/>
  <c r="C18" i="1"/>
  <c r="C26" i="1"/>
  <c r="C33" i="1"/>
  <c r="C34" i="1"/>
  <c r="C42" i="1"/>
  <c r="C43" i="1"/>
  <c r="C46" i="1"/>
  <c r="C50" i="1"/>
  <c r="C54" i="1"/>
  <c r="C57" i="1"/>
  <c r="C58" i="1"/>
  <c r="C62" i="1"/>
  <c r="C69" i="1"/>
  <c r="C70" i="1"/>
  <c r="C72" i="1"/>
  <c r="C74" i="1"/>
  <c r="C78" i="1"/>
  <c r="C86" i="1"/>
  <c r="C89" i="1"/>
  <c r="C90" i="1"/>
  <c r="C94" i="1"/>
  <c r="C100" i="1"/>
  <c r="C102" i="1"/>
  <c r="C106" i="1"/>
  <c r="C110" i="1"/>
  <c r="C113" i="1"/>
  <c r="C118" i="1"/>
  <c r="C122" i="1"/>
  <c r="C126" i="1"/>
  <c r="C127" i="1"/>
  <c r="C129" i="1"/>
  <c r="C134" i="1"/>
  <c r="C138" i="1"/>
  <c r="C141" i="1"/>
  <c r="C145" i="1"/>
  <c r="C146" i="1"/>
  <c r="C150" i="1"/>
  <c r="C154" i="1"/>
  <c r="C158" i="1"/>
  <c r="C159" i="1"/>
  <c r="C161" i="1"/>
  <c r="C162" i="1"/>
  <c r="C163" i="1"/>
  <c r="C165" i="1"/>
  <c r="C166" i="1"/>
  <c r="C167" i="1"/>
  <c r="C169" i="1"/>
  <c r="C170" i="1"/>
  <c r="C171" i="1"/>
  <c r="C173" i="1"/>
  <c r="C174" i="1"/>
  <c r="C175" i="1"/>
  <c r="C177" i="1"/>
  <c r="C178" i="1"/>
  <c r="C179" i="1"/>
  <c r="C181" i="1"/>
  <c r="C182" i="1"/>
  <c r="C183" i="1"/>
  <c r="C185" i="1"/>
  <c r="C186" i="1"/>
  <c r="C187" i="1"/>
  <c r="C189" i="1"/>
  <c r="C190" i="1"/>
  <c r="C191" i="1"/>
  <c r="C193" i="1"/>
  <c r="C194" i="1"/>
  <c r="C195" i="1"/>
  <c r="C197" i="1"/>
  <c r="C198" i="1"/>
  <c r="C199" i="1"/>
  <c r="C201" i="1"/>
  <c r="C202" i="1"/>
  <c r="C203" i="1"/>
  <c r="C205" i="1"/>
  <c r="C206" i="1"/>
  <c r="C207" i="1"/>
  <c r="C209" i="1"/>
  <c r="C210" i="1"/>
  <c r="C211" i="1"/>
  <c r="C213" i="1"/>
  <c r="C214" i="1"/>
  <c r="C215" i="1"/>
  <c r="C217" i="1"/>
  <c r="C218" i="1"/>
  <c r="C219" i="1"/>
  <c r="C221" i="1"/>
  <c r="C222" i="1"/>
  <c r="C223" i="1"/>
  <c r="C225" i="1"/>
  <c r="C226" i="1"/>
  <c r="C227" i="1"/>
  <c r="C229" i="1"/>
  <c r="C230" i="1"/>
  <c r="C231" i="1"/>
  <c r="C233" i="1"/>
  <c r="C234" i="1"/>
  <c r="C235" i="1"/>
  <c r="C237" i="1"/>
  <c r="C238" i="1"/>
  <c r="C241" i="1"/>
  <c r="C242" i="1"/>
  <c r="C243" i="1"/>
  <c r="C245" i="1"/>
  <c r="C246" i="1"/>
  <c r="C247" i="1"/>
  <c r="C249" i="1"/>
  <c r="C250" i="1"/>
  <c r="C251" i="1"/>
  <c r="C253" i="1"/>
  <c r="C254" i="1"/>
  <c r="C255" i="1"/>
  <c r="C257" i="1"/>
  <c r="C258" i="1"/>
  <c r="C157" i="1"/>
  <c r="C7" i="1"/>
  <c r="C51" i="1"/>
  <c r="C5" i="1"/>
  <c r="C9" i="1"/>
  <c r="C13" i="1"/>
  <c r="C14" i="1"/>
  <c r="C15" i="1"/>
  <c r="C17" i="1"/>
  <c r="C19" i="1"/>
  <c r="C21" i="1"/>
  <c r="C22" i="1"/>
  <c r="C23" i="1"/>
  <c r="C25" i="1"/>
  <c r="C27" i="1"/>
  <c r="C29" i="1"/>
  <c r="C30" i="1"/>
  <c r="C31" i="1"/>
  <c r="C35" i="1"/>
  <c r="C37" i="1"/>
  <c r="C38" i="1"/>
  <c r="C39" i="1"/>
  <c r="C41" i="1"/>
  <c r="C45" i="1"/>
  <c r="C47" i="1"/>
  <c r="C49" i="1"/>
  <c r="C53" i="1"/>
  <c r="C55" i="1"/>
  <c r="C59" i="1"/>
  <c r="C61" i="1"/>
  <c r="C63" i="1"/>
  <c r="C65" i="1"/>
  <c r="C66" i="1"/>
  <c r="C67" i="1"/>
  <c r="C71" i="1"/>
  <c r="C73" i="1"/>
  <c r="C75" i="1"/>
  <c r="C77" i="1"/>
  <c r="C79" i="1"/>
  <c r="C81" i="1"/>
  <c r="C82" i="1"/>
  <c r="C83" i="1"/>
  <c r="C85" i="1"/>
  <c r="C87" i="1"/>
  <c r="C91" i="1"/>
  <c r="C93" i="1"/>
  <c r="C95" i="1"/>
  <c r="C97" i="1"/>
  <c r="C98" i="1"/>
  <c r="C99" i="1"/>
  <c r="C101" i="1"/>
  <c r="C103" i="1"/>
  <c r="C105" i="1"/>
  <c r="C107" i="1"/>
  <c r="C109" i="1"/>
  <c r="C111" i="1"/>
  <c r="C114" i="1"/>
  <c r="C115" i="1"/>
  <c r="C117" i="1"/>
  <c r="C119" i="1"/>
  <c r="C121" i="1"/>
  <c r="C123" i="1"/>
  <c r="C125" i="1"/>
  <c r="C130" i="1"/>
  <c r="C131" i="1"/>
  <c r="C133" i="1"/>
  <c r="C135" i="1"/>
  <c r="C137" i="1"/>
  <c r="C139" i="1"/>
  <c r="C142" i="1"/>
  <c r="C143" i="1"/>
  <c r="C147" i="1"/>
  <c r="C149" i="1"/>
  <c r="C151" i="1"/>
  <c r="C153" i="1"/>
  <c r="C155" i="1"/>
  <c r="F6" i="1" l="1"/>
  <c r="F7" i="1" s="1"/>
  <c r="C6" i="4" l="1"/>
  <c r="F8" i="1"/>
  <c r="C7" i="4"/>
  <c r="F9" i="1" l="1"/>
  <c r="C8" i="4"/>
  <c r="F10" i="1" l="1"/>
  <c r="C9" i="4"/>
  <c r="F11" i="1" l="1"/>
  <c r="C10" i="4"/>
  <c r="F12" i="1" l="1"/>
  <c r="C11" i="4"/>
  <c r="F13" i="1" l="1"/>
  <c r="C12" i="4"/>
  <c r="F14" i="1" l="1"/>
  <c r="C13" i="4"/>
  <c r="F15" i="1" l="1"/>
  <c r="C14" i="4"/>
  <c r="F16" i="1" l="1"/>
  <c r="C15" i="4"/>
  <c r="F17" i="1" l="1"/>
  <c r="C16" i="4"/>
  <c r="F18" i="1" l="1"/>
  <c r="C17" i="4"/>
  <c r="F19" i="1" l="1"/>
  <c r="C18" i="4"/>
  <c r="F20" i="1" l="1"/>
  <c r="C19" i="4"/>
  <c r="F21" i="1" l="1"/>
  <c r="C20" i="4"/>
  <c r="F22" i="1" l="1"/>
  <c r="C21" i="4"/>
  <c r="F23" i="1" l="1"/>
  <c r="C22" i="4"/>
  <c r="F24" i="1" l="1"/>
  <c r="C23" i="4"/>
  <c r="F25" i="1" l="1"/>
  <c r="C24" i="4"/>
  <c r="F26" i="1" l="1"/>
  <c r="C25" i="4"/>
  <c r="F27" i="1" l="1"/>
  <c r="C26" i="4"/>
  <c r="F28" i="1" l="1"/>
  <c r="C27" i="4"/>
  <c r="F29" i="1" l="1"/>
  <c r="C28" i="4"/>
  <c r="F30" i="1" l="1"/>
  <c r="C29" i="4"/>
  <c r="F31" i="1" l="1"/>
  <c r="C30" i="4"/>
  <c r="F32" i="1" l="1"/>
  <c r="C31" i="4"/>
  <c r="F33" i="1" l="1"/>
  <c r="C32" i="4"/>
  <c r="F34" i="1" l="1"/>
  <c r="C33" i="4"/>
  <c r="F35" i="1" l="1"/>
  <c r="C34" i="4"/>
  <c r="F36" i="1" l="1"/>
  <c r="C35" i="4"/>
  <c r="F37" i="1" l="1"/>
  <c r="C36" i="4"/>
  <c r="F38" i="1" l="1"/>
  <c r="C37" i="4"/>
  <c r="F39" i="1" l="1"/>
  <c r="C38" i="4"/>
  <c r="F40" i="1" l="1"/>
  <c r="C39" i="4"/>
  <c r="F41" i="1" l="1"/>
  <c r="C40" i="4"/>
  <c r="F42" i="1" l="1"/>
  <c r="C41" i="4"/>
  <c r="F43" i="1" l="1"/>
  <c r="C42" i="4"/>
  <c r="F44" i="1" l="1"/>
  <c r="C43" i="4"/>
  <c r="F45" i="1" l="1"/>
  <c r="C44" i="4"/>
  <c r="F46" i="1" l="1"/>
  <c r="C45" i="4"/>
  <c r="F47" i="1" l="1"/>
  <c r="C46" i="4"/>
  <c r="F48" i="1" l="1"/>
  <c r="C47" i="4"/>
  <c r="F49" i="1" l="1"/>
  <c r="C48" i="4"/>
  <c r="F50" i="1" l="1"/>
  <c r="C49" i="4"/>
  <c r="F51" i="1" l="1"/>
  <c r="C50" i="4"/>
  <c r="F52" i="1" l="1"/>
  <c r="C51" i="4"/>
  <c r="F53" i="1" l="1"/>
  <c r="C52" i="4"/>
  <c r="F54" i="1" l="1"/>
  <c r="C53" i="4"/>
  <c r="F55" i="1" l="1"/>
  <c r="C54" i="4"/>
  <c r="F56" i="1" l="1"/>
  <c r="C55" i="4"/>
  <c r="F57" i="1" l="1"/>
  <c r="C56" i="4"/>
  <c r="F58" i="1" l="1"/>
  <c r="C57" i="4"/>
  <c r="F59" i="1" l="1"/>
  <c r="C58" i="4"/>
  <c r="F60" i="1" l="1"/>
  <c r="C59" i="4"/>
  <c r="F61" i="1" l="1"/>
  <c r="C60" i="4"/>
  <c r="F62" i="1" l="1"/>
  <c r="C61" i="4"/>
  <c r="F63" i="1" l="1"/>
  <c r="C62" i="4"/>
  <c r="F64" i="1" l="1"/>
  <c r="C63" i="4"/>
  <c r="F65" i="1" l="1"/>
  <c r="C64" i="4"/>
  <c r="F66" i="1" l="1"/>
  <c r="C65" i="4"/>
  <c r="F67" i="1" l="1"/>
  <c r="C66" i="4"/>
  <c r="F68" i="1" l="1"/>
  <c r="C67" i="4"/>
  <c r="F69" i="1" l="1"/>
  <c r="C68" i="4"/>
  <c r="F70" i="1" l="1"/>
  <c r="C69" i="4"/>
  <c r="F71" i="1" l="1"/>
  <c r="C70" i="4"/>
  <c r="F72" i="1" l="1"/>
  <c r="C71" i="4"/>
  <c r="F73" i="1" l="1"/>
  <c r="C72" i="4"/>
  <c r="F74" i="1" l="1"/>
  <c r="C73" i="4"/>
  <c r="F75" i="1" l="1"/>
  <c r="C74" i="4"/>
  <c r="F76" i="1" l="1"/>
  <c r="C75" i="4"/>
  <c r="F77" i="1" l="1"/>
  <c r="C76" i="4"/>
  <c r="F78" i="1" l="1"/>
  <c r="C77" i="4"/>
  <c r="F79" i="1" l="1"/>
  <c r="C78" i="4"/>
  <c r="F80" i="1" l="1"/>
  <c r="C79" i="4"/>
  <c r="F81" i="1" l="1"/>
  <c r="C80" i="4"/>
  <c r="F82" i="1" l="1"/>
  <c r="C81" i="4"/>
  <c r="F83" i="1" l="1"/>
  <c r="C82" i="4"/>
  <c r="F84" i="1" l="1"/>
  <c r="C83" i="4"/>
  <c r="F85" i="1" l="1"/>
  <c r="C84" i="4"/>
  <c r="F86" i="1" l="1"/>
  <c r="C85" i="4"/>
  <c r="F87" i="1" l="1"/>
  <c r="C86" i="4"/>
  <c r="F88" i="1" l="1"/>
  <c r="C87" i="4"/>
  <c r="F89" i="1" l="1"/>
  <c r="C88" i="4"/>
  <c r="F90" i="1" l="1"/>
  <c r="C89" i="4"/>
  <c r="F91" i="1" l="1"/>
  <c r="C90" i="4"/>
  <c r="F92" i="1" l="1"/>
  <c r="C91" i="4"/>
  <c r="F93" i="1" l="1"/>
  <c r="C92" i="4"/>
  <c r="F94" i="1" l="1"/>
  <c r="C93" i="4"/>
  <c r="F95" i="1" l="1"/>
  <c r="C94" i="4"/>
  <c r="F96" i="1" l="1"/>
  <c r="C95" i="4"/>
  <c r="F97" i="1" l="1"/>
  <c r="C96" i="4"/>
  <c r="F98" i="1" l="1"/>
  <c r="C97" i="4"/>
  <c r="F99" i="1" l="1"/>
  <c r="C98" i="4"/>
  <c r="F100" i="1" l="1"/>
  <c r="C99" i="4"/>
  <c r="F101" i="1" l="1"/>
  <c r="C100" i="4"/>
  <c r="F102" i="1" l="1"/>
  <c r="C101" i="4"/>
  <c r="F103" i="1" l="1"/>
  <c r="C102" i="4"/>
  <c r="F104" i="1" l="1"/>
  <c r="C103" i="4"/>
  <c r="F105" i="1" l="1"/>
  <c r="C104" i="4"/>
  <c r="F106" i="1" l="1"/>
  <c r="C105" i="4"/>
  <c r="F107" i="1" l="1"/>
  <c r="C106" i="4"/>
  <c r="F108" i="1" l="1"/>
  <c r="C107" i="4"/>
  <c r="F109" i="1" l="1"/>
  <c r="C108" i="4"/>
  <c r="F110" i="1" l="1"/>
  <c r="C109" i="4"/>
  <c r="F111" i="1" l="1"/>
  <c r="C110" i="4"/>
  <c r="F112" i="1" l="1"/>
  <c r="C111" i="4"/>
  <c r="F113" i="1" l="1"/>
  <c r="C112" i="4"/>
  <c r="F114" i="1" l="1"/>
  <c r="C113" i="4"/>
  <c r="F115" i="1" l="1"/>
  <c r="C114" i="4"/>
  <c r="F116" i="1" l="1"/>
  <c r="C115" i="4"/>
  <c r="F117" i="1" l="1"/>
  <c r="C116" i="4"/>
  <c r="F118" i="1" l="1"/>
  <c r="C117" i="4"/>
  <c r="F119" i="1" l="1"/>
  <c r="C118" i="4"/>
  <c r="F120" i="1" l="1"/>
  <c r="C119" i="4"/>
  <c r="F121" i="1" l="1"/>
  <c r="C120" i="4"/>
  <c r="F122" i="1" l="1"/>
  <c r="C121" i="4"/>
  <c r="F123" i="1" l="1"/>
  <c r="C122" i="4"/>
  <c r="F124" i="1" l="1"/>
  <c r="C123" i="4"/>
  <c r="F125" i="1" l="1"/>
  <c r="C124" i="4"/>
  <c r="F126" i="1" l="1"/>
  <c r="C125" i="4"/>
  <c r="F127" i="1" l="1"/>
  <c r="C126" i="4"/>
  <c r="F128" i="1" l="1"/>
  <c r="C127" i="4"/>
  <c r="F129" i="1" l="1"/>
  <c r="C128" i="4"/>
  <c r="F130" i="1" l="1"/>
  <c r="C129" i="4"/>
  <c r="F131" i="1" l="1"/>
  <c r="C130" i="4"/>
  <c r="E130" i="4" s="1"/>
  <c r="G130" i="4" s="1"/>
  <c r="F132" i="1" l="1"/>
  <c r="C131" i="4"/>
  <c r="E131" i="4" s="1"/>
  <c r="G131" i="4" s="1"/>
  <c r="F133" i="1" l="1"/>
  <c r="C132" i="4"/>
  <c r="E132" i="4" s="1"/>
  <c r="G132" i="4" s="1"/>
  <c r="F134" i="1" l="1"/>
  <c r="C133" i="4"/>
  <c r="E133" i="4" s="1"/>
  <c r="G133" i="4" s="1"/>
  <c r="F135" i="1" l="1"/>
  <c r="C134" i="4"/>
  <c r="E134" i="4" s="1"/>
  <c r="G134" i="4" s="1"/>
  <c r="F136" i="1" l="1"/>
  <c r="C135" i="4"/>
  <c r="E135" i="4" s="1"/>
  <c r="G135" i="4" s="1"/>
  <c r="F137" i="1" l="1"/>
  <c r="C136" i="4"/>
  <c r="E136" i="4" s="1"/>
  <c r="G136" i="4" s="1"/>
  <c r="F138" i="1" l="1"/>
  <c r="C137" i="4"/>
  <c r="E137" i="4" s="1"/>
  <c r="G137" i="4" s="1"/>
  <c r="F139" i="1" l="1"/>
  <c r="C138" i="4"/>
  <c r="E138" i="4" s="1"/>
  <c r="G138" i="4" s="1"/>
  <c r="F140" i="1" l="1"/>
  <c r="C139" i="4"/>
  <c r="E139" i="4" s="1"/>
  <c r="K6" i="4" l="1"/>
  <c r="G139" i="4"/>
  <c r="F141" i="1"/>
  <c r="C140" i="4"/>
  <c r="E140" i="4" s="1"/>
  <c r="J7" i="4" l="1"/>
  <c r="G140" i="4"/>
  <c r="F142" i="1"/>
  <c r="C141" i="4"/>
  <c r="E141" i="4" s="1"/>
  <c r="G141" i="4" s="1"/>
  <c r="F143" i="1" l="1"/>
  <c r="C142" i="4"/>
  <c r="E142" i="4" s="1"/>
  <c r="G142" i="4" s="1"/>
  <c r="F144" i="1" l="1"/>
  <c r="C143" i="4"/>
  <c r="E143" i="4" s="1"/>
  <c r="G143" i="4" s="1"/>
  <c r="F145" i="1" l="1"/>
  <c r="C144" i="4"/>
  <c r="E144" i="4" s="1"/>
  <c r="G144" i="4" s="1"/>
  <c r="F146" i="1" l="1"/>
  <c r="C145" i="4"/>
  <c r="E145" i="4" s="1"/>
  <c r="G145" i="4" s="1"/>
  <c r="F147" i="1" l="1"/>
  <c r="C146" i="4"/>
  <c r="E146" i="4" s="1"/>
  <c r="G146" i="4" s="1"/>
  <c r="F148" i="1" l="1"/>
  <c r="C147" i="4"/>
  <c r="E147" i="4" s="1"/>
  <c r="G147" i="4" s="1"/>
  <c r="F149" i="1" l="1"/>
  <c r="C148" i="4"/>
  <c r="E148" i="4" s="1"/>
  <c r="G148" i="4" s="1"/>
  <c r="F150" i="1" l="1"/>
  <c r="C149" i="4"/>
  <c r="E149" i="4" s="1"/>
  <c r="G149" i="4" s="1"/>
  <c r="F151" i="1" l="1"/>
  <c r="C150" i="4"/>
  <c r="E150" i="4" s="1"/>
  <c r="G150" i="4" s="1"/>
  <c r="F152" i="1" l="1"/>
  <c r="C151" i="4"/>
  <c r="E151" i="4" s="1"/>
  <c r="G151" i="4" s="1"/>
  <c r="F153" i="1" l="1"/>
  <c r="C152" i="4"/>
  <c r="E152" i="4" s="1"/>
  <c r="G152" i="4" s="1"/>
  <c r="F154" i="1" l="1"/>
  <c r="C153" i="4"/>
  <c r="E153" i="4" s="1"/>
  <c r="G153" i="4" s="1"/>
  <c r="F155" i="1" l="1"/>
  <c r="C154" i="4"/>
  <c r="E154" i="4" s="1"/>
  <c r="G154" i="4" s="1"/>
  <c r="F156" i="1" l="1"/>
  <c r="C155" i="4"/>
  <c r="E155" i="4" s="1"/>
  <c r="G155" i="4" s="1"/>
  <c r="F157" i="1" l="1"/>
  <c r="C156" i="4"/>
  <c r="E156" i="4" s="1"/>
  <c r="G156" i="4" s="1"/>
  <c r="F158" i="1" l="1"/>
  <c r="C157" i="4"/>
  <c r="E157" i="4" s="1"/>
  <c r="G157" i="4" s="1"/>
  <c r="F159" i="1" l="1"/>
  <c r="C158" i="4"/>
  <c r="E158" i="4" s="1"/>
  <c r="G158" i="4" s="1"/>
  <c r="F160" i="1" l="1"/>
  <c r="C159" i="4"/>
  <c r="E159" i="4" s="1"/>
  <c r="G159" i="4" s="1"/>
  <c r="F161" i="1" l="1"/>
  <c r="C160" i="4"/>
  <c r="E160" i="4" s="1"/>
  <c r="G160" i="4" s="1"/>
  <c r="F162" i="1" l="1"/>
  <c r="C161" i="4"/>
  <c r="E161" i="4" s="1"/>
  <c r="G161" i="4" s="1"/>
  <c r="F163" i="1" l="1"/>
  <c r="C162" i="4"/>
  <c r="E162" i="4" s="1"/>
  <c r="G162" i="4" s="1"/>
  <c r="F164" i="1" l="1"/>
  <c r="C163" i="4"/>
  <c r="E163" i="4" s="1"/>
  <c r="G163" i="4" s="1"/>
  <c r="F165" i="1" l="1"/>
  <c r="C164" i="4"/>
  <c r="E164" i="4" s="1"/>
  <c r="G164" i="4" s="1"/>
  <c r="F166" i="1" l="1"/>
  <c r="C165" i="4"/>
  <c r="E165" i="4" s="1"/>
  <c r="G165" i="4" s="1"/>
  <c r="F167" i="1" l="1"/>
  <c r="C166" i="4"/>
  <c r="E166" i="4" s="1"/>
  <c r="G166" i="4" s="1"/>
  <c r="F168" i="1" l="1"/>
  <c r="C167" i="4"/>
  <c r="E167" i="4" s="1"/>
  <c r="G167" i="4" s="1"/>
  <c r="F169" i="1" l="1"/>
  <c r="C168" i="4"/>
  <c r="E168" i="4" s="1"/>
  <c r="G168" i="4" s="1"/>
  <c r="F170" i="1" l="1"/>
  <c r="C169" i="4"/>
  <c r="E169" i="4" s="1"/>
  <c r="G169" i="4" s="1"/>
  <c r="F171" i="1" l="1"/>
  <c r="C170" i="4"/>
  <c r="E170" i="4" s="1"/>
  <c r="G170" i="4" s="1"/>
  <c r="F172" i="1" l="1"/>
  <c r="C171" i="4"/>
  <c r="E171" i="4" s="1"/>
  <c r="G171" i="4" s="1"/>
  <c r="F173" i="1" l="1"/>
  <c r="C172" i="4"/>
  <c r="E172" i="4" s="1"/>
  <c r="G172" i="4" s="1"/>
  <c r="F174" i="1" l="1"/>
  <c r="C173" i="4"/>
  <c r="E173" i="4" s="1"/>
  <c r="G173" i="4" s="1"/>
  <c r="F175" i="1" l="1"/>
  <c r="C174" i="4"/>
  <c r="E174" i="4" s="1"/>
  <c r="G174" i="4" s="1"/>
  <c r="F176" i="1" l="1"/>
  <c r="C175" i="4"/>
  <c r="E175" i="4" s="1"/>
  <c r="G175" i="4" s="1"/>
  <c r="F177" i="1" l="1"/>
  <c r="C176" i="4"/>
  <c r="E176" i="4" s="1"/>
  <c r="G176" i="4" s="1"/>
  <c r="F178" i="1" l="1"/>
  <c r="C177" i="4"/>
  <c r="E177" i="4" s="1"/>
  <c r="G177" i="4" s="1"/>
  <c r="F179" i="1" l="1"/>
  <c r="C178" i="4"/>
  <c r="E178" i="4" s="1"/>
  <c r="G178" i="4" s="1"/>
  <c r="F180" i="1" l="1"/>
  <c r="C179" i="4"/>
  <c r="E179" i="4" s="1"/>
  <c r="G179" i="4" s="1"/>
  <c r="F181" i="1" l="1"/>
  <c r="C180" i="4"/>
  <c r="E180" i="4" s="1"/>
  <c r="G180" i="4" s="1"/>
  <c r="F182" i="1" l="1"/>
  <c r="C181" i="4"/>
  <c r="E181" i="4" s="1"/>
  <c r="G181" i="4" s="1"/>
  <c r="F183" i="1" l="1"/>
  <c r="C182" i="4"/>
  <c r="E182" i="4" s="1"/>
  <c r="G182" i="4" s="1"/>
  <c r="F184" i="1" l="1"/>
  <c r="C183" i="4"/>
  <c r="E183" i="4" s="1"/>
  <c r="G183" i="4" s="1"/>
  <c r="F185" i="1" l="1"/>
  <c r="C184" i="4"/>
  <c r="E184" i="4" s="1"/>
  <c r="G184" i="4" s="1"/>
  <c r="F186" i="1" l="1"/>
  <c r="C185" i="4"/>
  <c r="E185" i="4" s="1"/>
  <c r="G185" i="4" s="1"/>
  <c r="F187" i="1" l="1"/>
  <c r="C186" i="4"/>
  <c r="E186" i="4" s="1"/>
  <c r="G186" i="4" s="1"/>
  <c r="F188" i="1" l="1"/>
  <c r="C187" i="4"/>
  <c r="E187" i="4" s="1"/>
  <c r="K7" i="4" l="1"/>
  <c r="G187" i="4"/>
  <c r="F189" i="1"/>
  <c r="C188" i="4"/>
  <c r="E188" i="4" s="1"/>
  <c r="G188" i="4" l="1"/>
  <c r="J8" i="4"/>
  <c r="F190" i="1"/>
  <c r="C189" i="4"/>
  <c r="E189" i="4" s="1"/>
  <c r="G189" i="4" s="1"/>
  <c r="F191" i="1" l="1"/>
  <c r="C190" i="4"/>
  <c r="E190" i="4" s="1"/>
  <c r="G190" i="4" s="1"/>
  <c r="F192" i="1" l="1"/>
  <c r="C191" i="4"/>
  <c r="E191" i="4" s="1"/>
  <c r="G191" i="4" s="1"/>
  <c r="F193" i="1" l="1"/>
  <c r="C192" i="4"/>
  <c r="E192" i="4" s="1"/>
  <c r="G192" i="4" s="1"/>
  <c r="F194" i="1" l="1"/>
  <c r="C193" i="4"/>
  <c r="E193" i="4" s="1"/>
  <c r="G193" i="4" s="1"/>
  <c r="F195" i="1" l="1"/>
  <c r="C194" i="4"/>
  <c r="E194" i="4" s="1"/>
  <c r="G194" i="4" s="1"/>
  <c r="F196" i="1" l="1"/>
  <c r="C195" i="4"/>
  <c r="E195" i="4" s="1"/>
  <c r="G195" i="4" s="1"/>
  <c r="F197" i="1" l="1"/>
  <c r="C196" i="4"/>
  <c r="E196" i="4" s="1"/>
  <c r="G196" i="4" s="1"/>
  <c r="F198" i="1" l="1"/>
  <c r="C197" i="4"/>
  <c r="E197" i="4" s="1"/>
  <c r="G197" i="4" s="1"/>
  <c r="F199" i="1" l="1"/>
  <c r="C198" i="4"/>
  <c r="E198" i="4" s="1"/>
  <c r="G198" i="4" s="1"/>
  <c r="F200" i="1" l="1"/>
  <c r="C199" i="4"/>
  <c r="E199" i="4" s="1"/>
  <c r="G199" i="4" s="1"/>
  <c r="F201" i="1" l="1"/>
  <c r="C200" i="4"/>
  <c r="E200" i="4" s="1"/>
  <c r="G200" i="4" s="1"/>
  <c r="F202" i="1" l="1"/>
  <c r="C201" i="4"/>
  <c r="E201" i="4" s="1"/>
  <c r="G201" i="4" s="1"/>
  <c r="F203" i="1" l="1"/>
  <c r="C202" i="4"/>
  <c r="E202" i="4" s="1"/>
  <c r="G202" i="4" s="1"/>
  <c r="F204" i="1" l="1"/>
  <c r="C203" i="4"/>
  <c r="E203" i="4" s="1"/>
  <c r="G203" i="4" s="1"/>
  <c r="F205" i="1" l="1"/>
  <c r="C204" i="4"/>
  <c r="E204" i="4" s="1"/>
  <c r="G204" i="4" s="1"/>
  <c r="F206" i="1" l="1"/>
  <c r="C205" i="4"/>
  <c r="E205" i="4" s="1"/>
  <c r="G205" i="4" s="1"/>
  <c r="F207" i="1" l="1"/>
  <c r="C206" i="4"/>
  <c r="E206" i="4" s="1"/>
  <c r="G206" i="4" s="1"/>
  <c r="F208" i="1" l="1"/>
  <c r="C207" i="4"/>
  <c r="E207" i="4" s="1"/>
  <c r="G207" i="4" s="1"/>
  <c r="F209" i="1" l="1"/>
  <c r="C208" i="4"/>
  <c r="E208" i="4" s="1"/>
  <c r="G208" i="4" s="1"/>
  <c r="F210" i="1" l="1"/>
  <c r="C209" i="4"/>
  <c r="E209" i="4" s="1"/>
  <c r="G209" i="4" s="1"/>
  <c r="F211" i="1" l="1"/>
  <c r="C210" i="4"/>
  <c r="E210" i="4" s="1"/>
  <c r="G210" i="4" s="1"/>
  <c r="F212" i="1" l="1"/>
  <c r="C211" i="4"/>
  <c r="E211" i="4" s="1"/>
  <c r="G211" i="4" s="1"/>
  <c r="F213" i="1" l="1"/>
  <c r="C212" i="4"/>
  <c r="E212" i="4" s="1"/>
  <c r="G212" i="4" s="1"/>
  <c r="F214" i="1" l="1"/>
  <c r="C213" i="4"/>
  <c r="E213" i="4" s="1"/>
  <c r="G213" i="4" s="1"/>
  <c r="F215" i="1" l="1"/>
  <c r="C214" i="4"/>
  <c r="E214" i="4" s="1"/>
  <c r="G214" i="4" s="1"/>
  <c r="F216" i="1" l="1"/>
  <c r="C215" i="4"/>
  <c r="E215" i="4" s="1"/>
  <c r="G215" i="4" s="1"/>
  <c r="F217" i="1" l="1"/>
  <c r="C216" i="4"/>
  <c r="E216" i="4" s="1"/>
  <c r="G216" i="4" s="1"/>
  <c r="F218" i="1" l="1"/>
  <c r="C217" i="4"/>
  <c r="E217" i="4" s="1"/>
  <c r="G217" i="4" s="1"/>
  <c r="F219" i="1" l="1"/>
  <c r="C218" i="4"/>
  <c r="E218" i="4" s="1"/>
  <c r="G218" i="4" s="1"/>
  <c r="F220" i="1" l="1"/>
  <c r="C219" i="4"/>
  <c r="E219" i="4" s="1"/>
  <c r="G219" i="4" s="1"/>
  <c r="F221" i="1" l="1"/>
  <c r="C220" i="4"/>
  <c r="E220" i="4" s="1"/>
  <c r="G220" i="4" s="1"/>
  <c r="F222" i="1" l="1"/>
  <c r="C221" i="4"/>
  <c r="E221" i="4" s="1"/>
  <c r="G221" i="4" s="1"/>
  <c r="F223" i="1" l="1"/>
  <c r="C222" i="4"/>
  <c r="E222" i="4" s="1"/>
  <c r="G222" i="4" s="1"/>
  <c r="F224" i="1" l="1"/>
  <c r="C223" i="4"/>
  <c r="E223" i="4" s="1"/>
  <c r="G223" i="4" s="1"/>
  <c r="F225" i="1" l="1"/>
  <c r="C224" i="4"/>
  <c r="E224" i="4" s="1"/>
  <c r="G224" i="4" s="1"/>
  <c r="F226" i="1" l="1"/>
  <c r="C225" i="4"/>
  <c r="E225" i="4" s="1"/>
  <c r="G225" i="4" s="1"/>
  <c r="F227" i="1" l="1"/>
  <c r="C226" i="4"/>
  <c r="E226" i="4" s="1"/>
  <c r="G226" i="4" s="1"/>
  <c r="F228" i="1" l="1"/>
  <c r="C227" i="4"/>
  <c r="E227" i="4" s="1"/>
  <c r="G227" i="4" s="1"/>
  <c r="F229" i="1" l="1"/>
  <c r="C228" i="4"/>
  <c r="E228" i="4" s="1"/>
  <c r="G228" i="4" s="1"/>
  <c r="F230" i="1" l="1"/>
  <c r="C229" i="4"/>
  <c r="E229" i="4" s="1"/>
  <c r="G229" i="4" s="1"/>
  <c r="F231" i="1" l="1"/>
  <c r="C230" i="4"/>
  <c r="E230" i="4" s="1"/>
  <c r="G230" i="4" s="1"/>
  <c r="F232" i="1" l="1"/>
  <c r="C231" i="4"/>
  <c r="E231" i="4" s="1"/>
  <c r="G231" i="4" s="1"/>
  <c r="F233" i="1" l="1"/>
  <c r="C232" i="4"/>
  <c r="E232" i="4" s="1"/>
  <c r="G232" i="4" s="1"/>
  <c r="F234" i="1" l="1"/>
  <c r="C233" i="4"/>
  <c r="E233" i="4" s="1"/>
  <c r="G233" i="4" s="1"/>
  <c r="F235" i="1" l="1"/>
  <c r="C234" i="4"/>
  <c r="E234" i="4" s="1"/>
  <c r="G234" i="4" s="1"/>
  <c r="F236" i="1" l="1"/>
  <c r="C235" i="4"/>
  <c r="E235" i="4" s="1"/>
  <c r="G235" i="4" s="1"/>
  <c r="F237" i="1" l="1"/>
  <c r="C236" i="4"/>
  <c r="E236" i="4" s="1"/>
  <c r="G236" i="4" s="1"/>
  <c r="F238" i="1" l="1"/>
  <c r="C237" i="4"/>
  <c r="E237" i="4" s="1"/>
  <c r="G237" i="4" s="1"/>
  <c r="F239" i="1" l="1"/>
  <c r="C238" i="4"/>
  <c r="E238" i="4" s="1"/>
  <c r="G238" i="4" s="1"/>
  <c r="F240" i="1" l="1"/>
  <c r="C239" i="4"/>
  <c r="E239" i="4" s="1"/>
  <c r="G239" i="4" s="1"/>
  <c r="F241" i="1" l="1"/>
  <c r="C240" i="4"/>
  <c r="E240" i="4" s="1"/>
  <c r="G240" i="4" s="1"/>
  <c r="F242" i="1" l="1"/>
  <c r="C241" i="4"/>
  <c r="E241" i="4" s="1"/>
  <c r="G241" i="4" s="1"/>
  <c r="F243" i="1" l="1"/>
  <c r="C242" i="4"/>
  <c r="E242" i="4" s="1"/>
  <c r="G242" i="4" s="1"/>
  <c r="F244" i="1" l="1"/>
  <c r="C243" i="4"/>
  <c r="E243" i="4" s="1"/>
  <c r="G243" i="4" s="1"/>
  <c r="F245" i="1" l="1"/>
  <c r="C244" i="4"/>
  <c r="E244" i="4" s="1"/>
  <c r="G244" i="4" s="1"/>
  <c r="F246" i="1" l="1"/>
  <c r="C245" i="4"/>
  <c r="E245" i="4" s="1"/>
  <c r="K8" i="4" l="1"/>
  <c r="G245" i="4"/>
  <c r="F247" i="1"/>
  <c r="C246" i="4"/>
  <c r="E246" i="4" s="1"/>
  <c r="G246" i="4" s="1"/>
  <c r="F248" i="1" l="1"/>
  <c r="C247" i="4"/>
  <c r="E247" i="4" s="1"/>
  <c r="J9" i="4" l="1"/>
  <c r="G247" i="4"/>
  <c r="F249" i="1"/>
  <c r="C248" i="4"/>
  <c r="E248" i="4" s="1"/>
  <c r="G248" i="4" s="1"/>
  <c r="F250" i="1" l="1"/>
  <c r="C249" i="4"/>
  <c r="E249" i="4" s="1"/>
  <c r="G249" i="4" s="1"/>
  <c r="F251" i="1" l="1"/>
  <c r="C250" i="4"/>
  <c r="E250" i="4" s="1"/>
  <c r="G250" i="4" s="1"/>
  <c r="F252" i="1" l="1"/>
  <c r="C251" i="4"/>
  <c r="E251" i="4" s="1"/>
  <c r="G251" i="4" s="1"/>
  <c r="F253" i="1" l="1"/>
  <c r="C252" i="4"/>
  <c r="E252" i="4" s="1"/>
  <c r="G252" i="4" s="1"/>
  <c r="F254" i="1" l="1"/>
  <c r="C253" i="4"/>
  <c r="E253" i="4" s="1"/>
  <c r="G253" i="4" s="1"/>
  <c r="F255" i="1" l="1"/>
  <c r="C254" i="4"/>
  <c r="E254" i="4" s="1"/>
  <c r="G254" i="4" s="1"/>
  <c r="F256" i="1" l="1"/>
  <c r="C255" i="4"/>
  <c r="E255" i="4" s="1"/>
  <c r="G255" i="4" s="1"/>
  <c r="F257" i="1" l="1"/>
  <c r="C256" i="4"/>
  <c r="E256" i="4" s="1"/>
  <c r="G256" i="4" l="1"/>
  <c r="K9" i="4"/>
  <c r="F258" i="1"/>
  <c r="C257" i="4"/>
  <c r="E257" i="4" s="1"/>
  <c r="G257" i="4" l="1"/>
  <c r="J10" i="4"/>
  <c r="F259" i="1"/>
  <c r="C259" i="4" s="1"/>
  <c r="E259" i="4" s="1"/>
  <c r="C258" i="4"/>
  <c r="E258" i="4" s="1"/>
  <c r="G258" i="4" s="1"/>
  <c r="K10" i="4" l="1"/>
  <c r="G259" i="4"/>
</calcChain>
</file>

<file path=xl/sharedStrings.xml><?xml version="1.0" encoding="utf-8"?>
<sst xmlns="http://schemas.openxmlformats.org/spreadsheetml/2006/main" count="3047" uniqueCount="2112">
  <si>
    <t>LE3</t>
  </si>
  <si>
    <t>LE2</t>
  </si>
  <si>
    <t>LE1</t>
  </si>
  <si>
    <t>LE0</t>
  </si>
  <si>
    <t>LSB</t>
  </si>
  <si>
    <t>MAX</t>
  </si>
  <si>
    <t>LSB_N</t>
  </si>
  <si>
    <t>Raw data</t>
  </si>
  <si>
    <t>MDIR</t>
  </si>
  <si>
    <t>LUX</t>
  </si>
  <si>
    <t>LED</t>
  </si>
  <si>
    <t>0;0;1</t>
  </si>
  <si>
    <t>3;1;1</t>
  </si>
  <si>
    <t>5;3;1</t>
  </si>
  <si>
    <t>157;7940;1</t>
  </si>
  <si>
    <t>31;32;1</t>
  </si>
  <si>
    <t>7;7;1</t>
  </si>
  <si>
    <t>2;1;1</t>
  </si>
  <si>
    <t>1;0;1</t>
  </si>
  <si>
    <t>1;1;1</t>
  </si>
  <si>
    <t>214;24320;1</t>
  </si>
  <si>
    <t>225;30720;1</t>
  </si>
  <si>
    <t>199;49728;1</t>
  </si>
  <si>
    <t>195;19488;1</t>
  </si>
  <si>
    <t>190;2592;1</t>
  </si>
  <si>
    <t>185;51216;1</t>
  </si>
  <si>
    <t>184;56688;1</t>
  </si>
  <si>
    <t>189;62048;1</t>
  </si>
  <si>
    <t>195;13056;1</t>
  </si>
  <si>
    <t>197;21568;1</t>
  </si>
  <si>
    <t>202;54976;1</t>
  </si>
  <si>
    <t>209;51904;1</t>
  </si>
  <si>
    <t>209;29120;1</t>
  </si>
  <si>
    <t>212;0;1</t>
  </si>
  <si>
    <t>208;19008;1</t>
  </si>
  <si>
    <t>220;42368;1</t>
  </si>
  <si>
    <t>226;21632;1</t>
  </si>
  <si>
    <t>227;34432;1</t>
  </si>
  <si>
    <t>227;27520;1</t>
  </si>
  <si>
    <t>224;39040;1</t>
  </si>
  <si>
    <t>222;53248;1</t>
  </si>
  <si>
    <t>220;56576;1</t>
  </si>
  <si>
    <t>218;11520;1</t>
  </si>
  <si>
    <t>217;63424;1</t>
  </si>
  <si>
    <t>212;36224;1</t>
  </si>
  <si>
    <t>208;29952;1</t>
  </si>
  <si>
    <t>207;35456;1</t>
  </si>
  <si>
    <t>205;17984;1</t>
  </si>
  <si>
    <t>205;53568;1</t>
  </si>
  <si>
    <t>203;50016;1</t>
  </si>
  <si>
    <t>198;34144;1</t>
  </si>
  <si>
    <t>196;12192;1</t>
  </si>
  <si>
    <t>202;45760;1</t>
  </si>
  <si>
    <t>199;25184;1</t>
  </si>
  <si>
    <t>196;14720;1</t>
  </si>
  <si>
    <t>189;55056;1</t>
  </si>
  <si>
    <t>192;56448;1</t>
  </si>
  <si>
    <t>181;43168;1</t>
  </si>
  <si>
    <t>154;7350;1</t>
  </si>
  <si>
    <t>154;6888;1</t>
  </si>
  <si>
    <t>155;10756;1</t>
  </si>
  <si>
    <t>162;15920;1</t>
  </si>
  <si>
    <t>170;24920;1</t>
  </si>
  <si>
    <t>183;40528;1</t>
  </si>
  <si>
    <t>182;37472;1</t>
  </si>
  <si>
    <t>179;33632;1</t>
  </si>
  <si>
    <t>178;36864;1</t>
  </si>
  <si>
    <t>184;45136;1</t>
  </si>
  <si>
    <t>186;47408;1</t>
  </si>
  <si>
    <t>187;50976;1</t>
  </si>
  <si>
    <t>186;47664;1</t>
  </si>
  <si>
    <t>186;55120;1</t>
  </si>
  <si>
    <t>188;56560;1</t>
  </si>
  <si>
    <t>186;45664;1</t>
  </si>
  <si>
    <t>182;36240;1</t>
  </si>
  <si>
    <t>173;28344;1</t>
  </si>
  <si>
    <t>160;12876;1</t>
  </si>
  <si>
    <t>163;14192;1</t>
  </si>
  <si>
    <t>157;11380;1</t>
  </si>
  <si>
    <t>148;5528;1</t>
  </si>
  <si>
    <t>145;4548;1</t>
  </si>
  <si>
    <t>149;5892;1</t>
  </si>
  <si>
    <t>147;5160;1</t>
  </si>
  <si>
    <t>141;3686;1</t>
  </si>
  <si>
    <t>131;2475;1</t>
  </si>
  <si>
    <t>114;874;1</t>
  </si>
  <si>
    <t>110;747;1</t>
  </si>
  <si>
    <t>94;295;1</t>
  </si>
  <si>
    <t>76;115;1</t>
  </si>
  <si>
    <t>38;54;1</t>
  </si>
  <si>
    <t>18;19;1</t>
  </si>
  <si>
    <t>0;28;1</t>
  </si>
  <si>
    <t>2;2;1</t>
  </si>
  <si>
    <t>5;6;1</t>
  </si>
  <si>
    <t>16;16;1</t>
  </si>
  <si>
    <t>28;32;1</t>
  </si>
  <si>
    <t>73;88;1</t>
  </si>
  <si>
    <t>95;296;1</t>
  </si>
  <si>
    <t>109;507;1</t>
  </si>
  <si>
    <t>109;1000;1</t>
  </si>
  <si>
    <t>121;1679;1</t>
  </si>
  <si>
    <t>128;1993;1</t>
  </si>
  <si>
    <t>135;3090;1</t>
  </si>
  <si>
    <t>141;4284;1</t>
  </si>
  <si>
    <t>149;9956;1</t>
  </si>
  <si>
    <t>161;14212;1</t>
  </si>
  <si>
    <t>167;16928;1</t>
  </si>
  <si>
    <t>169;20528;1</t>
  </si>
  <si>
    <t>183;45024;1</t>
  </si>
  <si>
    <t>183;44464;1</t>
  </si>
  <si>
    <t>182;34848;1</t>
  </si>
  <si>
    <t>196;1856;1</t>
  </si>
  <si>
    <t>195;19264;1</t>
  </si>
  <si>
    <t>195;23456;1</t>
  </si>
  <si>
    <t>195;21056;1</t>
  </si>
  <si>
    <t>196;24768;1</t>
  </si>
  <si>
    <t>193;19456;1</t>
  </si>
  <si>
    <t>195;29216;1</t>
  </si>
  <si>
    <t>197;38272;1</t>
  </si>
  <si>
    <t>203;3968;1</t>
  </si>
  <si>
    <t>205;22016;1</t>
  </si>
  <si>
    <t>205;16256;1</t>
  </si>
  <si>
    <t>206;26816;1</t>
  </si>
  <si>
    <t>207;32320;1</t>
  </si>
  <si>
    <t>195;42464;1</t>
  </si>
  <si>
    <t>195;25024;1</t>
  </si>
  <si>
    <t>204;704;1</t>
  </si>
  <si>
    <t>210;13056;1</t>
  </si>
  <si>
    <t>202;15104;1</t>
  </si>
  <si>
    <t>205;960;1</t>
  </si>
  <si>
    <t>208;62208;1</t>
  </si>
  <si>
    <t>212;44416;1</t>
  </si>
  <si>
    <t>201;3392;1</t>
  </si>
  <si>
    <t>199;46304;1</t>
  </si>
  <si>
    <t>198;27424;1</t>
  </si>
  <si>
    <t>202;2176;1</t>
  </si>
  <si>
    <t>214;11776;1</t>
  </si>
  <si>
    <t>214;27648;1</t>
  </si>
  <si>
    <t>217;31872;1</t>
  </si>
  <si>
    <t>218;63232;1</t>
  </si>
  <si>
    <t>214;12800;1</t>
  </si>
  <si>
    <t>217;2432;1</t>
  </si>
  <si>
    <t>220;3328;1</t>
  </si>
  <si>
    <t>213;59648;1</t>
  </si>
  <si>
    <t>211;41536;1</t>
  </si>
  <si>
    <t>208;63488;1</t>
  </si>
  <si>
    <t>221;48256;1</t>
  </si>
  <si>
    <t>209;768;1</t>
  </si>
  <si>
    <t>199;45152;1</t>
  </si>
  <si>
    <t>220;62976;1</t>
  </si>
  <si>
    <t>227;19200;1</t>
  </si>
  <si>
    <t>223;30720;1</t>
  </si>
  <si>
    <t>213;32640;1</t>
  </si>
  <si>
    <t>212;58176;1</t>
  </si>
  <si>
    <t>225;1792;1</t>
  </si>
  <si>
    <t>208;13504;1</t>
  </si>
  <si>
    <t>203;51296;1</t>
  </si>
  <si>
    <t>206;31872;1</t>
  </si>
  <si>
    <t>221;48896;1</t>
  </si>
  <si>
    <t>221;28672;1</t>
  </si>
  <si>
    <t>222;54400;1</t>
  </si>
  <si>
    <t>232;20352;1</t>
  </si>
  <si>
    <t>235;8960;1</t>
  </si>
  <si>
    <t>218;31488;1</t>
  </si>
  <si>
    <t>219;35072;1</t>
  </si>
  <si>
    <t>219;3584;1</t>
  </si>
  <si>
    <t>223;58112;1</t>
  </si>
  <si>
    <t>219;40064;1</t>
  </si>
  <si>
    <t>214;33024;1</t>
  </si>
  <si>
    <t>222;11520;1</t>
  </si>
  <si>
    <t>225;57344;1</t>
  </si>
  <si>
    <t>226;24576;1</t>
  </si>
  <si>
    <t>235;34816;1</t>
  </si>
  <si>
    <t>237;34816;1</t>
  </si>
  <si>
    <t>236;6144;1</t>
  </si>
  <si>
    <t>223;26624;1</t>
  </si>
  <si>
    <t>222;63488;1</t>
  </si>
  <si>
    <t>234;30720;1</t>
  </si>
  <si>
    <t>232;14336;1</t>
  </si>
  <si>
    <t>232;22528;1</t>
  </si>
  <si>
    <t>225;6144;1</t>
  </si>
  <si>
    <t>233;63488;1</t>
  </si>
  <si>
    <t>235;12288;1</t>
  </si>
  <si>
    <t>241;63488;1</t>
  </si>
  <si>
    <t>233;36864;1</t>
  </si>
  <si>
    <t>229;63488;1</t>
  </si>
  <si>
    <t>231;27136;1</t>
  </si>
  <si>
    <t>232;63488;1</t>
  </si>
  <si>
    <t>223;24576;1</t>
  </si>
  <si>
    <t>229;2048;1</t>
  </si>
  <si>
    <t>245;30720;1</t>
  </si>
  <si>
    <t>230;63488;1</t>
  </si>
  <si>
    <t>226;43520;1</t>
  </si>
  <si>
    <t>226;7424;1</t>
  </si>
  <si>
    <t>230;47872;1</t>
  </si>
  <si>
    <t>233;17920;1</t>
  </si>
  <si>
    <t>230;25728;1</t>
  </si>
  <si>
    <t>218;49920;1</t>
  </si>
  <si>
    <t>238;58112;1</t>
  </si>
  <si>
    <t>230;49664;1</t>
  </si>
  <si>
    <t>224;42496;1</t>
  </si>
  <si>
    <t>233;5888;1</t>
  </si>
  <si>
    <t>225;42752;1</t>
  </si>
  <si>
    <t>223;50688;1</t>
  </si>
  <si>
    <t>223;33280;1</t>
  </si>
  <si>
    <t>226;40960;1</t>
  </si>
  <si>
    <t>201;37824;1</t>
  </si>
  <si>
    <t>221;30208;1</t>
  </si>
  <si>
    <t>232;39424;1</t>
  </si>
  <si>
    <t>223;51328;1</t>
  </si>
  <si>
    <t>229;17792;1</t>
  </si>
  <si>
    <t>228;20992;1</t>
  </si>
  <si>
    <t>222;1280;1</t>
  </si>
  <si>
    <t>226;49152;1</t>
  </si>
  <si>
    <t>235;21504;1</t>
  </si>
  <si>
    <t>227;24320;1</t>
  </si>
  <si>
    <t>226;51712;1</t>
  </si>
  <si>
    <t>232;25088;1</t>
  </si>
  <si>
    <t>218;52224;1</t>
  </si>
  <si>
    <t>206;6592;1</t>
  </si>
  <si>
    <t>205;1024;1</t>
  </si>
  <si>
    <t>209;44288;1</t>
  </si>
  <si>
    <t>211;2496;1</t>
  </si>
  <si>
    <t>217;3968;1</t>
  </si>
  <si>
    <t>217;8448;1</t>
  </si>
  <si>
    <t>220;61824;1</t>
  </si>
  <si>
    <t>216;41344;1</t>
  </si>
  <si>
    <t>210;42880;1</t>
  </si>
  <si>
    <t>209;24128;1</t>
  </si>
  <si>
    <t>223;19968;1</t>
  </si>
  <si>
    <t>220;33024;1</t>
  </si>
  <si>
    <t>207;28608;1</t>
  </si>
  <si>
    <t>204;57280;1</t>
  </si>
  <si>
    <t>213;26880;1</t>
  </si>
  <si>
    <t>222;17152;1</t>
  </si>
  <si>
    <t>213;45248;1</t>
  </si>
  <si>
    <t>213;39616;1</t>
  </si>
  <si>
    <t>213;57472;1</t>
  </si>
  <si>
    <t>219;58368;1</t>
  </si>
  <si>
    <t>214;52032;1</t>
  </si>
  <si>
    <t>214;5120;1</t>
  </si>
  <si>
    <t>205;4096;1</t>
  </si>
  <si>
    <t>210;10816;1</t>
  </si>
  <si>
    <t>215;34240;1</t>
  </si>
  <si>
    <t>207;41408;1</t>
  </si>
  <si>
    <t>217;39168;1</t>
  </si>
  <si>
    <t>198;7360;1</t>
  </si>
  <si>
    <t>200;43168;1</t>
  </si>
  <si>
    <t>194;6816;1</t>
  </si>
  <si>
    <t>194;6976;1</t>
  </si>
  <si>
    <t>196;5344;1</t>
  </si>
  <si>
    <t>194;64720;1</t>
  </si>
  <si>
    <t>194;65264;1</t>
  </si>
  <si>
    <t>194;2720;1</t>
  </si>
  <si>
    <t>193;61376;1</t>
  </si>
  <si>
    <t>192;59232;1</t>
  </si>
  <si>
    <t>191;57488;1</t>
  </si>
  <si>
    <t>191;55856;1</t>
  </si>
  <si>
    <t>191;55600;1</t>
  </si>
  <si>
    <t>200;45312;1</t>
  </si>
  <si>
    <t>205;21120;1</t>
  </si>
  <si>
    <t>205;10112;1</t>
  </si>
  <si>
    <t>205;13888;1</t>
  </si>
  <si>
    <t>205;48000;1</t>
  </si>
  <si>
    <t>210;3648;1</t>
  </si>
  <si>
    <t>210;18496;1</t>
  </si>
  <si>
    <t>208;52928;1</t>
  </si>
  <si>
    <t>150;384;1</t>
  </si>
  <si>
    <t>180;29088;1</t>
  </si>
  <si>
    <t>226;42496;1</t>
  </si>
  <si>
    <t>226;21120;1</t>
  </si>
  <si>
    <t>225;256;1</t>
  </si>
  <si>
    <t>224;48128;1</t>
  </si>
  <si>
    <t>223;32000;1</t>
  </si>
  <si>
    <t>223;19712;1</t>
  </si>
  <si>
    <t>223;17152;1</t>
  </si>
  <si>
    <t>222;12160;1</t>
  </si>
  <si>
    <t>222;9088;1</t>
  </si>
  <si>
    <t>222;4224;1</t>
  </si>
  <si>
    <t>222;63744;1</t>
  </si>
  <si>
    <t>221;54528;1</t>
  </si>
  <si>
    <t>220;35328;1</t>
  </si>
  <si>
    <t>220;22912;1</t>
  </si>
  <si>
    <t>218;56768;1</t>
  </si>
  <si>
    <t>215;29888;1</t>
  </si>
  <si>
    <t>216;31232;1</t>
  </si>
  <si>
    <t>216;35200;1</t>
  </si>
  <si>
    <t>216;32576;1</t>
  </si>
  <si>
    <t>213;6400;1</t>
  </si>
  <si>
    <t>211;40896;1</t>
  </si>
  <si>
    <t>208;20800;1</t>
  </si>
  <si>
    <t>219;39040;1</t>
  </si>
  <si>
    <t>225;21504;1</t>
  </si>
  <si>
    <t>223;43648;1</t>
  </si>
  <si>
    <t>226;60032;1</t>
  </si>
  <si>
    <t>226;44672;1</t>
  </si>
  <si>
    <t>238;35072;1</t>
  </si>
  <si>
    <t>232;35328;1</t>
  </si>
  <si>
    <t>230;24192;1</t>
  </si>
  <si>
    <t>212;24192;1</t>
  </si>
  <si>
    <t>212;50176;1</t>
  </si>
  <si>
    <t>245;46080;1</t>
  </si>
  <si>
    <t>243;41984;1</t>
  </si>
  <si>
    <t>243;16896;1</t>
  </si>
  <si>
    <t>243;58368;1</t>
  </si>
  <si>
    <t>Array no</t>
  </si>
  <si>
    <t>LUX100 between</t>
  </si>
  <si>
    <t>min</t>
  </si>
  <si>
    <t>max</t>
  </si>
  <si>
    <t>Faktor</t>
  </si>
  <si>
    <t>Items</t>
  </si>
  <si>
    <t>Compare
Value</t>
  </si>
  <si>
    <t>Growth
Faktor</t>
  </si>
  <si>
    <t>const uint8_t lookupTbl6[] = PROGMEM { 37, 55, 83,  };</t>
  </si>
  <si>
    <t>OPT3001 LUX calculation</t>
  </si>
  <si>
    <t>RESULT 
(0xFFF)</t>
  </si>
  <si>
    <t>Lookup
Table</t>
  </si>
  <si>
    <t>LUX
average</t>
  </si>
  <si>
    <t>Growth
factor</t>
  </si>
  <si>
    <t>LUX100</t>
  </si>
  <si>
    <t>LUX100
max</t>
  </si>
  <si>
    <t>189;47504;1</t>
  </si>
  <si>
    <t>189;50976;1</t>
  </si>
  <si>
    <t>188;48416;1</t>
  </si>
  <si>
    <t>188;47936;1</t>
  </si>
  <si>
    <t>186;44928;1</t>
  </si>
  <si>
    <t>184;39120;1</t>
  </si>
  <si>
    <t>182;34144;1</t>
  </si>
  <si>
    <t>180;31088;1</t>
  </si>
  <si>
    <t>176;26880;1</t>
  </si>
  <si>
    <t>173;23368;1</t>
  </si>
  <si>
    <t>171;19288;1</t>
  </si>
  <si>
    <t>166;15644;1</t>
  </si>
  <si>
    <t>163;13012;1</t>
  </si>
  <si>
    <t>161;11432;1</t>
  </si>
  <si>
    <t>159;10176;1</t>
  </si>
  <si>
    <t>154;8240;1</t>
  </si>
  <si>
    <t>149;6124;1</t>
  </si>
  <si>
    <t>146;4638;1</t>
  </si>
  <si>
    <t>139;3647;1</t>
  </si>
  <si>
    <t>132;2338;1</t>
  </si>
  <si>
    <t>122;1334;1</t>
  </si>
  <si>
    <t>112;849;1</t>
  </si>
  <si>
    <t>100;379;1</t>
  </si>
  <si>
    <t>87;211;1</t>
  </si>
  <si>
    <t>65;85;1</t>
  </si>
  <si>
    <t>27;31;1</t>
  </si>
  <si>
    <t>13;16;1</t>
  </si>
  <si>
    <t>6;6;1</t>
  </si>
  <si>
    <t>1;13;1</t>
  </si>
  <si>
    <t>11;11;1</t>
  </si>
  <si>
    <t>11;21;1</t>
  </si>
  <si>
    <t>31;66;1</t>
  </si>
  <si>
    <t>76;177;1</t>
  </si>
  <si>
    <t>92;394;1</t>
  </si>
  <si>
    <t>103;712;1</t>
  </si>
  <si>
    <t>120;1377;1</t>
  </si>
  <si>
    <t>131;2838;1</t>
  </si>
  <si>
    <t>140;4662;1</t>
  </si>
  <si>
    <t>148;5724;1</t>
  </si>
  <si>
    <t>154;9216;1</t>
  </si>
  <si>
    <t>163;14644;1</t>
  </si>
  <si>
    <t>166;18232;1</t>
  </si>
  <si>
    <t>173;24520;1</t>
  </si>
  <si>
    <t>173;24728;1</t>
  </si>
  <si>
    <t>181;40496;1</t>
  </si>
  <si>
    <t>183;59984;1</t>
  </si>
  <si>
    <t>189;52480;1</t>
  </si>
  <si>
    <t>185;44864;1</t>
  </si>
  <si>
    <t>183;41504;1</t>
  </si>
  <si>
    <t>186;61008;1</t>
  </si>
  <si>
    <t>188;61328;1</t>
  </si>
  <si>
    <t>194;23008;1</t>
  </si>
  <si>
    <t>197;20608;1</t>
  </si>
  <si>
    <t>197;34112;1</t>
  </si>
  <si>
    <t>243;56064;1</t>
  </si>
  <si>
    <t>244;20736;1</t>
  </si>
  <si>
    <t>243;58880;1</t>
  </si>
  <si>
    <t>243;36096;1</t>
  </si>
  <si>
    <t>243;13824;1</t>
  </si>
  <si>
    <t>243;52992;1</t>
  </si>
  <si>
    <t>221;31488;1</t>
  </si>
  <si>
    <t>232;48512;1</t>
  </si>
  <si>
    <t>234;59392;1</t>
  </si>
  <si>
    <t>227;38016;1</t>
  </si>
  <si>
    <t>230;50304;1</t>
  </si>
  <si>
    <t>232;36352;1</t>
  </si>
  <si>
    <t>227;59648;1</t>
  </si>
  <si>
    <t>224;16384;1</t>
  </si>
  <si>
    <t>224;48640;1</t>
  </si>
  <si>
    <t>223;12800;1</t>
  </si>
  <si>
    <t>219;41216;1</t>
  </si>
  <si>
    <t>228;30720;1</t>
  </si>
  <si>
    <t>220;16256;1</t>
  </si>
  <si>
    <t>225;40832;1</t>
  </si>
  <si>
    <t>227;43264;1</t>
  </si>
  <si>
    <t>214;22976;1</t>
  </si>
  <si>
    <t>218;14208;1</t>
  </si>
  <si>
    <t>216;2432;1</t>
  </si>
  <si>
    <t>216;55616;1</t>
  </si>
  <si>
    <t>217;4608;1</t>
  </si>
  <si>
    <t>215;39744;1</t>
  </si>
  <si>
    <t>215;61184;1</t>
  </si>
  <si>
    <t>221;14720;1</t>
  </si>
  <si>
    <t>227;30976;1</t>
  </si>
  <si>
    <t>234;37888;1</t>
  </si>
  <si>
    <t>234;8960;1</t>
  </si>
  <si>
    <t>234;42240;1</t>
  </si>
  <si>
    <t>234;17152;1</t>
  </si>
  <si>
    <t>232;6400;1</t>
  </si>
  <si>
    <t>229;7680;1</t>
  </si>
  <si>
    <t>227;9472;1</t>
  </si>
  <si>
    <t>225;20096;1</t>
  </si>
  <si>
    <t>226;1792;1</t>
  </si>
  <si>
    <t>229;43520;1</t>
  </si>
  <si>
    <t>231;51456;1</t>
  </si>
  <si>
    <t>237;32768;1</t>
  </si>
  <si>
    <t>237;1792;1</t>
  </si>
  <si>
    <t>236;2560;1</t>
  </si>
  <si>
    <t>239;15872;1</t>
  </si>
  <si>
    <t>231;19456;1</t>
  </si>
  <si>
    <t>220;50432;1</t>
  </si>
  <si>
    <t>219;26496;1</t>
  </si>
  <si>
    <t>216;13952;1</t>
  </si>
  <si>
    <t>219;3712;1</t>
  </si>
  <si>
    <t>219;51840;1</t>
  </si>
  <si>
    <t>225;41088;1</t>
  </si>
  <si>
    <t>226;15360;1</t>
  </si>
  <si>
    <t>224;32256;1</t>
  </si>
  <si>
    <t>222;42240;1</t>
  </si>
  <si>
    <t>217;25216;1</t>
  </si>
  <si>
    <t>214;40128;1</t>
  </si>
  <si>
    <t>214;46720;1</t>
  </si>
  <si>
    <t>214;60608;1</t>
  </si>
  <si>
    <t>206;46336;1</t>
  </si>
  <si>
    <t>207;4864;1</t>
  </si>
  <si>
    <t>215;3456;1</t>
  </si>
  <si>
    <t>211;43520;1</t>
  </si>
  <si>
    <t>209;9600;1</t>
  </si>
  <si>
    <t>220;53760;1</t>
  </si>
  <si>
    <t>215;58944;1</t>
  </si>
  <si>
    <t>208;48064;1</t>
  </si>
  <si>
    <t>208;38976;1</t>
  </si>
  <si>
    <t>209;39680;1</t>
  </si>
  <si>
    <t>209;38848;1</t>
  </si>
  <si>
    <t>210;49536;1</t>
  </si>
  <si>
    <t>211;15808;1</t>
  </si>
  <si>
    <t>209;44800;1</t>
  </si>
  <si>
    <t>219;49920;1</t>
  </si>
  <si>
    <t>213;7168;1</t>
  </si>
  <si>
    <t>213;51520;1</t>
  </si>
  <si>
    <t>212;29248;1</t>
  </si>
  <si>
    <t>209;54528;1</t>
  </si>
  <si>
    <t>209;26304;1</t>
  </si>
  <si>
    <t>200;47712;1</t>
  </si>
  <si>
    <t>197;48352;1</t>
  </si>
  <si>
    <t>201;41568;1</t>
  </si>
  <si>
    <t>196;44480;1</t>
  </si>
  <si>
    <t>195;19232;1</t>
  </si>
  <si>
    <t>195;10304;1</t>
  </si>
  <si>
    <t>191;57264;1</t>
  </si>
  <si>
    <t>196;14784;1</t>
  </si>
  <si>
    <t>192;64128;1</t>
  </si>
  <si>
    <t>196;11936;1</t>
  </si>
  <si>
    <t>189;53904;1</t>
  </si>
  <si>
    <t>189;60352;0</t>
  </si>
  <si>
    <t>189;59904;0</t>
  </si>
  <si>
    <t>171;59904;1</t>
  </si>
  <si>
    <t>167;15476;1</t>
  </si>
  <si>
    <t>164;12940;1</t>
  </si>
  <si>
    <t>160;10284;1</t>
  </si>
  <si>
    <t>157;8532;1</t>
  </si>
  <si>
    <t>150;6038;1</t>
  </si>
  <si>
    <t>143;4025;1</t>
  </si>
  <si>
    <t>135;2708;1</t>
  </si>
  <si>
    <t>125;1457;1</t>
  </si>
  <si>
    <t>112;687;1</t>
  </si>
  <si>
    <t>97;279;1</t>
  </si>
  <si>
    <t>80;107;1</t>
  </si>
  <si>
    <t>52;58;1</t>
  </si>
  <si>
    <t>26;30;1</t>
  </si>
  <si>
    <t>11;13;1</t>
  </si>
  <si>
    <t>6;5;1</t>
  </si>
  <si>
    <t>3;2;1</t>
  </si>
  <si>
    <t>5;5;1</t>
  </si>
  <si>
    <t>5;13;1</t>
  </si>
  <si>
    <t>15;19;1</t>
  </si>
  <si>
    <t>32;48;1</t>
  </si>
  <si>
    <t>77;148;1</t>
  </si>
  <si>
    <t>94;348;1</t>
  </si>
  <si>
    <t>109;638;1</t>
  </si>
  <si>
    <t>124;1544;1</t>
  </si>
  <si>
    <t>134;2209;1</t>
  </si>
  <si>
    <t>139;3178;1</t>
  </si>
  <si>
    <t>149;5718;1</t>
  </si>
  <si>
    <t>149;6432;1</t>
  </si>
  <si>
    <t>153;6968;1</t>
  </si>
  <si>
    <t>160;27648;1</t>
  </si>
  <si>
    <t>172;21800;1</t>
  </si>
  <si>
    <t>175;18792;1</t>
  </si>
  <si>
    <t>170;16696;1</t>
  </si>
  <si>
    <t>179;30288;1</t>
  </si>
  <si>
    <t>177;37696;1</t>
  </si>
  <si>
    <t>184;53216;1</t>
  </si>
  <si>
    <t>187;49280;1</t>
  </si>
  <si>
    <t>191;60880;1</t>
  </si>
  <si>
    <t>189;55328;1</t>
  </si>
  <si>
    <t>195;14304;1</t>
  </si>
  <si>
    <t>195;44992;1</t>
  </si>
  <si>
    <t>200;26400;1</t>
  </si>
  <si>
    <t>199;37856;1</t>
  </si>
  <si>
    <t>199;60512;1</t>
  </si>
  <si>
    <t>202;47712;1</t>
  </si>
  <si>
    <t>202;65088;1</t>
  </si>
  <si>
    <t>199;52000;1</t>
  </si>
  <si>
    <t>204;18432;1</t>
  </si>
  <si>
    <t>200;46208;1</t>
  </si>
  <si>
    <t>199;49504;1</t>
  </si>
  <si>
    <t>201;59648;1</t>
  </si>
  <si>
    <t>212;19072;1</t>
  </si>
  <si>
    <t>205;10880;1</t>
  </si>
  <si>
    <t>211;20736;1</t>
  </si>
  <si>
    <t>212;42624;1</t>
  </si>
  <si>
    <t>216;58560;1</t>
  </si>
  <si>
    <t>216;53248;1</t>
  </si>
  <si>
    <t>215;11520;1</t>
  </si>
  <si>
    <t>212;41408;1</t>
  </si>
  <si>
    <t>219;2432;1</t>
  </si>
  <si>
    <t>219;9088;1</t>
  </si>
  <si>
    <t>216;2560;1</t>
  </si>
  <si>
    <t>216;49536;1</t>
  </si>
  <si>
    <t>221;8064;1</t>
  </si>
  <si>
    <t>219;22144;1</t>
  </si>
  <si>
    <t>220;56320;1</t>
  </si>
  <si>
    <t>220;60416;1</t>
  </si>
  <si>
    <t>225;23552;1</t>
  </si>
  <si>
    <t>223;56960;1</t>
  </si>
  <si>
    <t>223;38400;1</t>
  </si>
  <si>
    <t>219;59008;1</t>
  </si>
  <si>
    <t>226;6400;1</t>
  </si>
  <si>
    <t>222;20992;1</t>
  </si>
  <si>
    <t>222;45568;1</t>
  </si>
  <si>
    <t>222;18432;1</t>
  </si>
  <si>
    <t>224;18944;1</t>
  </si>
  <si>
    <t>226;62848;1</t>
  </si>
  <si>
    <t>225;35840;1</t>
  </si>
  <si>
    <t>225;15360;1</t>
  </si>
  <si>
    <t>225;37760;1</t>
  </si>
  <si>
    <t>223;31360;1</t>
  </si>
  <si>
    <t>222;36096;1</t>
  </si>
  <si>
    <t>223;20864;1</t>
  </si>
  <si>
    <t>221;64256;1</t>
  </si>
  <si>
    <t>219;50944;1</t>
  </si>
  <si>
    <t>215;44608;1</t>
  </si>
  <si>
    <t>215;42816;1</t>
  </si>
  <si>
    <t>const uint8_t lkpTbl1[] PROGMEM = { 0, 1, 2, 3, 4, 5, 6, 7, 8, 9, 10, 11, 12, 13, 14, 15, 16, 17, 18, 19, 20, 21, 22, 23, 24, 25, 26, 27, 28, 29, 30, 31, 32, 33, 34, 35, 36, 37, 38, 39, 40, 41, 42, 43, 44, 45, 46, 47, 48, 49, 50, 51, 52, 53, 54, 55, 56, 57, 58, 59, 60, 61, 62, 63, 65, 67, 69, 71, 73, 75, 77, 79, 81, 83, 86, 89, 92, 95, 99, 103, 107, 112, 117, 123, 129, 136, 143, 151, 159, 168, 177, 187, 197, 207, 222, 237, 252,  };</t>
  </si>
  <si>
    <t>const uint8_t lkpTbl5[] PROGMEM = { 28, 34, 42, 52, 64, 80, 100, 130, 180, 250,  };</t>
  </si>
  <si>
    <t>const uint8_t lkpTbl6[] PROGMEM = { 37, 55, 83,  };</t>
  </si>
  <si>
    <t>const uint8_t lkpTbl2[] PROGMEM = { 27, 29, 31, 33, 36, 38, 41, 44, 47, 51, 54, 58, 62, 66, 71, 75, 80, 85, 90, 96, 101, 107, 113, 119, 126, 132, 139, 146, 153, 161, 169, 177, 185, 195, 206, 218, 231, 245,  };</t>
  </si>
  <si>
    <t>const uint8_t lkpTbl3[] PROGMEM = { 26, 28, 29, 31, 33, 35, 37, 40, 42, 44, 47, 50, 53, 55, 58, 62, 65, 68, 71, 75, 79, 82, 86, 90, 94, 98, 102, 107, 111, 115, 120, 125, 130, 134, 139, 145, 150, 156, 161, 167, 173, 180, 186, 193, 199, 206, 213, 221, 228, 235, 242, 249,  };</t>
  </si>
  <si>
    <t>const uint8_t lkpTbl4[] PROGMEM = { 26, 26, 27, 28, 29, 29, 30, 31, 32, 32, 33, 34, 35, 36, 36, 37, 38, 39, 39, 40, 41, 42, 43, 43, 44, 45, 46, 47, 47, 48, 49, 50, 51, 51, 52, 53, 54, 55, 55, 56, 57, 58, 59, 60, 61, 63, 66, 70, 76, 85, 97, 112, 132, 157, 187, 227,  };</t>
  </si>
  <si>
    <t>const LookupMaster luM[6] = { { 97, lkpTbl1}, { 38, lkpTbl2}, { 52, lkpTbl3}, { 56, lkpTbl4}, { 10, lkpTbl5}, { 3, lkpTbl6},  };</t>
  </si>
  <si>
    <t>216;45120;1</t>
  </si>
  <si>
    <t>217;62784;1</t>
  </si>
  <si>
    <t>216;64320;1</t>
  </si>
  <si>
    <t>156;40128;1</t>
  </si>
  <si>
    <t>158;7320;1</t>
  </si>
  <si>
    <t>159;8192;1</t>
  </si>
  <si>
    <t>160;8476;1</t>
  </si>
  <si>
    <t>162;9600;1</t>
  </si>
  <si>
    <t>162;10064;1</t>
  </si>
  <si>
    <t>162;11308;1</t>
  </si>
  <si>
    <t>168;13352;1</t>
  </si>
  <si>
    <t>170;14700;1</t>
  </si>
  <si>
    <t>171;15808;1</t>
  </si>
  <si>
    <t>173;17984;1</t>
  </si>
  <si>
    <t>172;17704;1</t>
  </si>
  <si>
    <t>170;15204;1</t>
  </si>
  <si>
    <t>175;21616;1</t>
  </si>
  <si>
    <t>174;20592;1</t>
  </si>
  <si>
    <t>173;19752;1</t>
  </si>
  <si>
    <t>171;16464;1</t>
  </si>
  <si>
    <t>168;14960;1</t>
  </si>
  <si>
    <t>167;13540;1</t>
  </si>
  <si>
    <t>168;15040;1</t>
  </si>
  <si>
    <t>168;15380;1</t>
  </si>
  <si>
    <t>167;14824;1</t>
  </si>
  <si>
    <t>165;12924;1</t>
  </si>
  <si>
    <t>164;12600;1</t>
  </si>
  <si>
    <t>165;13688;1</t>
  </si>
  <si>
    <t>168;16296;1</t>
  </si>
  <si>
    <t>171;17552;1</t>
  </si>
  <si>
    <t>172;19808;1</t>
  </si>
  <si>
    <t>168;16592;1</t>
  </si>
  <si>
    <t>166;13976;1</t>
  </si>
  <si>
    <t>163;11816;1</t>
  </si>
  <si>
    <t>165;13128;1</t>
  </si>
  <si>
    <t>166;13464;1</t>
  </si>
  <si>
    <t>169;15480;1</t>
  </si>
  <si>
    <t>169;15592;1</t>
  </si>
  <si>
    <t>166;13180;1</t>
  </si>
  <si>
    <t>166;13764;1</t>
  </si>
  <si>
    <t>165;13292;1</t>
  </si>
  <si>
    <t>164;12264;1</t>
  </si>
  <si>
    <t>165;13136;1</t>
  </si>
  <si>
    <t>164;12416;1</t>
  </si>
  <si>
    <t>161;11880;1</t>
  </si>
  <si>
    <t>162;10768;1</t>
  </si>
  <si>
    <t>163;11496;1</t>
  </si>
  <si>
    <t>162;10564;1</t>
  </si>
  <si>
    <t>162;10864;1</t>
  </si>
  <si>
    <t>164;11440;1</t>
  </si>
  <si>
    <t>166;12904;1</t>
  </si>
  <si>
    <t>167;13084;1</t>
  </si>
  <si>
    <t>165;12056;1</t>
  </si>
  <si>
    <t>160;8904;1</t>
  </si>
  <si>
    <t>159;8904;1</t>
  </si>
  <si>
    <t>160;7434;1</t>
  </si>
  <si>
    <t>161;7808;1</t>
  </si>
  <si>
    <t>157;6486;1</t>
  </si>
  <si>
    <t>155;5876;1</t>
  </si>
  <si>
    <t>153;5054;1</t>
  </si>
  <si>
    <t>153;5116;1</t>
  </si>
  <si>
    <t>154;5314;1</t>
  </si>
  <si>
    <t>155;5896;1</t>
  </si>
  <si>
    <t>157;6916;1</t>
  </si>
  <si>
    <t>159;7008;1</t>
  </si>
  <si>
    <t>158;6866;1</t>
  </si>
  <si>
    <t>159;6894;1</t>
  </si>
  <si>
    <t>154;5996;1</t>
  </si>
  <si>
    <t>151;5178;1</t>
  </si>
  <si>
    <t>149;3957;1</t>
  </si>
  <si>
    <t>148;3923;1</t>
  </si>
  <si>
    <t>145;3506;1</t>
  </si>
  <si>
    <t>143;3109;1</t>
  </si>
  <si>
    <t>142;2914;1</t>
  </si>
  <si>
    <t>141;2914;1</t>
  </si>
  <si>
    <t>140;3030;1</t>
  </si>
  <si>
    <t>143;3293;1</t>
  </si>
  <si>
    <t>142;3178;1</t>
  </si>
  <si>
    <t>143;3444;1</t>
  </si>
  <si>
    <t>142;3203;1</t>
  </si>
  <si>
    <t>146;3705;1</t>
  </si>
  <si>
    <t>145;3749;1</t>
  </si>
  <si>
    <t>146;4260;1</t>
  </si>
  <si>
    <t>152;5232;1</t>
  </si>
  <si>
    <t>150;4850;1</t>
  </si>
  <si>
    <t>149;5002;1</t>
  </si>
  <si>
    <t>148;4668;1</t>
  </si>
  <si>
    <t>146;3890;1</t>
  </si>
  <si>
    <t>141;3396;1</t>
  </si>
  <si>
    <t>138;2680;1</t>
  </si>
  <si>
    <t>138;2447;1</t>
  </si>
  <si>
    <t>136;2560;1</t>
  </si>
  <si>
    <t>129;1885;1</t>
  </si>
  <si>
    <t>128;1555;1</t>
  </si>
  <si>
    <t>123;998;1</t>
  </si>
  <si>
    <t>124;1046;1</t>
  </si>
  <si>
    <t>127;1229;1</t>
  </si>
  <si>
    <t>122;1273;1</t>
  </si>
  <si>
    <t>113;709;1</t>
  </si>
  <si>
    <t>111;507;1</t>
  </si>
  <si>
    <t>106;359;1</t>
  </si>
  <si>
    <t>118;767;1</t>
  </si>
  <si>
    <t>119;765;1</t>
  </si>
  <si>
    <t>115;649;1</t>
  </si>
  <si>
    <t>107;472;1</t>
  </si>
  <si>
    <t>107;405;1</t>
  </si>
  <si>
    <t>106;412;1</t>
  </si>
  <si>
    <t>103;349;1</t>
  </si>
  <si>
    <t>103;337;1</t>
  </si>
  <si>
    <t>102;297;1</t>
  </si>
  <si>
    <t>99;252;1</t>
  </si>
  <si>
    <t>96;212;1</t>
  </si>
  <si>
    <t>93;184;1</t>
  </si>
  <si>
    <t>90;152;1</t>
  </si>
  <si>
    <t>79;84;1</t>
  </si>
  <si>
    <t>51;41;1</t>
  </si>
  <si>
    <t>39;34;1</t>
  </si>
  <si>
    <t>33;25;1</t>
  </si>
  <si>
    <t>25;19;1</t>
  </si>
  <si>
    <t>18;15;1</t>
  </si>
  <si>
    <t>14;11;1</t>
  </si>
  <si>
    <t>9;7;1</t>
  </si>
  <si>
    <t>6;4;1</t>
  </si>
  <si>
    <t>11;8;1</t>
  </si>
  <si>
    <t>21;21;1</t>
  </si>
  <si>
    <t>38;42;1</t>
  </si>
  <si>
    <t>66;73;1</t>
  </si>
  <si>
    <t>80;94;1</t>
  </si>
  <si>
    <t>81;93;1</t>
  </si>
  <si>
    <t>88;194;1</t>
  </si>
  <si>
    <t>98;242;1</t>
  </si>
  <si>
    <t>93;179;1</t>
  </si>
  <si>
    <t>94;181;1</t>
  </si>
  <si>
    <t>98;204;1</t>
  </si>
  <si>
    <t>107;374;1</t>
  </si>
  <si>
    <t>108;480;1</t>
  </si>
  <si>
    <t>108;392;1</t>
  </si>
  <si>
    <t>108;858;1</t>
  </si>
  <si>
    <t>122;1095;1</t>
  </si>
  <si>
    <t>114;554;1</t>
  </si>
  <si>
    <t>114;719;1</t>
  </si>
  <si>
    <t>119;823;1</t>
  </si>
  <si>
    <t>113;572;1</t>
  </si>
  <si>
    <t>117;672;1</t>
  </si>
  <si>
    <t>120;938;1</t>
  </si>
  <si>
    <t>121;985;1</t>
  </si>
  <si>
    <t>126;1207;1</t>
  </si>
  <si>
    <t>129;1614;1</t>
  </si>
  <si>
    <t>130;1770;1</t>
  </si>
  <si>
    <t>135;2091;1</t>
  </si>
  <si>
    <t>134;2207;1</t>
  </si>
  <si>
    <t>138;2324;1</t>
  </si>
  <si>
    <t>139;2774;1</t>
  </si>
  <si>
    <t>140;2964;1</t>
  </si>
  <si>
    <t>139;2923;1</t>
  </si>
  <si>
    <t>141;3294;1</t>
  </si>
  <si>
    <t>140;3589;1</t>
  </si>
  <si>
    <t>144;3479;1</t>
  </si>
  <si>
    <t>146;3932;1</t>
  </si>
  <si>
    <t>148;4372;1</t>
  </si>
  <si>
    <t>150;6278;1</t>
  </si>
  <si>
    <t>153;6278;1</t>
  </si>
  <si>
    <t>158;7434;1</t>
  </si>
  <si>
    <t>161;9904;1</t>
  </si>
  <si>
    <t>161;9484;1</t>
  </si>
  <si>
    <t>161;9640;1</t>
  </si>
  <si>
    <t>161;9084;1</t>
  </si>
  <si>
    <t>162;10252;1</t>
  </si>
  <si>
    <t>163;10968;1</t>
  </si>
  <si>
    <t>159;8612;1</t>
  </si>
  <si>
    <t>161;9832;1</t>
  </si>
  <si>
    <t>160;9624;1</t>
  </si>
  <si>
    <t>163;9624;1</t>
  </si>
  <si>
    <t>163;11052;1</t>
  </si>
  <si>
    <t>164;12156;1</t>
  </si>
  <si>
    <t>165;11152;1</t>
  </si>
  <si>
    <t>167;14160;1</t>
  </si>
  <si>
    <t>168;13076;1</t>
  </si>
  <si>
    <t>165;12476;1</t>
  </si>
  <si>
    <t>166;12408;1</t>
  </si>
  <si>
    <t>164;12292;1</t>
  </si>
  <si>
    <t>162;10460;1</t>
  </si>
  <si>
    <t>163;10468;1</t>
  </si>
  <si>
    <t>162;9932;1</t>
  </si>
  <si>
    <t>163;9792;1</t>
  </si>
  <si>
    <t>167;12408;1</t>
  </si>
  <si>
    <t>162;11124;1</t>
  </si>
  <si>
    <t>167;11816;1</t>
  </si>
  <si>
    <t>165;11164;1</t>
  </si>
  <si>
    <t>164;11428;1</t>
  </si>
  <si>
    <t>174;25680;1</t>
  </si>
  <si>
    <t>178;25048;1</t>
  </si>
  <si>
    <t>173;21088;1</t>
  </si>
  <si>
    <t>173;16632;1</t>
  </si>
  <si>
    <t>171;20008;1</t>
  </si>
  <si>
    <t>161;11076;1</t>
  </si>
  <si>
    <t>162;8684;1</t>
  </si>
  <si>
    <t>165;10040;1</t>
  </si>
  <si>
    <t>169;20152;1</t>
  </si>
  <si>
    <t>167;14172;1</t>
  </si>
  <si>
    <t>163;11304;1</t>
  </si>
  <si>
    <t>168;14888;1</t>
  </si>
  <si>
    <t>176;10180;1</t>
  </si>
  <si>
    <t>165;11632;1</t>
  </si>
  <si>
    <t>168;33472;1</t>
  </si>
  <si>
    <t>174;17408;1</t>
  </si>
  <si>
    <t>168;23048;1</t>
  </si>
  <si>
    <t>171;15772;1</t>
  </si>
  <si>
    <t>172;17296;1</t>
  </si>
  <si>
    <t>166;10380;1</t>
  </si>
  <si>
    <t>164;13436;1</t>
  </si>
  <si>
    <t>183;19192;1</t>
  </si>
  <si>
    <t>172;18792;1</t>
  </si>
  <si>
    <t>168;14896;1</t>
  </si>
  <si>
    <t>169;15308;1</t>
  </si>
  <si>
    <t>168;15308;1</t>
  </si>
  <si>
    <t>183;8208;1</t>
  </si>
  <si>
    <t>187;41424;1</t>
  </si>
  <si>
    <t>170;15520;1</t>
  </si>
  <si>
    <t>168;11748;1</t>
  </si>
  <si>
    <t>165;11208;1</t>
  </si>
  <si>
    <t>165;9204;1</t>
  </si>
  <si>
    <t>172;13056;1</t>
  </si>
  <si>
    <t>191;11052;1</t>
  </si>
  <si>
    <t>193;14836;1</t>
  </si>
  <si>
    <t>191;45520;1</t>
  </si>
  <si>
    <t>191;45424;1</t>
  </si>
  <si>
    <t>191;46576;1</t>
  </si>
  <si>
    <t>192;49872;1</t>
  </si>
  <si>
    <t>193;47024;1</t>
  </si>
  <si>
    <t>194;49264;1</t>
  </si>
  <si>
    <t>195;54112;1</t>
  </si>
  <si>
    <t>195;56944;1</t>
  </si>
  <si>
    <t>195;57904;1</t>
  </si>
  <si>
    <t>195;56736;1</t>
  </si>
  <si>
    <t>195;59552;1</t>
  </si>
  <si>
    <t>186;21832;1</t>
  </si>
  <si>
    <t>169;12312;1</t>
  </si>
  <si>
    <t>191;59152;1</t>
  </si>
  <si>
    <t>164;10344;1</t>
  </si>
  <si>
    <t>193;55216;1</t>
  </si>
  <si>
    <t>193;53360;1</t>
  </si>
  <si>
    <t>192;53952;1</t>
  </si>
  <si>
    <t>191;26848;1</t>
  </si>
  <si>
    <t>190;44544;1</t>
  </si>
  <si>
    <t>189;44128;1</t>
  </si>
  <si>
    <t>188;34672;1</t>
  </si>
  <si>
    <t>187;39552;1</t>
  </si>
  <si>
    <t>189;17736;1</t>
  </si>
  <si>
    <t>187;42000;1</t>
  </si>
  <si>
    <t>184;42000;1</t>
  </si>
  <si>
    <t>185;37920;1</t>
  </si>
  <si>
    <t>184;35424;1</t>
  </si>
  <si>
    <t>185;38080;1</t>
  </si>
  <si>
    <t>185;38480;1</t>
  </si>
  <si>
    <t>180;38480;1</t>
  </si>
  <si>
    <t>185;34976;1</t>
  </si>
  <si>
    <t>167;9840;1</t>
  </si>
  <si>
    <t>184;33760;1</t>
  </si>
  <si>
    <t>183;32344;1</t>
  </si>
  <si>
    <t>184;35136;1</t>
  </si>
  <si>
    <t>181;28144;1</t>
  </si>
  <si>
    <t>183;29344;1</t>
  </si>
  <si>
    <t>183;28448;1</t>
  </si>
  <si>
    <t>180;26632;1</t>
  </si>
  <si>
    <t>179;26760;1</t>
  </si>
  <si>
    <t>179;25640;1</t>
  </si>
  <si>
    <t>179;26968;1</t>
  </si>
  <si>
    <t>179;25624;1</t>
  </si>
  <si>
    <t>180;26104;1</t>
  </si>
  <si>
    <t>179;25784;1</t>
  </si>
  <si>
    <t>181;27304;1</t>
  </si>
  <si>
    <t>180;27784;1</t>
  </si>
  <si>
    <t>183;29368;1</t>
  </si>
  <si>
    <t>183;31688;1</t>
  </si>
  <si>
    <t>181;31752;1</t>
  </si>
  <si>
    <t>161;9456;1</t>
  </si>
  <si>
    <t>178;26664;1</t>
  </si>
  <si>
    <t>163;8044;1</t>
  </si>
  <si>
    <t>181;24224;1</t>
  </si>
  <si>
    <t>179;26816;1</t>
  </si>
  <si>
    <t>180;28232;1</t>
  </si>
  <si>
    <t>180;28688;1</t>
  </si>
  <si>
    <t>181;29432;1</t>
  </si>
  <si>
    <t>182;30776;1</t>
  </si>
  <si>
    <t>155;19336;1</t>
  </si>
  <si>
    <t>182;31232;1</t>
  </si>
  <si>
    <t>175;21904;1</t>
  </si>
  <si>
    <t>183;33152;1</t>
  </si>
  <si>
    <t>184;34592;1</t>
  </si>
  <si>
    <t>183;32696;1</t>
  </si>
  <si>
    <t>154;30296;1</t>
  </si>
  <si>
    <t>160;35600;1</t>
  </si>
  <si>
    <t>184;35152;1</t>
  </si>
  <si>
    <t>184;19328;1</t>
  </si>
  <si>
    <t>183;31912;1</t>
  </si>
  <si>
    <t>184;34608;1</t>
  </si>
  <si>
    <t>182;35728;1</t>
  </si>
  <si>
    <t>183;35648;1</t>
  </si>
  <si>
    <t>184;35552;1</t>
  </si>
  <si>
    <t>184;35968;1</t>
  </si>
  <si>
    <t>184;35312;1</t>
  </si>
  <si>
    <t>184;35120;1</t>
  </si>
  <si>
    <t>184;37168;1</t>
  </si>
  <si>
    <t>185;35760;1</t>
  </si>
  <si>
    <t>183;37776;1</t>
  </si>
  <si>
    <t>186;38912;1</t>
  </si>
  <si>
    <t>186;41392;1</t>
  </si>
  <si>
    <t>184;9652;1</t>
  </si>
  <si>
    <t>183;38912;1</t>
  </si>
  <si>
    <t>155;7386;1</t>
  </si>
  <si>
    <t>183;7386;1</t>
  </si>
  <si>
    <t>169;31960;1</t>
  </si>
  <si>
    <t>181;17760;1</t>
  </si>
  <si>
    <t>172;39776;1</t>
  </si>
  <si>
    <t>182;37968;1</t>
  </si>
  <si>
    <t>181;36624;1</t>
  </si>
  <si>
    <t>180;35104;1</t>
  </si>
  <si>
    <t>179;33088;1</t>
  </si>
  <si>
    <t>177;31400;1</t>
  </si>
  <si>
    <t>176;27784;1</t>
  </si>
  <si>
    <t>175;27008;1</t>
  </si>
  <si>
    <t>172;26064;1</t>
  </si>
  <si>
    <t>166;4302;1</t>
  </si>
  <si>
    <t>143;3826;1</t>
  </si>
  <si>
    <t>143;2997;1</t>
  </si>
  <si>
    <t>164;12568;1</t>
  </si>
  <si>
    <t>161;10152;1</t>
  </si>
  <si>
    <t>158;7942;1</t>
  </si>
  <si>
    <t>154;6812;1</t>
  </si>
  <si>
    <t>148;4642;1</t>
  </si>
  <si>
    <t>144;4230;1</t>
  </si>
  <si>
    <t>140;3159;1</t>
  </si>
  <si>
    <t>132;1593;1</t>
  </si>
  <si>
    <t>128;1246;1</t>
  </si>
  <si>
    <t>124;1008;1</t>
  </si>
  <si>
    <t>120;775;1</t>
  </si>
  <si>
    <t>113;553;1</t>
  </si>
  <si>
    <t>108;419;1</t>
  </si>
  <si>
    <t>101;264;1</t>
  </si>
  <si>
    <t>92;159;1</t>
  </si>
  <si>
    <t>80;82;1</t>
  </si>
  <si>
    <t>56;50;1</t>
  </si>
  <si>
    <t>29;29;1</t>
  </si>
  <si>
    <t>13;10;1</t>
  </si>
  <si>
    <t>14;12;1</t>
  </si>
  <si>
    <t>60;53;1</t>
  </si>
  <si>
    <t>83;85;1</t>
  </si>
  <si>
    <t>83;164;1</t>
  </si>
  <si>
    <t>95;297;1</t>
  </si>
  <si>
    <t>105;464;1</t>
  </si>
  <si>
    <t>112;610;1</t>
  </si>
  <si>
    <t>119;757;1</t>
  </si>
  <si>
    <t>124;1076;1</t>
  </si>
  <si>
    <t>131;1951;1</t>
  </si>
  <si>
    <t>134;1746;1</t>
  </si>
  <si>
    <t>136;2260;1</t>
  </si>
  <si>
    <t>139;2534;1</t>
  </si>
  <si>
    <t>139;2505;1</t>
  </si>
  <si>
    <t>140;2556;1</t>
  </si>
  <si>
    <t>142;2747;1</t>
  </si>
  <si>
    <t>144;3146;1</t>
  </si>
  <si>
    <t>143;3047;1</t>
  </si>
  <si>
    <t>146;3767;1</t>
  </si>
  <si>
    <t>146;4354;1</t>
  </si>
  <si>
    <t>146;3967;1</t>
  </si>
  <si>
    <t>146;3578;1</t>
  </si>
  <si>
    <t>147;3807;1</t>
  </si>
  <si>
    <t>148;4236;1</t>
  </si>
  <si>
    <t>150;5196;1</t>
  </si>
  <si>
    <t>152;5446;1</t>
  </si>
  <si>
    <t>152;5746;1</t>
  </si>
  <si>
    <t>152;4892;1</t>
  </si>
  <si>
    <t>151;4348;1</t>
  </si>
  <si>
    <t>152;5298;1</t>
  </si>
  <si>
    <t>152;5984;1</t>
  </si>
  <si>
    <t>153;5470;1</t>
  </si>
  <si>
    <t>153;6210;1</t>
  </si>
  <si>
    <t>154;5790;1</t>
  </si>
  <si>
    <t>154;5942;1</t>
  </si>
  <si>
    <t>157;7664;1</t>
  </si>
  <si>
    <t>154;6352;1</t>
  </si>
  <si>
    <t>156;6844;1</t>
  </si>
  <si>
    <t>156;6992;1</t>
  </si>
  <si>
    <t>156;6546;1</t>
  </si>
  <si>
    <t>157;7348;1</t>
  </si>
  <si>
    <t>160;7948;1</t>
  </si>
  <si>
    <t>160;9168;1</t>
  </si>
  <si>
    <t>162;11008;1</t>
  </si>
  <si>
    <t>164;10736;1</t>
  </si>
  <si>
    <t>164;10324;1</t>
  </si>
  <si>
    <t>163;10796;1</t>
  </si>
  <si>
    <t>164;11080;1</t>
  </si>
  <si>
    <t>164;10688;1</t>
  </si>
  <si>
    <t>165;12148;1</t>
  </si>
  <si>
    <t>170;15796;1</t>
  </si>
  <si>
    <t>171;15728;1</t>
  </si>
  <si>
    <t>173;16148;1</t>
  </si>
  <si>
    <t>173;15816;1</t>
  </si>
  <si>
    <t>173;15728;1</t>
  </si>
  <si>
    <t>174;16976;1</t>
  </si>
  <si>
    <t>174;17616;1</t>
  </si>
  <si>
    <t>176;20744;1</t>
  </si>
  <si>
    <t>174;19064;1</t>
  </si>
  <si>
    <t>179;24288;1</t>
  </si>
  <si>
    <t>176;17472;1</t>
  </si>
  <si>
    <t>176;17960;1</t>
  </si>
  <si>
    <t>175;17992;1</t>
  </si>
  <si>
    <t>174;17224;1</t>
  </si>
  <si>
    <t>171;16116;1</t>
  </si>
  <si>
    <t>163;12492;1</t>
  </si>
  <si>
    <t>166;10300;1</t>
  </si>
  <si>
    <t>171;12940;1</t>
  </si>
  <si>
    <t>172;14816;1</t>
  </si>
  <si>
    <t>171;15068;1</t>
  </si>
  <si>
    <t>170;11996;1</t>
  </si>
  <si>
    <t>171;12548;1</t>
  </si>
  <si>
    <t>173;13204;1</t>
  </si>
  <si>
    <t>171;14580;1</t>
  </si>
  <si>
    <t>172;13272;1</t>
  </si>
  <si>
    <t>172;13300;1</t>
  </si>
  <si>
    <t>172;13396;1</t>
  </si>
  <si>
    <t>171;12428;1</t>
  </si>
  <si>
    <t>172;12476;1</t>
  </si>
  <si>
    <t>173;14344;1</t>
  </si>
  <si>
    <t>174;15124;1</t>
  </si>
  <si>
    <t>175;15096;1</t>
  </si>
  <si>
    <t>175;15524;1</t>
  </si>
  <si>
    <t>174;16904;1</t>
  </si>
  <si>
    <t>174;19672;1</t>
  </si>
  <si>
    <t>176;17744;1</t>
  </si>
  <si>
    <t>183;29704;1</t>
  </si>
  <si>
    <t>177;18064;1</t>
  </si>
  <si>
    <t>174;16896;1</t>
  </si>
  <si>
    <t>175;17784;1</t>
  </si>
  <si>
    <t>173;16256;1</t>
  </si>
  <si>
    <t>178;19992;1</t>
  </si>
  <si>
    <t>185;32408;1</t>
  </si>
  <si>
    <t>180;34448;1</t>
  </si>
  <si>
    <t>185;49536;1</t>
  </si>
  <si>
    <t>191;27736;1</t>
  </si>
  <si>
    <t>194;56784;1</t>
  </si>
  <si>
    <t>189;59808;1</t>
  </si>
  <si>
    <t>188;37360;1</t>
  </si>
  <si>
    <t>193;48416;1</t>
  </si>
  <si>
    <t>189;40912;1</t>
  </si>
  <si>
    <t>183;29096;1</t>
  </si>
  <si>
    <t>183;33136;1</t>
  </si>
  <si>
    <t>181;27368;1</t>
  </si>
  <si>
    <t>183;52544;1</t>
  </si>
  <si>
    <t>184;29920;1</t>
  </si>
  <si>
    <t>182;27112;1</t>
  </si>
  <si>
    <t>184;31360;1</t>
  </si>
  <si>
    <t>183;38096;1</t>
  </si>
  <si>
    <t>186;47440;1</t>
  </si>
  <si>
    <t>179;29104;1</t>
  </si>
  <si>
    <t>176;20536;1</t>
  </si>
  <si>
    <t>177;21760;1</t>
  </si>
  <si>
    <t>176;21200;1</t>
  </si>
  <si>
    <t>173;21200;1</t>
  </si>
  <si>
    <t>179;20960;1</t>
  </si>
  <si>
    <t>171;17704;1</t>
  </si>
  <si>
    <t>171;14880;1</t>
  </si>
  <si>
    <t>171;11868;1</t>
  </si>
  <si>
    <t>170;13872;1</t>
  </si>
  <si>
    <t>174;18704;1</t>
  </si>
  <si>
    <t>172;16664;1</t>
  </si>
  <si>
    <t>175;25328;1</t>
  </si>
  <si>
    <t>171;15636;1</t>
  </si>
  <si>
    <t>172;13164;1</t>
  </si>
  <si>
    <t>172;22792;1</t>
  </si>
  <si>
    <t>171;13408;1</t>
  </si>
  <si>
    <t>172;13064;1</t>
  </si>
  <si>
    <t>173;17688;1</t>
  </si>
  <si>
    <t>172;17112;1</t>
  </si>
  <si>
    <t>179;14296;1</t>
  </si>
  <si>
    <t>171;14860;1</t>
  </si>
  <si>
    <t>174;17912;1</t>
  </si>
  <si>
    <t>173;16308;1</t>
  </si>
  <si>
    <t>174;19368;1</t>
  </si>
  <si>
    <t>172;16632;1</t>
  </si>
  <si>
    <t>173;17992;1</t>
  </si>
  <si>
    <t>176;34224;1</t>
  </si>
  <si>
    <t>175;17136;1</t>
  </si>
  <si>
    <t>175;21144;1</t>
  </si>
  <si>
    <t>178;20872;1</t>
  </si>
  <si>
    <t>174;17520;1</t>
  </si>
  <si>
    <t>176;20480;1</t>
  </si>
  <si>
    <t>163;13212;1</t>
  </si>
  <si>
    <t>168;11264;1</t>
  </si>
  <si>
    <t>169;12220;1</t>
  </si>
  <si>
    <t>166;9968;1</t>
  </si>
  <si>
    <t>164;9780;1</t>
  </si>
  <si>
    <t>162;8416;1</t>
  </si>
  <si>
    <t>162;9024;1</t>
  </si>
  <si>
    <t>162;8500;1</t>
  </si>
  <si>
    <t>162;9876;1</t>
  </si>
  <si>
    <t>157;7712;1</t>
  </si>
  <si>
    <t>154;6072;1</t>
  </si>
  <si>
    <t>154;5708;1</t>
  </si>
  <si>
    <t>155;5520;1</t>
  </si>
  <si>
    <t>159;6484;1</t>
  </si>
  <si>
    <t>159;7332;1</t>
  </si>
  <si>
    <t>160;7716;1</t>
  </si>
  <si>
    <t>158;7312;1</t>
  </si>
  <si>
    <t>163;8144;1</t>
  </si>
  <si>
    <t>170;8536;1</t>
  </si>
  <si>
    <t>171;17192;1</t>
  </si>
  <si>
    <t>163;12612;1</t>
  </si>
  <si>
    <t>158;6974;1</t>
  </si>
  <si>
    <t>157;6648;1</t>
  </si>
  <si>
    <t>155;5662;1</t>
  </si>
  <si>
    <t>153;5218;1</t>
  </si>
  <si>
    <t>149;4500;1</t>
  </si>
  <si>
    <t>148;4428;1</t>
  </si>
  <si>
    <t>147;3938;1</t>
  </si>
  <si>
    <t>147;3917;1</t>
  </si>
  <si>
    <t>147;4086;1</t>
  </si>
  <si>
    <t>150;4464;1</t>
  </si>
  <si>
    <t>149;4320;1</t>
  </si>
  <si>
    <t>147;3798;1</t>
  </si>
  <si>
    <t>146;3569;1</t>
  </si>
  <si>
    <t>146;3617;1</t>
  </si>
  <si>
    <t>141;2499;1</t>
  </si>
  <si>
    <t>138;2182;1</t>
  </si>
  <si>
    <t>135;2057;1</t>
  </si>
  <si>
    <t>135;1804;1</t>
  </si>
  <si>
    <t>134;1823;1</t>
  </si>
  <si>
    <t>129;1346;1</t>
  </si>
  <si>
    <t>128;1234;1</t>
  </si>
  <si>
    <t>125;1039;1</t>
  </si>
  <si>
    <t>120;767;1</t>
  </si>
  <si>
    <t>112;498;1</t>
  </si>
  <si>
    <t>110;430;1</t>
  </si>
  <si>
    <t>109;465;1</t>
  </si>
  <si>
    <t>110;478;1</t>
  </si>
  <si>
    <t>110;480;1</t>
  </si>
  <si>
    <t>104;327;1</t>
  </si>
  <si>
    <t>104;345;1</t>
  </si>
  <si>
    <t>100;320;1</t>
  </si>
  <si>
    <t>93;186;1</t>
  </si>
  <si>
    <t>89;173;1</t>
  </si>
  <si>
    <t>83;104;1</t>
  </si>
  <si>
    <t>76;75;1</t>
  </si>
  <si>
    <t>56;43;1</t>
  </si>
  <si>
    <t>36;28;1</t>
  </si>
  <si>
    <t>21;17;1</t>
  </si>
  <si>
    <t>12;10;1</t>
  </si>
  <si>
    <t>4;3;1</t>
  </si>
  <si>
    <t>2;0;1</t>
  </si>
  <si>
    <t>8;5;1</t>
  </si>
  <si>
    <t>8;11;1</t>
  </si>
  <si>
    <t>34;36;1</t>
  </si>
  <si>
    <t>61;76;1</t>
  </si>
  <si>
    <t>78;71;1</t>
  </si>
  <si>
    <t>84;113;1</t>
  </si>
  <si>
    <t>85;144;1</t>
  </si>
  <si>
    <t>94;191;1</t>
  </si>
  <si>
    <t>99;239;1</t>
  </si>
  <si>
    <t>103;272;1</t>
  </si>
  <si>
    <t>113;485;1</t>
  </si>
  <si>
    <t>121;807;1</t>
  </si>
  <si>
    <t>118;737;1</t>
  </si>
  <si>
    <t>117;714;1</t>
  </si>
  <si>
    <t>121;930;1</t>
  </si>
  <si>
    <t>123;963;1</t>
  </si>
  <si>
    <t>126;1058;1</t>
  </si>
  <si>
    <t>124;1067;1</t>
  </si>
  <si>
    <t>128;1268;1</t>
  </si>
  <si>
    <t>130;1580;1</t>
  </si>
  <si>
    <t>135;2195;1</t>
  </si>
  <si>
    <t>143;2848;1</t>
  </si>
  <si>
    <t>146;3521;1</t>
  </si>
  <si>
    <t>146;3278;1</t>
  </si>
  <si>
    <t>145;3180;1</t>
  </si>
  <si>
    <t>143;3075;1</t>
  </si>
  <si>
    <t>142;2867;1</t>
  </si>
  <si>
    <t>140;2867;1</t>
  </si>
  <si>
    <t>145;2712;1</t>
  </si>
  <si>
    <t>147;3351;1</t>
  </si>
  <si>
    <t>144;3082;1</t>
  </si>
  <si>
    <t>142;2647;1</t>
  </si>
  <si>
    <t>141;2620;1</t>
  </si>
  <si>
    <t>140;2595;1</t>
  </si>
  <si>
    <t>140;2566;1</t>
  </si>
  <si>
    <t>144;2893;1</t>
  </si>
  <si>
    <t>145;3349;1</t>
  </si>
  <si>
    <t>148;4220;1</t>
  </si>
  <si>
    <t>149;4116;1</t>
  </si>
  <si>
    <t>151;4932;1</t>
  </si>
  <si>
    <t>147;3969;1</t>
  </si>
  <si>
    <t>150;5264;1</t>
  </si>
  <si>
    <t>148;4474;1</t>
  </si>
  <si>
    <t>153;5524;1</t>
  </si>
  <si>
    <t>154;6074;1</t>
  </si>
  <si>
    <t>152;5902;1</t>
  </si>
  <si>
    <t>153;5020;1</t>
  </si>
  <si>
    <t>155;6400;1</t>
  </si>
  <si>
    <t>156;6502;1</t>
  </si>
  <si>
    <t>156;5904;1</t>
  </si>
  <si>
    <t>155;6114;1</t>
  </si>
  <si>
    <t>160;7672;1</t>
  </si>
  <si>
    <t>162;8412;1</t>
  </si>
  <si>
    <t>161;8652;1</t>
  </si>
  <si>
    <t>162;8652;1</t>
  </si>
  <si>
    <t>159;6408;1</t>
  </si>
  <si>
    <t>153;5262;1</t>
  </si>
  <si>
    <t>155;6098;1</t>
  </si>
  <si>
    <t>159;7574;1</t>
  </si>
  <si>
    <t>158;7714;1</t>
  </si>
  <si>
    <t>155;7218;1</t>
  </si>
  <si>
    <t>147;5554;1</t>
  </si>
  <si>
    <t>146;5190;1</t>
  </si>
  <si>
    <t>156;5628;1</t>
  </si>
  <si>
    <t>151;5362;1</t>
  </si>
  <si>
    <t>162;6622;1</t>
  </si>
  <si>
    <t>163;8936;1</t>
  </si>
  <si>
    <t>159;8448;1</t>
  </si>
  <si>
    <t>152;5364;1</t>
  </si>
  <si>
    <t>148;5198;1</t>
  </si>
  <si>
    <t>156;4834;1</t>
  </si>
  <si>
    <t>165;10488;1</t>
  </si>
  <si>
    <t>164;11580;1</t>
  </si>
  <si>
    <t>161;9880;1</t>
  </si>
  <si>
    <t>158;7222;1</t>
  </si>
  <si>
    <t>165;11212;1</t>
  </si>
  <si>
    <t>166;13008;1</t>
  </si>
  <si>
    <t>167;11096;1</t>
  </si>
  <si>
    <t>164;10624;1</t>
  </si>
  <si>
    <t>159;8584;1</t>
  </si>
  <si>
    <t>167;8948;1</t>
  </si>
  <si>
    <t>171;14240;1</t>
  </si>
  <si>
    <t>173;16696;1</t>
  </si>
  <si>
    <t>182;22672;1</t>
  </si>
  <si>
    <t>176;21816;1</t>
  </si>
  <si>
    <t>174;22752;1</t>
  </si>
  <si>
    <t>172;15144;1</t>
  </si>
  <si>
    <t>172;16536;1</t>
  </si>
  <si>
    <t>158;7528;1</t>
  </si>
  <si>
    <t>159;7318;1</t>
  </si>
  <si>
    <t>164;10668;1</t>
  </si>
  <si>
    <t>167;12224;1</t>
  </si>
  <si>
    <t>162;11136;1</t>
  </si>
  <si>
    <t>162;7566;1</t>
  </si>
  <si>
    <t>159;7816;1</t>
  </si>
  <si>
    <t>156;9556;1</t>
  </si>
  <si>
    <t>152;5492;1</t>
  </si>
  <si>
    <t>148;4013;1</t>
  </si>
  <si>
    <t>149;4392;1</t>
  </si>
  <si>
    <t>152;5436;1</t>
  </si>
  <si>
    <t>159;6260;1</t>
  </si>
  <si>
    <t>162;9528;1</t>
  </si>
  <si>
    <t>165;8400;1</t>
  </si>
  <si>
    <t>172;15948;1</t>
  </si>
  <si>
    <t>175;16280;1</t>
  </si>
  <si>
    <t>177;18656;1</t>
  </si>
  <si>
    <t>180;19592;1</t>
  </si>
  <si>
    <t>176;26536;1</t>
  </si>
  <si>
    <t>177;25608;1</t>
  </si>
  <si>
    <t>177;22000;1</t>
  </si>
  <si>
    <t>174;18744;1</t>
  </si>
  <si>
    <t>172;17800;1</t>
  </si>
  <si>
    <t>168;13192;1</t>
  </si>
  <si>
    <t>164;10728;1</t>
  </si>
  <si>
    <t>157;6782;1</t>
  </si>
  <si>
    <t>162;6448;1</t>
  </si>
  <si>
    <t>161;8134;1</t>
  </si>
  <si>
    <t>167;11516;1</t>
  </si>
  <si>
    <t>169;12320;1</t>
  </si>
  <si>
    <t>170;13116;1</t>
  </si>
  <si>
    <t>172;15472;1</t>
  </si>
  <si>
    <t>168;12516;1</t>
  </si>
  <si>
    <t>166;11076;1</t>
  </si>
  <si>
    <t>172;16768;1</t>
  </si>
  <si>
    <t>176;21232;1</t>
  </si>
  <si>
    <t>170;14312;1</t>
  </si>
  <si>
    <t>170;16000;1</t>
  </si>
  <si>
    <t>171;15972;1</t>
  </si>
  <si>
    <t>170;40240;1</t>
  </si>
  <si>
    <t>171;14956;1</t>
  </si>
  <si>
    <t>166;15836;1</t>
  </si>
  <si>
    <t>187;11024;1</t>
  </si>
  <si>
    <t>185;37696;1</t>
  </si>
  <si>
    <t>186;35552;1</t>
  </si>
  <si>
    <t>186;35632;1</t>
  </si>
  <si>
    <t>186;36928;1</t>
  </si>
  <si>
    <t>165;35792;1</t>
  </si>
  <si>
    <t>184;34800;1</t>
  </si>
  <si>
    <t>170;11716;1</t>
  </si>
  <si>
    <t>185;35456;1</t>
  </si>
  <si>
    <t>162;8528;1</t>
  </si>
  <si>
    <t>165;7708;1</t>
  </si>
  <si>
    <t>184;30920;1</t>
  </si>
  <si>
    <t>183;32280;1</t>
  </si>
  <si>
    <t>184;32648;1</t>
  </si>
  <si>
    <t>157;6174;1</t>
  </si>
  <si>
    <t>183;31712;1</t>
  </si>
  <si>
    <t>182;29664;1</t>
  </si>
  <si>
    <t>182;30264;1</t>
  </si>
  <si>
    <t>165;31912;1</t>
  </si>
  <si>
    <t>178;31576;1</t>
  </si>
  <si>
    <t>184;33392;1</t>
  </si>
  <si>
    <t>188;48368;1</t>
  </si>
  <si>
    <t>189;46256;1</t>
  </si>
  <si>
    <t>189;49456;1</t>
  </si>
  <si>
    <t>189;49680;1</t>
  </si>
  <si>
    <t>183;14460;1</t>
  </si>
  <si>
    <t>181;29520;1</t>
  </si>
  <si>
    <t>176;9032;1</t>
  </si>
  <si>
    <t>183;33120;1</t>
  </si>
  <si>
    <t>183;35680;1</t>
  </si>
  <si>
    <t>184;35680;1</t>
  </si>
  <si>
    <t>184;16984;1</t>
  </si>
  <si>
    <t>162;30720;1</t>
  </si>
  <si>
    <t>186;8820;1</t>
  </si>
  <si>
    <t>179;41648;1</t>
  </si>
  <si>
    <t>174;41648;1</t>
  </si>
  <si>
    <t>183;32784;1</t>
  </si>
  <si>
    <t>173;24256;1</t>
  </si>
  <si>
    <t>160;9192;1</t>
  </si>
  <si>
    <t>164;10164;1</t>
  </si>
  <si>
    <t>160;7742;1</t>
  </si>
  <si>
    <t>153;5258;1</t>
  </si>
  <si>
    <t>157;6180;1</t>
  </si>
  <si>
    <t>154;6152;1</t>
  </si>
  <si>
    <t>151;5010;1</t>
  </si>
  <si>
    <t>146;3321;1</t>
  </si>
  <si>
    <t>147;3157;1</t>
  </si>
  <si>
    <t>142;3966;1</t>
  </si>
  <si>
    <t>134;1945;1</t>
  </si>
  <si>
    <t>131;1829;1</t>
  </si>
  <si>
    <t>122;1042;1</t>
  </si>
  <si>
    <t>121;915;1</t>
  </si>
  <si>
    <t>121;1015;1</t>
  </si>
  <si>
    <t>120;1418;1</t>
  </si>
  <si>
    <t>135;2237;1</t>
  </si>
  <si>
    <t>144;4040;1</t>
  </si>
  <si>
    <t>146;3729;1</t>
  </si>
  <si>
    <t>154;6174;1</t>
  </si>
  <si>
    <t>151;5378;1</t>
  </si>
  <si>
    <t>150;5378;1</t>
  </si>
  <si>
    <t>150;5602;1</t>
  </si>
  <si>
    <t>150;5162;1</t>
  </si>
  <si>
    <t>150;4714;1</t>
  </si>
  <si>
    <t>149;4728;1</t>
  </si>
  <si>
    <t>143;3407;1</t>
  </si>
  <si>
    <t>134;1852;1</t>
  </si>
  <si>
    <t>117;917;1</t>
  </si>
  <si>
    <t>106;417;1</t>
  </si>
  <si>
    <t>92;192;1</t>
  </si>
  <si>
    <t>97;280;1</t>
  </si>
  <si>
    <t>116;1441;1</t>
  </si>
  <si>
    <t>137;2377;1</t>
  </si>
  <si>
    <t>137;2382;1</t>
  </si>
  <si>
    <t>134;2054;1</t>
  </si>
  <si>
    <t>117;821;1</t>
  </si>
  <si>
    <t>112;542;1</t>
  </si>
  <si>
    <t>110;471;1</t>
  </si>
  <si>
    <t>85;189;1</t>
  </si>
  <si>
    <t>61;44;1</t>
  </si>
  <si>
    <t>55;37;1</t>
  </si>
  <si>
    <t>26;29;1</t>
  </si>
  <si>
    <t>10;7;1</t>
  </si>
  <si>
    <t>10;9;1</t>
  </si>
  <si>
    <t>102;0;1</t>
  </si>
  <si>
    <t>115;799;1</t>
  </si>
  <si>
    <t>7;6;1</t>
  </si>
  <si>
    <t>18;13;1</t>
  </si>
  <si>
    <t>37;33;1</t>
  </si>
  <si>
    <t>76;76;1</t>
  </si>
  <si>
    <t>76;122;1</t>
  </si>
  <si>
    <t>89;178;1</t>
  </si>
  <si>
    <t>100;299;1</t>
  </si>
  <si>
    <t>107;399;1</t>
  </si>
  <si>
    <t>112;597;1</t>
  </si>
  <si>
    <t>116;738;1</t>
  </si>
  <si>
    <t>120;861;1</t>
  </si>
  <si>
    <t>123;1080;1</t>
  </si>
  <si>
    <t>120;887;1</t>
  </si>
  <si>
    <t>122;1026;1</t>
  </si>
  <si>
    <t>125;1228;1</t>
  </si>
  <si>
    <t>130;1547;1</t>
  </si>
  <si>
    <t>133;1858;1</t>
  </si>
  <si>
    <t>134;1914;1</t>
  </si>
  <si>
    <t>134;2102;1</t>
  </si>
  <si>
    <t>137;2418;1</t>
  </si>
  <si>
    <t>138;2842;1</t>
  </si>
  <si>
    <t>141;3337;1</t>
  </si>
  <si>
    <t>145;3660;1</t>
  </si>
  <si>
    <t>147;3929;1</t>
  </si>
  <si>
    <t>148;4204;1</t>
  </si>
  <si>
    <t>149;4716;1</t>
  </si>
  <si>
    <t>151;5242;1</t>
  </si>
  <si>
    <t>152;5424;1</t>
  </si>
  <si>
    <t>152;5846;1</t>
  </si>
  <si>
    <t>153;6024;1</t>
  </si>
  <si>
    <t>152;6290;1</t>
  </si>
  <si>
    <t>154;5798;1</t>
  </si>
  <si>
    <t>157;6006;1</t>
  </si>
  <si>
    <t>156;6954;1</t>
  </si>
  <si>
    <t>154;6282;1</t>
  </si>
  <si>
    <t>152;5996;1</t>
  </si>
  <si>
    <t>155;5920;1</t>
  </si>
  <si>
    <t>154;5856;1</t>
  </si>
  <si>
    <t>154;5540;1</t>
  </si>
  <si>
    <t>151;4934;1</t>
  </si>
  <si>
    <t>154;5740;1</t>
  </si>
  <si>
    <t>152;4598;1</t>
  </si>
  <si>
    <t>151;4608;1</t>
  </si>
  <si>
    <t>153;4816;1</t>
  </si>
  <si>
    <t>156;5678;1</t>
  </si>
  <si>
    <t>155;5892;1</t>
  </si>
  <si>
    <t>151;5434;1</t>
  </si>
  <si>
    <t>151;5472;1</t>
  </si>
  <si>
    <t>156;7752;1</t>
  </si>
  <si>
    <t>159;6856;1</t>
  </si>
  <si>
    <t>159;6656;1</t>
  </si>
  <si>
    <t>157;6052;1</t>
  </si>
  <si>
    <t>161;8412;1</t>
  </si>
  <si>
    <t>162;6386;1</t>
  </si>
  <si>
    <t>163;8080;1</t>
  </si>
  <si>
    <t>161;7684;1</t>
  </si>
  <si>
    <t>163;8852;1</t>
  </si>
  <si>
    <t>167;12652;1</t>
  </si>
  <si>
    <t>221;50048;1</t>
  </si>
  <si>
    <t>220;11136;1</t>
  </si>
  <si>
    <t>220;43008;1</t>
  </si>
  <si>
    <t>229;25600;1</t>
  </si>
  <si>
    <t>224;18176;1</t>
  </si>
  <si>
    <t>224;7424;1</t>
  </si>
  <si>
    <t>218;30272;1</t>
  </si>
  <si>
    <t>221;26240;1</t>
  </si>
  <si>
    <t>215;16256;1</t>
  </si>
  <si>
    <t>213;29632;1</t>
  </si>
  <si>
    <t>209;42048;1</t>
  </si>
  <si>
    <t>210;30272;1</t>
  </si>
  <si>
    <t>219;1152;1</t>
  </si>
  <si>
    <t>219;19840;1</t>
  </si>
  <si>
    <t>212;9600;1</t>
  </si>
  <si>
    <t>222;6272;1</t>
  </si>
  <si>
    <t>230;65408;1</t>
  </si>
  <si>
    <t>215;48768;1</t>
  </si>
  <si>
    <t>223;24448;1</t>
  </si>
  <si>
    <t>223;47360;1</t>
  </si>
  <si>
    <t>255;46080;1</t>
  </si>
  <si>
    <t>255;34816;1</t>
  </si>
  <si>
    <t>230;13312;1</t>
  </si>
  <si>
    <t>227;50432;1</t>
  </si>
  <si>
    <t>230;3072;1</t>
  </si>
  <si>
    <t>233;7168;1</t>
  </si>
  <si>
    <t>233;3072;1</t>
  </si>
  <si>
    <t>218;58752;1</t>
  </si>
  <si>
    <t>226;33664;1</t>
  </si>
  <si>
    <t>246;2048;1</t>
  </si>
  <si>
    <t>226;65024;1</t>
  </si>
  <si>
    <t>223;30848;1</t>
  </si>
  <si>
    <t>223;46208;1</t>
  </si>
  <si>
    <t>225;11008;1</t>
  </si>
  <si>
    <t>227;27264;1</t>
  </si>
  <si>
    <t>244;44544;1</t>
  </si>
  <si>
    <t>238;33024;1</t>
  </si>
  <si>
    <t>236;52992;1</t>
  </si>
  <si>
    <t>243;23552;1</t>
  </si>
  <si>
    <t>246;54016;1</t>
  </si>
  <si>
    <t>246;48640;1</t>
  </si>
  <si>
    <t>244;10240;1</t>
  </si>
  <si>
    <t>240;63744;1</t>
  </si>
  <si>
    <t>240;5120;1</t>
  </si>
  <si>
    <t>244;7680;1</t>
  </si>
  <si>
    <t>244;14336;1</t>
  </si>
  <si>
    <t>240;36352;1</t>
  </si>
  <si>
    <t>237;25856;1</t>
  </si>
  <si>
    <t>236;15360;1</t>
  </si>
  <si>
    <t>234;21248;1</t>
  </si>
  <si>
    <t>237;25344;1</t>
  </si>
  <si>
    <t>232;29440;1</t>
  </si>
  <si>
    <t>232;3328;1</t>
  </si>
  <si>
    <t>235;18432;1</t>
  </si>
  <si>
    <t>232;18944;1</t>
  </si>
  <si>
    <t>232;33792;1</t>
  </si>
  <si>
    <t>228;1024;1</t>
  </si>
  <si>
    <t>230;1024;1</t>
  </si>
  <si>
    <t>230;4608;1</t>
  </si>
  <si>
    <t>227;32384;1</t>
  </si>
  <si>
    <t>220;45184;1</t>
  </si>
  <si>
    <t>228;36992;1</t>
  </si>
  <si>
    <t>232;51968;1</t>
  </si>
  <si>
    <t>232;46848;1</t>
  </si>
  <si>
    <t>222;4608;1</t>
  </si>
  <si>
    <t>224;15232;1</t>
  </si>
  <si>
    <t>220;52352;1</t>
  </si>
  <si>
    <t>224;21632;1</t>
  </si>
  <si>
    <t>224;46592;1</t>
  </si>
  <si>
    <t>231;46592;1</t>
  </si>
  <si>
    <t>227;48896;1</t>
  </si>
  <si>
    <t>228;59136;1</t>
  </si>
  <si>
    <t>225;63232;1</t>
  </si>
  <si>
    <t>223;52992;1</t>
  </si>
  <si>
    <t>223;14592;1</t>
  </si>
  <si>
    <t>226;30720;1</t>
  </si>
  <si>
    <t>224;16640;1</t>
  </si>
  <si>
    <t>225;39936;1</t>
  </si>
  <si>
    <t>230;0;1</t>
  </si>
  <si>
    <t>228;23936;1</t>
  </si>
  <si>
    <t>228;2304;1</t>
  </si>
  <si>
    <t>230;28672;1</t>
  </si>
  <si>
    <t>230;41856;1</t>
  </si>
  <si>
    <t>223;7168;1</t>
  </si>
  <si>
    <t>218;10752;1</t>
  </si>
  <si>
    <t>224;28416;1</t>
  </si>
  <si>
    <t>220;41216;1</t>
  </si>
  <si>
    <t>227;64640;1</t>
  </si>
  <si>
    <t>218;27136;1</t>
  </si>
  <si>
    <t>219;58048;1</t>
  </si>
  <si>
    <t>217;64768;1</t>
  </si>
  <si>
    <t>219;55040;1</t>
  </si>
  <si>
    <t>219;4096;1</t>
  </si>
  <si>
    <t>219;17792;1</t>
  </si>
  <si>
    <t>218;24576;1</t>
  </si>
  <si>
    <t>218;59456;1</t>
  </si>
  <si>
    <t>219;52352;1</t>
  </si>
  <si>
    <t>212;12416;1</t>
  </si>
  <si>
    <t>211;8128;1</t>
  </si>
  <si>
    <t>210;57600;1</t>
  </si>
  <si>
    <t>206;5248;1</t>
  </si>
  <si>
    <t>204;56832;1</t>
  </si>
  <si>
    <t>204;4480;1</t>
  </si>
  <si>
    <t>200;48096;1</t>
  </si>
  <si>
    <t>194;2240;1</t>
  </si>
  <si>
    <t>190;57024;1</t>
  </si>
  <si>
    <t>187;45984;1</t>
  </si>
  <si>
    <t>189;64832;1</t>
  </si>
  <si>
    <t>193;64064;1</t>
  </si>
  <si>
    <t>188;50896;1</t>
  </si>
  <si>
    <t>187;45664;1</t>
  </si>
  <si>
    <t>184;35760;1</t>
  </si>
  <si>
    <t>186;46464;1</t>
  </si>
  <si>
    <t>183;36048;1</t>
  </si>
  <si>
    <t>176;32184;1</t>
  </si>
  <si>
    <t>172;21696;1</t>
  </si>
  <si>
    <t>167;16496;1</t>
  </si>
  <si>
    <t>163;12148;1</t>
  </si>
  <si>
    <t>159;11324;1</t>
  </si>
  <si>
    <t>153;7086;1</t>
  </si>
  <si>
    <t>142;3689;1</t>
  </si>
  <si>
    <t>135;2509;1</t>
  </si>
  <si>
    <t>122;1317;1</t>
  </si>
  <si>
    <t>112;640;1</t>
  </si>
  <si>
    <t>99;348;1</t>
  </si>
  <si>
    <t>92;247;1</t>
  </si>
  <si>
    <t>83;158;1</t>
  </si>
  <si>
    <t>56;83;1</t>
  </si>
  <si>
    <t>31;35;1</t>
  </si>
  <si>
    <t>10;12;1</t>
  </si>
  <si>
    <t>5;4;1</t>
  </si>
  <si>
    <t>108;441;1</t>
  </si>
  <si>
    <t>13;14;1</t>
  </si>
  <si>
    <t>35;42;1</t>
  </si>
  <si>
    <t>75;72;1</t>
  </si>
  <si>
    <t>75;176;1</t>
  </si>
  <si>
    <t>90;333;1</t>
  </si>
  <si>
    <t>106;787;1</t>
  </si>
  <si>
    <t>120;1565;1</t>
  </si>
  <si>
    <t>132;2443;1</t>
  </si>
  <si>
    <t>142;4118;1</t>
  </si>
  <si>
    <t>149;6338;1</t>
  </si>
  <si>
    <t>156;7658;1</t>
  </si>
  <si>
    <t>160;10088;1</t>
  </si>
  <si>
    <t>164;12188;1</t>
  </si>
  <si>
    <t>169;15216;1</t>
  </si>
  <si>
    <t>176;23232;1</t>
  </si>
  <si>
    <t>180;29568;1</t>
  </si>
  <si>
    <t>180;32192;1</t>
  </si>
  <si>
    <t>180;41504;1</t>
  </si>
  <si>
    <t>186;42656;1</t>
  </si>
  <si>
    <t>188;49904;1</t>
  </si>
  <si>
    <t>190;64304;1</t>
  </si>
  <si>
    <t>193;62368;1</t>
  </si>
  <si>
    <t>195;3168;1</t>
  </si>
  <si>
    <t>198;29376;1</t>
  </si>
  <si>
    <t>201;37728;1</t>
  </si>
  <si>
    <t>201;39136;1</t>
  </si>
  <si>
    <t>201;36544;1</t>
  </si>
  <si>
    <t>204;52768;1</t>
  </si>
  <si>
    <t>204;46976;1</t>
  </si>
  <si>
    <t>204;5952;1</t>
  </si>
  <si>
    <t>208;29888;1</t>
  </si>
  <si>
    <t>208;20672;1</t>
  </si>
  <si>
    <t>210;32384;1</t>
  </si>
  <si>
    <t>211;41216;1</t>
  </si>
  <si>
    <t>208;36544;1</t>
  </si>
  <si>
    <t>205;55808;1</t>
  </si>
  <si>
    <t>203;45536;1</t>
  </si>
  <si>
    <t>207;23744;1</t>
  </si>
  <si>
    <t>204;51424;1</t>
  </si>
  <si>
    <t>206;832;1</t>
  </si>
  <si>
    <t>199;35648;1</t>
  </si>
  <si>
    <t>197;13344;1</t>
  </si>
  <si>
    <t>197;23936;1</t>
  </si>
  <si>
    <t>197;8768;1</t>
  </si>
  <si>
    <t>197;51040;1</t>
  </si>
  <si>
    <t>205;31392;1</t>
  </si>
  <si>
    <t>206;6720;1</t>
  </si>
  <si>
    <t>205;42432;1</t>
  </si>
  <si>
    <t>217;41728;1</t>
  </si>
  <si>
    <t>212;15616;1</t>
  </si>
  <si>
    <t>219;18048;1</t>
  </si>
  <si>
    <t>227;49664;1</t>
  </si>
  <si>
    <t>227;3456;1</t>
  </si>
  <si>
    <t>231;52096;1</t>
  </si>
  <si>
    <t>230;32128;1</t>
  </si>
  <si>
    <t>232;16384;1</t>
  </si>
  <si>
    <t>232;42240;1</t>
  </si>
  <si>
    <t>232;33536;1</t>
  </si>
  <si>
    <t>232;32768;1</t>
  </si>
  <si>
    <t>233;45568;1</t>
  </si>
  <si>
    <t>235;9216;1</t>
  </si>
  <si>
    <t>234;54528;1</t>
  </si>
  <si>
    <t>233;11264;1</t>
  </si>
  <si>
    <t>230;50176;1</t>
  </si>
  <si>
    <t>225;56832;1</t>
  </si>
  <si>
    <t>226;48128;1</t>
  </si>
  <si>
    <t>233;24064;1</t>
  </si>
  <si>
    <t>234;23552;1</t>
  </si>
  <si>
    <t>236;46592;1</t>
  </si>
  <si>
    <t>236;36864;1</t>
  </si>
  <si>
    <t>236;5120;1</t>
  </si>
  <si>
    <t>234;12544;1</t>
  </si>
  <si>
    <t>232;31488;1</t>
  </si>
  <si>
    <t>228;51968;1</t>
  </si>
  <si>
    <t>255;7680;1</t>
  </si>
  <si>
    <t>255;39168;1</t>
  </si>
  <si>
    <t>255;59136;1</t>
  </si>
  <si>
    <t>255;53248;1</t>
  </si>
  <si>
    <t>255;28672;1</t>
  </si>
  <si>
    <t>255;30720;1</t>
  </si>
  <si>
    <t>255;61440;1</t>
  </si>
  <si>
    <t>255;49152;1</t>
  </si>
  <si>
    <t>255;24576;1</t>
  </si>
  <si>
    <t>255;32768;1</t>
  </si>
  <si>
    <t>255;55296;1</t>
  </si>
  <si>
    <t>255;36864;1</t>
  </si>
  <si>
    <t>255;6144;1</t>
  </si>
  <si>
    <t>255;26624;1</t>
  </si>
  <si>
    <t>255;18432;1</t>
  </si>
  <si>
    <t>255;10240;1</t>
  </si>
  <si>
    <t>255;59392;1</t>
  </si>
  <si>
    <t>255;63488;1</t>
  </si>
  <si>
    <t>255;2048;1</t>
  </si>
  <si>
    <t>255;16384;1</t>
  </si>
  <si>
    <t>234;6144;1</t>
  </si>
  <si>
    <t>220;35840;1</t>
  </si>
  <si>
    <t>255;22528;1</t>
  </si>
  <si>
    <t>255;51712;1</t>
  </si>
  <si>
    <t>255;24320;1</t>
  </si>
  <si>
    <t>240;23040;1</t>
  </si>
  <si>
    <t>231;24320;1</t>
  </si>
  <si>
    <t>229;13568;1</t>
  </si>
  <si>
    <t>241;2816;1</t>
  </si>
  <si>
    <t>232;23040;1</t>
  </si>
  <si>
    <t>236;19200;1</t>
  </si>
  <si>
    <t>241;31744;1</t>
  </si>
  <si>
    <t>231;58368;1</t>
  </si>
  <si>
    <t>231;24576;1</t>
  </si>
  <si>
    <t>232;9984;1</t>
  </si>
  <si>
    <t>228;4864;1</t>
  </si>
  <si>
    <t>216;59904;1</t>
  </si>
  <si>
    <t>224;44800;1</t>
  </si>
  <si>
    <t>231;41088;1</t>
  </si>
  <si>
    <t>229;25856;1</t>
  </si>
  <si>
    <t>221;42240;1</t>
  </si>
  <si>
    <t>221;4864;1</t>
  </si>
  <si>
    <t>232;512;1</t>
  </si>
  <si>
    <t>230;46208;1</t>
  </si>
  <si>
    <t>231;28416;1</t>
  </si>
  <si>
    <t>219;45568;1</t>
  </si>
  <si>
    <t>220;50816;1</t>
  </si>
  <si>
    <t>221;9216;1</t>
  </si>
  <si>
    <t>222;26240;1</t>
  </si>
  <si>
    <t>210;20160;1</t>
  </si>
  <si>
    <t>209;28416;1</t>
  </si>
  <si>
    <t>220;13312;1</t>
  </si>
  <si>
    <t>224;34944;1</t>
  </si>
  <si>
    <t>225;4480;1</t>
  </si>
  <si>
    <t>217;58176;1</t>
  </si>
  <si>
    <t>217;22912;1</t>
  </si>
  <si>
    <t>223;48640;1</t>
  </si>
  <si>
    <t>222;20608;1</t>
  </si>
  <si>
    <t>224;64512;1</t>
  </si>
  <si>
    <t>227;6528;1</t>
  </si>
  <si>
    <t>228;29184;1</t>
  </si>
  <si>
    <t>229;35200;1</t>
  </si>
  <si>
    <t>222;65152;1</t>
  </si>
  <si>
    <t>206;8512;1</t>
  </si>
  <si>
    <t>211;56704;1</t>
  </si>
  <si>
    <t>211;24832;1</t>
  </si>
  <si>
    <t>221;55040;1</t>
  </si>
  <si>
    <t>213;37248;1</t>
  </si>
  <si>
    <t>211;32384;1</t>
  </si>
  <si>
    <t>224;53504;1</t>
  </si>
  <si>
    <t>221;50560;1</t>
  </si>
  <si>
    <t>222;7040;1</t>
  </si>
  <si>
    <t>211;63936;1</t>
  </si>
  <si>
    <t>211;35456;1</t>
  </si>
  <si>
    <t>214;896;1</t>
  </si>
  <si>
    <t>214;53248;1</t>
  </si>
  <si>
    <t>199;40320;1</t>
  </si>
  <si>
    <t>197;18688;1</t>
  </si>
  <si>
    <t>197;23872;1</t>
  </si>
  <si>
    <t>217;9728;1</t>
  </si>
  <si>
    <t>214;56896;1</t>
  </si>
  <si>
    <t>218;51264;1</t>
  </si>
  <si>
    <t>213;6976;1</t>
  </si>
  <si>
    <t>207;32480;1</t>
  </si>
  <si>
    <t>209;23744;1</t>
  </si>
  <si>
    <t>193;62256;1</t>
  </si>
  <si>
    <t>198;28608;1</t>
  </si>
  <si>
    <t>195;22016;1</t>
  </si>
  <si>
    <t>191;60256;1</t>
  </si>
  <si>
    <t>205;65248;1</t>
  </si>
  <si>
    <t>202;43392;1</t>
  </si>
  <si>
    <t>199;29952;1</t>
  </si>
  <si>
    <t>197;15648;1</t>
  </si>
  <si>
    <t>196;13824;1</t>
  </si>
  <si>
    <t>191;59248;1</t>
  </si>
  <si>
    <t>187;48032;1</t>
  </si>
  <si>
    <t>184;41328;1</t>
  </si>
  <si>
    <t>180;31584;1</t>
  </si>
  <si>
    <t>174;22680;1</t>
  </si>
  <si>
    <t>172;18968;1</t>
  </si>
  <si>
    <t>169;16372;1</t>
  </si>
  <si>
    <t>164;13844;1</t>
  </si>
  <si>
    <t>161;11040;1</t>
  </si>
  <si>
    <t>156;8098;1</t>
  </si>
  <si>
    <t>147;4628;1</t>
  </si>
  <si>
    <t>139;3238;1</t>
  </si>
  <si>
    <t>130;2174;1</t>
  </si>
  <si>
    <t>118;1088;1</t>
  </si>
  <si>
    <t>103;485;1</t>
  </si>
  <si>
    <t>91;202;1</t>
  </si>
  <si>
    <t>78;110;1</t>
  </si>
  <si>
    <t>44;42;1</t>
  </si>
  <si>
    <t>18;22;1</t>
  </si>
  <si>
    <t>7;8;1</t>
  </si>
  <si>
    <t>31;40;1</t>
  </si>
  <si>
    <t>75;77;1</t>
  </si>
  <si>
    <t>92;151;1</t>
  </si>
  <si>
    <t>109;423;1</t>
  </si>
  <si>
    <t>122;912;1</t>
  </si>
  <si>
    <t>135;2072;1</t>
  </si>
  <si>
    <t>135;3398;1</t>
  </si>
  <si>
    <t>143;4520;1</t>
  </si>
  <si>
    <t>150;7008;1</t>
  </si>
  <si>
    <t>158;10016;1</t>
  </si>
  <si>
    <t>162;12176;1</t>
  </si>
  <si>
    <t>167;15588;1</t>
  </si>
  <si>
    <t>171;19144;1</t>
  </si>
  <si>
    <t>174;22672;1</t>
  </si>
  <si>
    <t>176;24840;1</t>
  </si>
  <si>
    <t>178;27864;1</t>
  </si>
  <si>
    <t>180;29808;1</t>
  </si>
  <si>
    <t>182;32848;1</t>
  </si>
  <si>
    <t>183;34736;1</t>
  </si>
  <si>
    <t>183;35600;1</t>
  </si>
  <si>
    <t>183;36608;1</t>
  </si>
  <si>
    <t>184;38176;1</t>
  </si>
  <si>
    <t>184;39648;1</t>
  </si>
  <si>
    <t>185;40672;1</t>
  </si>
  <si>
    <t>185;42208;1</t>
  </si>
  <si>
    <t>186;43280;1</t>
  </si>
  <si>
    <t>187;45216;1</t>
  </si>
  <si>
    <t>187;46960;1</t>
  </si>
  <si>
    <t>188;49872;1</t>
  </si>
  <si>
    <t>189;51232;1</t>
  </si>
  <si>
    <t>189;53408;1</t>
  </si>
  <si>
    <t>190;55712;1</t>
  </si>
  <si>
    <t>191;56864;1</t>
  </si>
  <si>
    <t>192;58896;1</t>
  </si>
  <si>
    <t>193;60976;1</t>
  </si>
  <si>
    <t>193;63632;1</t>
  </si>
  <si>
    <t>194;64;1</t>
  </si>
  <si>
    <t>195;2496;1</t>
  </si>
  <si>
    <t>195;3392;1</t>
  </si>
  <si>
    <t>195;4704;1</t>
  </si>
  <si>
    <t>196;6240;1</t>
  </si>
  <si>
    <t>196;9056;1</t>
  </si>
  <si>
    <t>197;12960;1</t>
  </si>
  <si>
    <t>197;14272;1</t>
  </si>
  <si>
    <t>197;18496;1</t>
  </si>
  <si>
    <t>198;22048;1</t>
  </si>
  <si>
    <t>199;31584;1</t>
  </si>
  <si>
    <t>202;40832;1</t>
  </si>
  <si>
    <t>203;49600;1</t>
  </si>
  <si>
    <t>206;59968;1</t>
  </si>
  <si>
    <t>207;64832;1</t>
  </si>
  <si>
    <t>207;17344;1</t>
  </si>
  <si>
    <t>209;26944;1</t>
  </si>
  <si>
    <t>203;40864;1</t>
  </si>
  <si>
    <t>216;36224;1</t>
  </si>
  <si>
    <t>207;15744;1</t>
  </si>
  <si>
    <t>216;43840;1</t>
  </si>
  <si>
    <t>216;33600;1</t>
  </si>
  <si>
    <t>223;55808;1</t>
  </si>
  <si>
    <t>220;18304;1</t>
  </si>
  <si>
    <t>220;28032;1</t>
  </si>
  <si>
    <t>220;38784;1</t>
  </si>
  <si>
    <t>221;43776;1</t>
  </si>
  <si>
    <t>225;63360;1</t>
  </si>
  <si>
    <t>232;33024;1</t>
  </si>
  <si>
    <t>237;40960;1</t>
  </si>
  <si>
    <t>233;44544;1</t>
  </si>
  <si>
    <t>226;35200;1</t>
  </si>
  <si>
    <t>227;26624;1</t>
  </si>
  <si>
    <t>218;6016;1</t>
  </si>
  <si>
    <t>218;40960;1</t>
  </si>
  <si>
    <t>255;41728;1</t>
  </si>
  <si>
    <t>255;43008;1</t>
  </si>
  <si>
    <t>255;14336;1</t>
  </si>
  <si>
    <t>232;5888;1</t>
  </si>
  <si>
    <t>236;24576;1</t>
  </si>
  <si>
    <t>255;64512;1</t>
  </si>
  <si>
    <t>255;51200;1</t>
  </si>
  <si>
    <t>255;8192;1</t>
  </si>
  <si>
    <t>255;0;1</t>
  </si>
  <si>
    <t>245;28672;1</t>
  </si>
  <si>
    <t>255;57344;1</t>
  </si>
  <si>
    <t>255;20480;1</t>
  </si>
  <si>
    <t>244;59392;1</t>
  </si>
  <si>
    <t>246;18432;1</t>
  </si>
  <si>
    <t>255;38912;1</t>
  </si>
  <si>
    <t>255;59904;1</t>
  </si>
  <si>
    <t>225;49408;1</t>
  </si>
  <si>
    <t>255;24448;1</t>
  </si>
  <si>
    <t>233;43392;1</t>
  </si>
  <si>
    <t>226;46592;1</t>
  </si>
  <si>
    <t>225;18432;1</t>
  </si>
  <si>
    <t>225;16384;1</t>
  </si>
  <si>
    <t>225;3968;1</t>
  </si>
  <si>
    <t>226;35456;1</t>
  </si>
  <si>
    <t>230;10368;1</t>
  </si>
  <si>
    <t>230;60416;1</t>
  </si>
  <si>
    <t>230;40192;1</t>
  </si>
  <si>
    <t>229;11776;1</t>
  </si>
  <si>
    <t>222;44032;1</t>
  </si>
  <si>
    <t>222;48000;1</t>
  </si>
  <si>
    <t>228;27904;1</t>
  </si>
  <si>
    <t>231;27904;1</t>
  </si>
  <si>
    <t>128;3881;1</t>
  </si>
  <si>
    <t>131;1936;1</t>
  </si>
  <si>
    <t>148;3897;1</t>
  </si>
  <si>
    <t>147;3803;1</t>
  </si>
  <si>
    <t>147;3942;1</t>
  </si>
  <si>
    <t>125;1229;1</t>
  </si>
  <si>
    <t>124;1204;1</t>
  </si>
  <si>
    <t>124;3775;1</t>
  </si>
  <si>
    <t>145;3611;1</t>
  </si>
  <si>
    <t>145;3568;1</t>
  </si>
  <si>
    <t>145;3603;1</t>
  </si>
  <si>
    <t>145;3533;1</t>
  </si>
  <si>
    <t>145;3707;1</t>
  </si>
  <si>
    <t>144;3469;1</t>
  </si>
  <si>
    <t>144;3407;1</t>
  </si>
  <si>
    <t>144;3427;1</t>
  </si>
  <si>
    <t>144;3416;1</t>
  </si>
  <si>
    <t>144;3417;1</t>
  </si>
  <si>
    <t>144;3455;1</t>
  </si>
  <si>
    <t>145;3585;1</t>
  </si>
  <si>
    <t>146;3746;1</t>
  </si>
  <si>
    <t>146;4062;1</t>
  </si>
  <si>
    <t>147;4320;1</t>
  </si>
  <si>
    <t>147;4492;1</t>
  </si>
  <si>
    <t>148;4734;1</t>
  </si>
  <si>
    <t>148;5018;1</t>
  </si>
  <si>
    <t>149;5296;1</t>
  </si>
  <si>
    <t>150;5594;1</t>
  </si>
  <si>
    <t>151;5794;1</t>
  </si>
  <si>
    <t>151;5970;1</t>
  </si>
  <si>
    <t>152;6228;1</t>
  </si>
  <si>
    <t>153;6458;1</t>
  </si>
  <si>
    <t>154;6736;1</t>
  </si>
  <si>
    <t>154;6920;1</t>
  </si>
  <si>
    <t>155;7260;1</t>
  </si>
  <si>
    <t>156;7522;1</t>
  </si>
  <si>
    <t>157;7778;1</t>
  </si>
  <si>
    <t>158;8066;1</t>
  </si>
  <si>
    <t>158;8428;1</t>
  </si>
  <si>
    <t>158;8576;1</t>
  </si>
  <si>
    <t>159;8632;1</t>
  </si>
  <si>
    <t>159;8812;1</t>
  </si>
  <si>
    <t>159;8924;1</t>
  </si>
  <si>
    <t>159;9028;1</t>
  </si>
  <si>
    <t>160;9732;1</t>
  </si>
  <si>
    <t>159;8872;1</t>
  </si>
  <si>
    <t>159;8720;1</t>
  </si>
  <si>
    <t>159;8760;1</t>
  </si>
  <si>
    <t>158;8424;1</t>
  </si>
  <si>
    <t>158;8420;1</t>
  </si>
  <si>
    <t>158;8272;1</t>
  </si>
  <si>
    <t>157;7964;1</t>
  </si>
  <si>
    <t>156;7604;1</t>
  </si>
  <si>
    <t>154;7088;1</t>
  </si>
  <si>
    <t>153;6706;1</t>
  </si>
  <si>
    <t>151;6296;1</t>
  </si>
  <si>
    <t>148;5178;1</t>
  </si>
  <si>
    <t>145;4206;1</t>
  </si>
  <si>
    <t>141;3622;1</t>
  </si>
  <si>
    <t>138;2843;1</t>
  </si>
  <si>
    <t>134;2147;1</t>
  </si>
  <si>
    <t>127;1543;1</t>
  </si>
  <si>
    <t>122;1195;1</t>
  </si>
  <si>
    <t>100;783;1</t>
  </si>
  <si>
    <t>97;276;1</t>
  </si>
  <si>
    <t>92;220;1</t>
  </si>
  <si>
    <t>88;171;1</t>
  </si>
  <si>
    <t>84;126;1</t>
  </si>
  <si>
    <t>79;100;1</t>
  </si>
  <si>
    <t>64;67;1</t>
  </si>
  <si>
    <t>41;41;1</t>
  </si>
  <si>
    <t>28;29;1</t>
  </si>
  <si>
    <t>17;14;1</t>
  </si>
  <si>
    <t>8;7;1</t>
  </si>
  <si>
    <t>3;4;1</t>
  </si>
  <si>
    <t>12;11;1</t>
  </si>
  <si>
    <t>23;20;1</t>
  </si>
  <si>
    <t>38;32;1</t>
  </si>
  <si>
    <t>77;81;1</t>
  </si>
  <si>
    <t>77;116;1</t>
  </si>
  <si>
    <t>84;141;1</t>
  </si>
  <si>
    <t>88;185;1</t>
  </si>
  <si>
    <t>102;710;1</t>
  </si>
  <si>
    <t>120;1069;1</t>
  </si>
  <si>
    <t>126;1350;1</t>
  </si>
  <si>
    <t>133;1911;1</t>
  </si>
  <si>
    <t>137;2587;1</t>
  </si>
  <si>
    <t>139;2942;1</t>
  </si>
  <si>
    <t>136;2642;1</t>
  </si>
  <si>
    <t>130;2124;1</t>
  </si>
  <si>
    <t>122;1221;1</t>
  </si>
  <si>
    <t>119;926;1</t>
  </si>
  <si>
    <t>117;834;1</t>
  </si>
  <si>
    <t>117;811;1</t>
  </si>
  <si>
    <t>117;819;1</t>
  </si>
  <si>
    <t>117;848;1</t>
  </si>
  <si>
    <t>118;882;1</t>
  </si>
  <si>
    <t>119;905;1</t>
  </si>
  <si>
    <t>119;939;1</t>
  </si>
  <si>
    <t>120;970;1</t>
  </si>
  <si>
    <t>121;1002;1</t>
  </si>
  <si>
    <t>122;1024;1</t>
  </si>
  <si>
    <t>122;1044;1</t>
  </si>
  <si>
    <t>122;1071;1</t>
  </si>
  <si>
    <t>123;1098;1</t>
  </si>
  <si>
    <t>123;1115;1</t>
  </si>
  <si>
    <t>123;1123;1</t>
  </si>
  <si>
    <t>123;1133;1</t>
  </si>
  <si>
    <t>123;1144;1</t>
  </si>
  <si>
    <t>123;1149;1</t>
  </si>
  <si>
    <t>123;1150;1</t>
  </si>
  <si>
    <t>123;1146;1</t>
  </si>
  <si>
    <t>123;1153;1</t>
  </si>
  <si>
    <t>123;1160;1</t>
  </si>
  <si>
    <t>123;1158;1</t>
  </si>
  <si>
    <t>123;1159;1</t>
  </si>
  <si>
    <t>123;1163;1</t>
  </si>
  <si>
    <t>123;1166;1</t>
  </si>
  <si>
    <t>123;1162;1</t>
  </si>
  <si>
    <t>123;954;1</t>
  </si>
  <si>
    <t>123;1168;1</t>
  </si>
  <si>
    <t>120;1177;1</t>
  </si>
  <si>
    <t>153;6304;1</t>
  </si>
  <si>
    <t>153;6174;1</t>
  </si>
  <si>
    <t>153;6076;1</t>
  </si>
  <si>
    <t>152;5736;1</t>
  </si>
  <si>
    <t>151;5718;1</t>
  </si>
  <si>
    <t>150;5466;1</t>
  </si>
  <si>
    <t>150;5334;1</t>
  </si>
  <si>
    <t>148;4980;1</t>
  </si>
  <si>
    <t>135;4664;1</t>
  </si>
  <si>
    <t>147;4414;1</t>
  </si>
  <si>
    <t>147;4244;1</t>
  </si>
  <si>
    <t>145;3905;1</t>
  </si>
  <si>
    <t>145;3763;1</t>
  </si>
  <si>
    <t>143;3371;1</t>
  </si>
  <si>
    <t>150;4366;1</t>
  </si>
  <si>
    <t>142;3243;1</t>
  </si>
  <si>
    <t>136;2173;1</t>
  </si>
  <si>
    <t>144;3453;1</t>
  </si>
  <si>
    <t>143;3266;1</t>
  </si>
  <si>
    <t>143;3249;1</t>
  </si>
  <si>
    <t>140;2843;1</t>
  </si>
  <si>
    <t>140;2816;1</t>
  </si>
  <si>
    <t>140;2854;1</t>
  </si>
  <si>
    <t>140;2836;1</t>
  </si>
  <si>
    <t>140;2808;1</t>
  </si>
  <si>
    <t>140;2787;1</t>
  </si>
  <si>
    <t>139;2710;1</t>
  </si>
  <si>
    <t>140;2752;1</t>
  </si>
  <si>
    <t>140;2993;1</t>
  </si>
  <si>
    <t>139;2589;1</t>
  </si>
  <si>
    <t>138;2534;1</t>
  </si>
  <si>
    <t>139;2620;1</t>
  </si>
  <si>
    <t>139;2616;1</t>
  </si>
  <si>
    <t>139;2629;1</t>
  </si>
  <si>
    <t>139;2590;1</t>
  </si>
  <si>
    <t>147;3285;1</t>
  </si>
  <si>
    <t>143;2668;1</t>
  </si>
  <si>
    <t>140;2429;1</t>
  </si>
  <si>
    <t>142;3045;1</t>
  </si>
  <si>
    <t>140;2780;1</t>
  </si>
  <si>
    <t>145;3583;1</t>
  </si>
  <si>
    <t>145;3569;1</t>
  </si>
  <si>
    <t>145;3638;1</t>
  </si>
  <si>
    <t>181;4124;1</t>
  </si>
  <si>
    <t>196;30360;1</t>
  </si>
  <si>
    <t>194;37008;1</t>
  </si>
  <si>
    <t>188;31256;1</t>
  </si>
  <si>
    <t>184;25024;1</t>
  </si>
  <si>
    <t>181;20552;1</t>
  </si>
  <si>
    <t>176;17640;1</t>
  </si>
  <si>
    <t>173;15420;1</t>
  </si>
  <si>
    <t>171;13448;1</t>
  </si>
  <si>
    <t>168;12056;1</t>
  </si>
  <si>
    <t>167;11556;1</t>
  </si>
  <si>
    <t>166;10884;1</t>
  </si>
  <si>
    <t>166;10864;1</t>
  </si>
  <si>
    <t>167;10504;1</t>
  </si>
  <si>
    <t>164;8260;1</t>
  </si>
  <si>
    <t>165;8420;1</t>
  </si>
  <si>
    <t>165;8364;1</t>
  </si>
  <si>
    <t>167;8272;1</t>
  </si>
  <si>
    <t>167;7974;1</t>
  </si>
  <si>
    <t>169;8408;1</t>
  </si>
  <si>
    <t>171;8500;1</t>
  </si>
  <si>
    <t>172;8046;1</t>
  </si>
  <si>
    <t>172;7612;1</t>
  </si>
  <si>
    <t>169;7360;1</t>
  </si>
  <si>
    <t>168;7248;1</t>
  </si>
  <si>
    <t>167;6968;1</t>
  </si>
  <si>
    <t>166;7004;1</t>
  </si>
  <si>
    <t>166;7224;1</t>
  </si>
  <si>
    <t>163;7460;1</t>
  </si>
  <si>
    <t>159;7482;1</t>
  </si>
  <si>
    <t>157;7606;1</t>
  </si>
  <si>
    <t>156;7668;1</t>
  </si>
  <si>
    <t>156;7414;1</t>
  </si>
  <si>
    <t>156;7416;1</t>
  </si>
  <si>
    <t>157;8520;1</t>
  </si>
  <si>
    <t>159;8728;1</t>
  </si>
  <si>
    <t>159;9076;1</t>
  </si>
  <si>
    <t>160;9328;1</t>
  </si>
  <si>
    <t>160;9628;1</t>
  </si>
  <si>
    <t>161;10300;1</t>
  </si>
  <si>
    <t>162;10624;1</t>
  </si>
  <si>
    <t>162;10776;1</t>
  </si>
  <si>
    <t>163;11068;1</t>
  </si>
  <si>
    <t>163;11128;1</t>
  </si>
  <si>
    <t>163;11408;1</t>
  </si>
  <si>
    <t>163;11380;1</t>
  </si>
  <si>
    <t>163;11704;1</t>
  </si>
  <si>
    <t>164;11920;1</t>
  </si>
  <si>
    <t>164;12132;1</t>
  </si>
  <si>
    <t>164;12288;1</t>
  </si>
  <si>
    <t>165;12548;1</t>
  </si>
  <si>
    <t>165;12544;1</t>
  </si>
  <si>
    <t>165;12552;1</t>
  </si>
  <si>
    <t>165;12592;1</t>
  </si>
  <si>
    <t>165;12916;1</t>
  </si>
  <si>
    <t>164;12360;1</t>
  </si>
  <si>
    <t>164;12240;1</t>
  </si>
  <si>
    <t>164;11976;1</t>
  </si>
  <si>
    <t>163;11736;1</t>
  </si>
  <si>
    <t>163;11388;1</t>
  </si>
  <si>
    <t>162;11216;1</t>
  </si>
  <si>
    <t>162;10716;1</t>
  </si>
  <si>
    <t>160;10004;1</t>
  </si>
  <si>
    <t>159;9252;1</t>
  </si>
  <si>
    <t>158;8244;1</t>
  </si>
  <si>
    <t>155;7222;1</t>
  </si>
  <si>
    <t>152;6244;1</t>
  </si>
  <si>
    <t>152;6216;1</t>
  </si>
  <si>
    <t>157;8920;1</t>
  </si>
  <si>
    <t>156;7860;1</t>
  </si>
  <si>
    <t>151;6262;1</t>
  </si>
  <si>
    <t>147;4770;1</t>
  </si>
  <si>
    <t>123;1170;1</t>
  </si>
  <si>
    <t>112;601;1</t>
  </si>
  <si>
    <t>110;498;1</t>
  </si>
  <si>
    <t>105;396;1</t>
  </si>
  <si>
    <t>100;303;1</t>
  </si>
  <si>
    <t>97;248;1</t>
  </si>
  <si>
    <t>91;195;1</t>
  </si>
  <si>
    <t>84;129;1</t>
  </si>
  <si>
    <t>75;80;1</t>
  </si>
  <si>
    <t>48;44;1</t>
  </si>
  <si>
    <t>29;28;1</t>
  </si>
  <si>
    <t>92;0;1</t>
  </si>
  <si>
    <t>112;396;1</t>
  </si>
  <si>
    <t>4;2;1</t>
  </si>
  <si>
    <t>4;5;1</t>
  </si>
  <si>
    <t>10;13;1</t>
  </si>
  <si>
    <t>19;24;1</t>
  </si>
  <si>
    <t>32;41;1</t>
  </si>
  <si>
    <t>51;57;1</t>
  </si>
  <si>
    <t>75;76;1</t>
  </si>
  <si>
    <t>81;107;1</t>
  </si>
  <si>
    <t>86;143;1</t>
  </si>
  <si>
    <t>94;280;1</t>
  </si>
  <si>
    <t>117;638;1</t>
  </si>
  <si>
    <t>117;846;1</t>
  </si>
  <si>
    <t>124;1202;1</t>
  </si>
  <si>
    <t>130;1685;1</t>
  </si>
  <si>
    <t>136;2499;1</t>
  </si>
  <si>
    <t>139;3032;1</t>
  </si>
  <si>
    <t>130;1894;1</t>
  </si>
  <si>
    <t>120;966;1</t>
  </si>
  <si>
    <t>119;869;1</t>
  </si>
  <si>
    <t>117;795;1</t>
  </si>
  <si>
    <t>117;792;1</t>
  </si>
  <si>
    <t>117;810;1</t>
  </si>
  <si>
    <t>117;829;1</t>
  </si>
  <si>
    <t>117;849;1</t>
  </si>
  <si>
    <t>118;885;1</t>
  </si>
  <si>
    <t>119;920;1</t>
  </si>
  <si>
    <t>120;952;1</t>
  </si>
  <si>
    <t>121;987;1</t>
  </si>
  <si>
    <t>122;1013;1</t>
  </si>
  <si>
    <t>122;1046;1</t>
  </si>
  <si>
    <t>122;1077;1</t>
  </si>
  <si>
    <t>123;1094;1</t>
  </si>
  <si>
    <t>123;1117;1</t>
  </si>
  <si>
    <t>123;1130;1</t>
  </si>
  <si>
    <t>124;1123;1</t>
  </si>
  <si>
    <t>125;1261;1</t>
  </si>
  <si>
    <t>125;1352;1</t>
  </si>
  <si>
    <t>126;1377;1</t>
  </si>
  <si>
    <t>125;1368;1</t>
  </si>
  <si>
    <t>126;1454;1</t>
  </si>
  <si>
    <t>127;1454;1</t>
  </si>
  <si>
    <t>127;1453;1</t>
  </si>
  <si>
    <t>126;1315;1</t>
  </si>
  <si>
    <t>126;1472;1</t>
  </si>
  <si>
    <t>126;1349;1</t>
  </si>
  <si>
    <t>126;1452;1</t>
  </si>
  <si>
    <t>127;1452;1</t>
  </si>
  <si>
    <t>127;1456;1</t>
  </si>
  <si>
    <t>125;1332;1</t>
  </si>
  <si>
    <t>125;1333;1</t>
  </si>
  <si>
    <t>123;1339;1</t>
  </si>
  <si>
    <t>123;1161;1</t>
  </si>
  <si>
    <t>134;2059;1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</si>
</sst>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8"/>
      <color theme="1"/>
      <name val="Calibri"/>
      <family val="2"/>
      <scheme val="minor"/>
    </font>
  </fonts>
  <fills count="42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40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2" fontId="0" fillId="0" borderId="0" xfId="0" applyNumberFormat="1"/>
    <xf numFmtId="2" fontId="0" fillId="0" borderId="0" xfId="0" applyNumberFormat="1" applyAlignment="1">
      <alignment horizontal="right"/>
    </xf>
    <xf numFmtId="20" fontId="0" fillId="0" borderId="0" xfId="0" applyNumberFormat="1"/>
    <xf numFmtId="0" fontId="0" fillId="0" borderId="0" xfId="0" applyFill="1"/>
    <xf numFmtId="0" fontId="0" fillId="33" borderId="0" xfId="0" applyFill="1"/>
    <xf numFmtId="3" fontId="0" fillId="0" borderId="0" xfId="0" applyNumberFormat="1"/>
    <xf numFmtId="4" fontId="0" fillId="0" borderId="0" xfId="0" applyNumberFormat="1"/>
    <xf numFmtId="0" fontId="0" fillId="34" borderId="0" xfId="0" applyFill="1"/>
    <xf numFmtId="0" fontId="0" fillId="35" borderId="0" xfId="0" applyFill="1"/>
    <xf numFmtId="0" fontId="0" fillId="36" borderId="0" xfId="0" applyFill="1"/>
    <xf numFmtId="2" fontId="0" fillId="0" borderId="0" xfId="0" applyNumberFormat="1" applyFill="1"/>
    <xf numFmtId="0" fontId="0" fillId="37" borderId="0" xfId="0" applyFill="1"/>
    <xf numFmtId="0" fontId="0" fillId="38" borderId="0" xfId="0" applyFill="1"/>
    <xf numFmtId="0" fontId="0" fillId="39" borderId="0" xfId="0" applyFill="1"/>
    <xf numFmtId="0" fontId="0" fillId="40" borderId="0" xfId="0" applyFill="1"/>
    <xf numFmtId="0" fontId="0" fillId="41" borderId="0" xfId="0" applyFill="1"/>
    <xf numFmtId="1" fontId="0" fillId="0" borderId="0" xfId="0" applyNumberFormat="1" applyAlignment="1">
      <alignment horizontal="center"/>
    </xf>
    <xf numFmtId="1" fontId="0" fillId="0" borderId="0" xfId="0" quotePrefix="1" applyNumberFormat="1" applyAlignment="1">
      <alignment horizontal="center"/>
    </xf>
    <xf numFmtId="0" fontId="0" fillId="0" borderId="0" xfId="0" applyAlignment="1">
      <alignment horizontal="right" vertical="center"/>
    </xf>
    <xf numFmtId="2" fontId="0" fillId="0" borderId="0" xfId="0" applyNumberFormat="1" applyAlignment="1">
      <alignment horizontal="right" vertical="center"/>
    </xf>
    <xf numFmtId="0" fontId="0" fillId="0" borderId="0" xfId="0" applyFill="1" applyAlignment="1">
      <alignment horizontal="right" vertical="center" wrapText="1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0" fillId="0" borderId="0" xfId="0" applyAlignment="1">
      <alignment horizontal="right" vertical="center" wrapText="1"/>
    </xf>
    <xf numFmtId="0" fontId="0" fillId="0" borderId="0" xfId="0" applyFill="1" applyAlignment="1">
      <alignment horizontal="right" vertical="center"/>
    </xf>
    <xf numFmtId="2" fontId="0" fillId="0" borderId="0" xfId="0" applyNumberFormat="1" applyFill="1" applyAlignment="1">
      <alignment horizontal="right" vertical="center"/>
    </xf>
    <xf numFmtId="164" fontId="0" fillId="0" borderId="0" xfId="0" applyNumberFormat="1" applyFill="1"/>
    <xf numFmtId="1" fontId="0" fillId="0" borderId="0" xfId="0" applyNumberFormat="1" applyFill="1"/>
    <xf numFmtId="0" fontId="18" fillId="0" borderId="0" xfId="0" applyFont="1"/>
    <xf numFmtId="0" fontId="0" fillId="0" borderId="0" xfId="0" applyAlignment="1">
      <alignment horizontal="right" wrapText="1"/>
    </xf>
    <xf numFmtId="2" fontId="0" fillId="0" borderId="0" xfId="0" applyNumberFormat="1" applyFill="1" applyAlignment="1">
      <alignment horizontal="right"/>
    </xf>
    <xf numFmtId="2" fontId="0" fillId="35" borderId="0" xfId="0" applyNumberFormat="1" applyFill="1" applyAlignment="1">
      <alignment horizontal="right"/>
    </xf>
    <xf numFmtId="2" fontId="0" fillId="34" borderId="0" xfId="0" applyNumberFormat="1" applyFill="1" applyAlignment="1">
      <alignment horizontal="right"/>
    </xf>
    <xf numFmtId="2" fontId="0" fillId="36" borderId="0" xfId="0" applyNumberFormat="1" applyFill="1" applyAlignment="1">
      <alignment horizontal="right"/>
    </xf>
    <xf numFmtId="2" fontId="0" fillId="0" borderId="0" xfId="0" applyNumberFormat="1" applyAlignment="1">
      <alignment horizontal="right" vertical="center" wrapText="1"/>
    </xf>
    <xf numFmtId="0" fontId="0" fillId="0" borderId="0" xfId="0" applyAlignment="1">
      <alignment horizontal="center" vertical="center"/>
    </xf>
  </cellXfs>
  <cellStyles count="42">
    <cellStyle name="20 % - Akzent1" xfId="19" builtinId="30" customBuiltin="1"/>
    <cellStyle name="20 % - Akzent2" xfId="23" builtinId="34" customBuiltin="1"/>
    <cellStyle name="20 % - Akzent3" xfId="27" builtinId="38" customBuiltin="1"/>
    <cellStyle name="20 % - Akzent4" xfId="31" builtinId="42" customBuiltin="1"/>
    <cellStyle name="20 % - Akzent5" xfId="35" builtinId="46" customBuiltin="1"/>
    <cellStyle name="20 % - Akzent6" xfId="39" builtinId="50" customBuiltin="1"/>
    <cellStyle name="40 % - Akzent1" xfId="20" builtinId="31" customBuiltin="1"/>
    <cellStyle name="40 % - Akzent2" xfId="24" builtinId="35" customBuiltin="1"/>
    <cellStyle name="40 % - Akzent3" xfId="28" builtinId="39" customBuiltin="1"/>
    <cellStyle name="40 % - Akzent4" xfId="32" builtinId="43" customBuiltin="1"/>
    <cellStyle name="40 % - Akzent5" xfId="36" builtinId="47" customBuiltin="1"/>
    <cellStyle name="40 % - Akzent6" xfId="40" builtinId="51" customBuiltin="1"/>
    <cellStyle name="60 % - Akzent1" xfId="21" builtinId="32" customBuiltin="1"/>
    <cellStyle name="60 % - Akzent2" xfId="25" builtinId="36" customBuiltin="1"/>
    <cellStyle name="60 % - Akzent3" xfId="29" builtinId="40" customBuiltin="1"/>
    <cellStyle name="60 % - Akzent4" xfId="33" builtinId="44" customBuiltin="1"/>
    <cellStyle name="60 % - Akzent5" xfId="37" builtinId="48" customBuiltin="1"/>
    <cellStyle name="60 % - Akzent6" xfId="41" builtinId="52" customBuiltin="1"/>
    <cellStyle name="Akzent1" xfId="18" builtinId="29" customBuiltin="1"/>
    <cellStyle name="Akzent2" xfId="22" builtinId="33" customBuiltin="1"/>
    <cellStyle name="Akzent3" xfId="26" builtinId="37" customBuiltin="1"/>
    <cellStyle name="Akzent4" xfId="30" builtinId="41" customBuiltin="1"/>
    <cellStyle name="Akzent5" xfId="34" builtinId="45" customBuiltin="1"/>
    <cellStyle name="Akzent6" xfId="38" builtinId="49" customBuiltin="1"/>
    <cellStyle name="Ausgabe" xfId="10" builtinId="21" customBuiltin="1"/>
    <cellStyle name="Berechnung" xfId="11" builtinId="22" customBuiltin="1"/>
    <cellStyle name="Eingabe" xfId="9" builtinId="20" customBuiltin="1"/>
    <cellStyle name="Ergebnis" xfId="17" builtinId="25" customBuiltin="1"/>
    <cellStyle name="Erklärender Text" xfId="16" builtinId="53" customBuiltin="1"/>
    <cellStyle name="Gut" xfId="6" builtinId="26" customBuiltin="1"/>
    <cellStyle name="Neutral" xfId="8" builtinId="28" customBuiltin="1"/>
    <cellStyle name="Notiz" xfId="15" builtinId="10" customBuiltin="1"/>
    <cellStyle name="Schlecht" xfId="7" builtinId="27" customBuiltin="1"/>
    <cellStyle name="Standard" xfId="0" builtinId="0"/>
    <cellStyle name="Überschrift" xfId="1" builtinId="15" customBuiltin="1"/>
    <cellStyle name="Überschrift 1" xfId="2" builtinId="16" customBuiltin="1"/>
    <cellStyle name="Überschrift 2" xfId="3" builtinId="17" customBuiltin="1"/>
    <cellStyle name="Überschrift 3" xfId="4" builtinId="18" customBuiltin="1"/>
    <cellStyle name="Überschrift 4" xfId="5" builtinId="19" customBuiltin="1"/>
    <cellStyle name="Verknüpfte Zelle" xfId="12" builtinId="24" customBuiltin="1"/>
    <cellStyle name="Warnender Text" xfId="14" builtinId="11" customBuiltin="1"/>
    <cellStyle name="Zelle überprüfen" xfId="13" builtinId="23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MDIR vs LUX</a:t>
            </a:r>
          </a:p>
        </c:rich>
      </c:tx>
      <c:layout>
        <c:manualLayout>
          <c:xMode val="edge"/>
          <c:yMode val="edge"/>
          <c:x val="0.37320822397200348"/>
          <c:y val="0.1527777777777777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6.4286564533244855E-2"/>
          <c:y val="1.749425885683047E-2"/>
          <c:w val="0.89019685039370078"/>
          <c:h val="0.90863467276118492"/>
        </c:manualLayout>
      </c:layout>
      <c:lineChart>
        <c:grouping val="standard"/>
        <c:varyColors val="0"/>
        <c:ser>
          <c:idx val="0"/>
          <c:order val="0"/>
          <c:tx>
            <c:v>MDIR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Overview!$B$4:$B$259</c:f>
              <c:numCache>
                <c:formatCode>General</c:formatCode>
                <c:ptCount val="25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47A-4E76-B434-DB4098049B8E}"/>
            </c:ext>
          </c:extLst>
        </c:ser>
        <c:ser>
          <c:idx val="1"/>
          <c:order val="1"/>
          <c:tx>
            <c:v>LUX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Overview!$C$4:$C$259</c:f>
              <c:numCache>
                <c:formatCode>0.00</c:formatCode>
                <c:ptCount val="256"/>
                <c:pt idx="0">
                  <c:v>1.5642458100558661E-3</c:v>
                </c:pt>
                <c:pt idx="1">
                  <c:v>5.3872053872053879E-4</c:v>
                </c:pt>
                <c:pt idx="2">
                  <c:v>0.01</c:v>
                </c:pt>
                <c:pt idx="3">
                  <c:v>1.9230769230769228E-2</c:v>
                </c:pt>
                <c:pt idx="4">
                  <c:v>3.2500000000000001E-2</c:v>
                </c:pt>
                <c:pt idx="5">
                  <c:v>5.888888888888888E-2</c:v>
                </c:pt>
                <c:pt idx="6">
                  <c:v>4.9999999999999996E-2</c:v>
                </c:pt>
                <c:pt idx="7">
                  <c:v>7.0000000000000007E-2</c:v>
                </c:pt>
                <c:pt idx="8">
                  <c:v>7.6666666666666675E-2</c:v>
                </c:pt>
                <c:pt idx="9">
                  <c:v>7.0000000000000007E-2</c:v>
                </c:pt>
                <c:pt idx="10">
                  <c:v>0.1</c:v>
                </c:pt>
                <c:pt idx="11">
                  <c:v>0.13200000000000001</c:v>
                </c:pt>
                <c:pt idx="12">
                  <c:v>0.10500000000000001</c:v>
                </c:pt>
                <c:pt idx="13">
                  <c:v>0.14000000000000001</c:v>
                </c:pt>
                <c:pt idx="14">
                  <c:v>0.11333333333333333</c:v>
                </c:pt>
                <c:pt idx="15">
                  <c:v>0.19</c:v>
                </c:pt>
                <c:pt idx="16">
                  <c:v>0.16</c:v>
                </c:pt>
                <c:pt idx="17">
                  <c:v>0.14000000000000001</c:v>
                </c:pt>
                <c:pt idx="18">
                  <c:v>0.17249999999999999</c:v>
                </c:pt>
                <c:pt idx="19">
                  <c:v>0.24</c:v>
                </c:pt>
                <c:pt idx="20">
                  <c:v>0</c:v>
                </c:pt>
                <c:pt idx="21">
                  <c:v>0.19</c:v>
                </c:pt>
                <c:pt idx="22">
                  <c:v>0</c:v>
                </c:pt>
                <c:pt idx="23">
                  <c:v>0.2</c:v>
                </c:pt>
                <c:pt idx="24">
                  <c:v>0</c:v>
                </c:pt>
                <c:pt idx="25">
                  <c:v>0.19</c:v>
                </c:pt>
                <c:pt idx="26">
                  <c:v>0.29499999999999998</c:v>
                </c:pt>
                <c:pt idx="27">
                  <c:v>0.31</c:v>
                </c:pt>
                <c:pt idx="28">
                  <c:v>0.30499999999999999</c:v>
                </c:pt>
                <c:pt idx="29">
                  <c:v>0.28500000000000003</c:v>
                </c:pt>
                <c:pt idx="30">
                  <c:v>0</c:v>
                </c:pt>
                <c:pt idx="31">
                  <c:v>0.4325</c:v>
                </c:pt>
                <c:pt idx="32">
                  <c:v>0.44499999999999995</c:v>
                </c:pt>
                <c:pt idx="33">
                  <c:v>0.25</c:v>
                </c:pt>
                <c:pt idx="34">
                  <c:v>0.36</c:v>
                </c:pt>
                <c:pt idx="35">
                  <c:v>0.42</c:v>
                </c:pt>
                <c:pt idx="36">
                  <c:v>0.28000000000000003</c:v>
                </c:pt>
                <c:pt idx="37">
                  <c:v>0.33</c:v>
                </c:pt>
                <c:pt idx="38">
                  <c:v>0.42666666666666669</c:v>
                </c:pt>
                <c:pt idx="39">
                  <c:v>0.34</c:v>
                </c:pt>
                <c:pt idx="40">
                  <c:v>0</c:v>
                </c:pt>
                <c:pt idx="41">
                  <c:v>0.41</c:v>
                </c:pt>
                <c:pt idx="42">
                  <c:v>0</c:v>
                </c:pt>
                <c:pt idx="43">
                  <c:v>0</c:v>
                </c:pt>
                <c:pt idx="44">
                  <c:v>0.42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0.44</c:v>
                </c:pt>
                <c:pt idx="49">
                  <c:v>0</c:v>
                </c:pt>
                <c:pt idx="50">
                  <c:v>0</c:v>
                </c:pt>
                <c:pt idx="51">
                  <c:v>0.49</c:v>
                </c:pt>
                <c:pt idx="52">
                  <c:v>0.57999999999999996</c:v>
                </c:pt>
                <c:pt idx="53">
                  <c:v>0</c:v>
                </c:pt>
                <c:pt idx="54">
                  <c:v>0</c:v>
                </c:pt>
                <c:pt idx="55">
                  <c:v>0.37</c:v>
                </c:pt>
                <c:pt idx="56">
                  <c:v>0.58666666666666656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0.53</c:v>
                </c:pt>
                <c:pt idx="61">
                  <c:v>0.6</c:v>
                </c:pt>
                <c:pt idx="62">
                  <c:v>0</c:v>
                </c:pt>
                <c:pt idx="63">
                  <c:v>0</c:v>
                </c:pt>
                <c:pt idx="64">
                  <c:v>0.67</c:v>
                </c:pt>
                <c:pt idx="65">
                  <c:v>0.85</c:v>
                </c:pt>
                <c:pt idx="66">
                  <c:v>0.73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0.88</c:v>
                </c:pt>
                <c:pt idx="74">
                  <c:v>0</c:v>
                </c:pt>
                <c:pt idx="75">
                  <c:v>0.96199999999999997</c:v>
                </c:pt>
                <c:pt idx="76">
                  <c:v>1.1299999999999999</c:v>
                </c:pt>
                <c:pt idx="77">
                  <c:v>1.1500000000000001</c:v>
                </c:pt>
                <c:pt idx="78">
                  <c:v>0.90500000000000003</c:v>
                </c:pt>
                <c:pt idx="79">
                  <c:v>0.91999999999999993</c:v>
                </c:pt>
                <c:pt idx="80">
                  <c:v>0.94333333333333325</c:v>
                </c:pt>
                <c:pt idx="81">
                  <c:v>1</c:v>
                </c:pt>
                <c:pt idx="82">
                  <c:v>0</c:v>
                </c:pt>
                <c:pt idx="83">
                  <c:v>1.2774999999999999</c:v>
                </c:pt>
                <c:pt idx="84">
                  <c:v>1.2725</c:v>
                </c:pt>
                <c:pt idx="85">
                  <c:v>1.665</c:v>
                </c:pt>
                <c:pt idx="86">
                  <c:v>1.43</c:v>
                </c:pt>
                <c:pt idx="87">
                  <c:v>2.11</c:v>
                </c:pt>
                <c:pt idx="88">
                  <c:v>1.8333333333333333</c:v>
                </c:pt>
                <c:pt idx="89">
                  <c:v>1.7549999999999999</c:v>
                </c:pt>
                <c:pt idx="90">
                  <c:v>2.4249999999999998</c:v>
                </c:pt>
                <c:pt idx="91">
                  <c:v>1.9849999999999999</c:v>
                </c:pt>
                <c:pt idx="92">
                  <c:v>1.9471428571428571</c:v>
                </c:pt>
                <c:pt idx="93">
                  <c:v>1.83</c:v>
                </c:pt>
                <c:pt idx="94">
                  <c:v>2.59</c:v>
                </c:pt>
                <c:pt idx="95">
                  <c:v>2.9649999999999999</c:v>
                </c:pt>
                <c:pt idx="96">
                  <c:v>2.12</c:v>
                </c:pt>
                <c:pt idx="97">
                  <c:v>2.7075</c:v>
                </c:pt>
                <c:pt idx="98">
                  <c:v>2.23</c:v>
                </c:pt>
                <c:pt idx="99">
                  <c:v>2.7966666666666669</c:v>
                </c:pt>
                <c:pt idx="100">
                  <c:v>4.168000000000001</c:v>
                </c:pt>
                <c:pt idx="101">
                  <c:v>2.64</c:v>
                </c:pt>
                <c:pt idx="102">
                  <c:v>3.3566666666666669</c:v>
                </c:pt>
                <c:pt idx="103">
                  <c:v>4.3099999999999996</c:v>
                </c:pt>
                <c:pt idx="104">
                  <c:v>3.3600000000000003</c:v>
                </c:pt>
                <c:pt idx="105">
                  <c:v>4.3</c:v>
                </c:pt>
                <c:pt idx="106">
                  <c:v>4.9375</c:v>
                </c:pt>
                <c:pt idx="107">
                  <c:v>4.125</c:v>
                </c:pt>
                <c:pt idx="108">
                  <c:v>5.18</c:v>
                </c:pt>
                <c:pt idx="109">
                  <c:v>6.0660000000000007</c:v>
                </c:pt>
                <c:pt idx="110">
                  <c:v>5.1733333333333338</c:v>
                </c:pt>
                <c:pt idx="111">
                  <c:v>5.07</c:v>
                </c:pt>
                <c:pt idx="112">
                  <c:v>6.0222222222222221</c:v>
                </c:pt>
                <c:pt idx="113">
                  <c:v>5.7974999999999994</c:v>
                </c:pt>
                <c:pt idx="114">
                  <c:v>7.1566666666666672</c:v>
                </c:pt>
                <c:pt idx="115">
                  <c:v>7.24</c:v>
                </c:pt>
                <c:pt idx="116">
                  <c:v>10.895</c:v>
                </c:pt>
                <c:pt idx="117">
                  <c:v>8.0181249999999995</c:v>
                </c:pt>
                <c:pt idx="118">
                  <c:v>8.718</c:v>
                </c:pt>
                <c:pt idx="119">
                  <c:v>8.6300000000000008</c:v>
                </c:pt>
                <c:pt idx="120">
                  <c:v>10.555384615384614</c:v>
                </c:pt>
                <c:pt idx="121">
                  <c:v>10.14111111111111</c:v>
                </c:pt>
                <c:pt idx="122">
                  <c:v>11.126666666666667</c:v>
                </c:pt>
                <c:pt idx="123">
                  <c:v>11.34064516129032</c:v>
                </c:pt>
                <c:pt idx="124">
                  <c:v>14.494444444444444</c:v>
                </c:pt>
                <c:pt idx="125">
                  <c:v>12.887777777777778</c:v>
                </c:pt>
                <c:pt idx="126">
                  <c:v>13.488</c:v>
                </c:pt>
                <c:pt idx="127">
                  <c:v>14.311666666666667</c:v>
                </c:pt>
                <c:pt idx="128">
                  <c:v>18.628333333333334</c:v>
                </c:pt>
                <c:pt idx="129">
                  <c:v>16.150000000000002</c:v>
                </c:pt>
                <c:pt idx="130">
                  <c:v>18.248571428571427</c:v>
                </c:pt>
                <c:pt idx="131">
                  <c:v>22.058</c:v>
                </c:pt>
                <c:pt idx="132">
                  <c:v>21.246666666666666</c:v>
                </c:pt>
                <c:pt idx="133">
                  <c:v>18.844999999999999</c:v>
                </c:pt>
                <c:pt idx="134">
                  <c:v>20.052727272727275</c:v>
                </c:pt>
                <c:pt idx="135">
                  <c:v>26.204545454545453</c:v>
                </c:pt>
                <c:pt idx="136">
                  <c:v>24.268000000000001</c:v>
                </c:pt>
                <c:pt idx="137">
                  <c:v>24.410000000000004</c:v>
                </c:pt>
                <c:pt idx="138">
                  <c:v>25.502857142857142</c:v>
                </c:pt>
                <c:pt idx="139">
                  <c:v>28.351333333333336</c:v>
                </c:pt>
                <c:pt idx="140">
                  <c:v>29.240499999999997</c:v>
                </c:pt>
                <c:pt idx="141">
                  <c:v>32.946666666666665</c:v>
                </c:pt>
                <c:pt idx="142">
                  <c:v>32.379090909090912</c:v>
                </c:pt>
                <c:pt idx="143">
                  <c:v>33.43</c:v>
                </c:pt>
                <c:pt idx="144">
                  <c:v>34.559285714285714</c:v>
                </c:pt>
                <c:pt idx="145">
                  <c:v>36.302631578947377</c:v>
                </c:pt>
                <c:pt idx="146">
                  <c:v>38.957777777777785</c:v>
                </c:pt>
                <c:pt idx="147">
                  <c:v>41.281999999999996</c:v>
                </c:pt>
                <c:pt idx="148">
                  <c:v>46.353888888888882</c:v>
                </c:pt>
                <c:pt idx="149">
                  <c:v>54.324666666666658</c:v>
                </c:pt>
                <c:pt idx="150">
                  <c:v>50.801176470588238</c:v>
                </c:pt>
                <c:pt idx="151">
                  <c:v>53.711250000000007</c:v>
                </c:pt>
                <c:pt idx="152">
                  <c:v>56.510526315789477</c:v>
                </c:pt>
                <c:pt idx="153">
                  <c:v>58.597999999999999</c:v>
                </c:pt>
                <c:pt idx="154">
                  <c:v>74.306666666666658</c:v>
                </c:pt>
                <c:pt idx="155">
                  <c:v>73.008235294117654</c:v>
                </c:pt>
                <c:pt idx="156">
                  <c:v>87.278999999999996</c:v>
                </c:pt>
                <c:pt idx="157">
                  <c:v>75.056842105263172</c:v>
                </c:pt>
                <c:pt idx="158">
                  <c:v>79.269411764705879</c:v>
                </c:pt>
                <c:pt idx="159">
                  <c:v>81.76965517241382</c:v>
                </c:pt>
                <c:pt idx="160">
                  <c:v>115.29684210526318</c:v>
                </c:pt>
                <c:pt idx="161">
                  <c:v>98.979999999999976</c:v>
                </c:pt>
                <c:pt idx="162">
                  <c:v>104.95937499999999</c:v>
                </c:pt>
                <c:pt idx="163">
                  <c:v>109.9848275862069</c:v>
                </c:pt>
                <c:pt idx="164">
                  <c:v>115.99870967741936</c:v>
                </c:pt>
                <c:pt idx="165">
                  <c:v>130.62814814814814</c:v>
                </c:pt>
                <c:pt idx="166">
                  <c:v>118.11473684210526</c:v>
                </c:pt>
                <c:pt idx="167">
                  <c:v>122.74636363636363</c:v>
                </c:pt>
                <c:pt idx="168">
                  <c:v>152.25894736842102</c:v>
                </c:pt>
                <c:pt idx="169">
                  <c:v>156.32923076923078</c:v>
                </c:pt>
                <c:pt idx="170">
                  <c:v>166.16</c:v>
                </c:pt>
                <c:pt idx="171">
                  <c:v>168.89333333333329</c:v>
                </c:pt>
                <c:pt idx="172">
                  <c:v>170.68068965517244</c:v>
                </c:pt>
                <c:pt idx="173">
                  <c:v>189.27238095238096</c:v>
                </c:pt>
                <c:pt idx="174">
                  <c:v>202.578</c:v>
                </c:pt>
                <c:pt idx="175">
                  <c:v>196.3366666666667</c:v>
                </c:pt>
                <c:pt idx="176">
                  <c:v>216.69263157894741</c:v>
                </c:pt>
                <c:pt idx="177">
                  <c:v>250.26285714285714</c:v>
                </c:pt>
                <c:pt idx="178">
                  <c:v>269.82857142857148</c:v>
                </c:pt>
                <c:pt idx="179">
                  <c:v>274.92571428571426</c:v>
                </c:pt>
                <c:pt idx="180">
                  <c:v>306.185</c:v>
                </c:pt>
                <c:pt idx="181">
                  <c:v>278.49999999999994</c:v>
                </c:pt>
                <c:pt idx="182">
                  <c:v>323.82153846153835</c:v>
                </c:pt>
                <c:pt idx="183">
                  <c:v>332.25314285714285</c:v>
                </c:pt>
                <c:pt idx="184">
                  <c:v>350.17874999999998</c:v>
                </c:pt>
                <c:pt idx="185">
                  <c:v>399.44</c:v>
                </c:pt>
                <c:pt idx="186">
                  <c:v>412.17647058823536</c:v>
                </c:pt>
                <c:pt idx="187">
                  <c:v>423.73818181818183</c:v>
                </c:pt>
                <c:pt idx="188">
                  <c:v>470.78000000000003</c:v>
                </c:pt>
                <c:pt idx="189">
                  <c:v>513.15789473684208</c:v>
                </c:pt>
                <c:pt idx="190">
                  <c:v>448.35199999999998</c:v>
                </c:pt>
                <c:pt idx="191">
                  <c:v>483.84266666666667</c:v>
                </c:pt>
                <c:pt idx="192">
                  <c:v>570.88</c:v>
                </c:pt>
                <c:pt idx="193">
                  <c:v>519.41230769230765</c:v>
                </c:pt>
                <c:pt idx="194">
                  <c:v>286.24</c:v>
                </c:pt>
                <c:pt idx="195">
                  <c:v>274.0363636363636</c:v>
                </c:pt>
                <c:pt idx="196">
                  <c:v>157.96666666666667</c:v>
                </c:pt>
                <c:pt idx="197">
                  <c:v>242.62399999999997</c:v>
                </c:pt>
                <c:pt idx="198">
                  <c:v>248.26666666666668</c:v>
                </c:pt>
                <c:pt idx="199">
                  <c:v>419.78666666666669</c:v>
                </c:pt>
                <c:pt idx="200">
                  <c:v>428.16</c:v>
                </c:pt>
                <c:pt idx="201">
                  <c:v>365.48571428571432</c:v>
                </c:pt>
                <c:pt idx="202">
                  <c:v>393.80000000000007</c:v>
                </c:pt>
                <c:pt idx="203">
                  <c:v>402.13333333333338</c:v>
                </c:pt>
                <c:pt idx="204">
                  <c:v>327.60888888888894</c:v>
                </c:pt>
                <c:pt idx="205">
                  <c:v>259.24</c:v>
                </c:pt>
                <c:pt idx="206">
                  <c:v>214.32888888888888</c:v>
                </c:pt>
                <c:pt idx="207">
                  <c:v>296.8</c:v>
                </c:pt>
                <c:pt idx="208">
                  <c:v>363.35999999999996</c:v>
                </c:pt>
                <c:pt idx="209">
                  <c:v>323.41333333333324</c:v>
                </c:pt>
                <c:pt idx="210">
                  <c:v>278.84800000000001</c:v>
                </c:pt>
                <c:pt idx="211">
                  <c:v>328.96000000000004</c:v>
                </c:pt>
                <c:pt idx="212">
                  <c:v>294.74461538461532</c:v>
                </c:pt>
                <c:pt idx="213">
                  <c:v>333.70666666666671</c:v>
                </c:pt>
                <c:pt idx="214">
                  <c:v>320.13714285714286</c:v>
                </c:pt>
                <c:pt idx="215">
                  <c:v>355.83999999999992</c:v>
                </c:pt>
                <c:pt idx="216">
                  <c:v>385.81333333333328</c:v>
                </c:pt>
                <c:pt idx="217">
                  <c:v>313.73714285714283</c:v>
                </c:pt>
                <c:pt idx="218">
                  <c:v>367.84</c:v>
                </c:pt>
                <c:pt idx="219">
                  <c:v>318.69333333333333</c:v>
                </c:pt>
                <c:pt idx="220">
                  <c:v>396.03200000000004</c:v>
                </c:pt>
                <c:pt idx="221">
                  <c:v>359.45411764705887</c:v>
                </c:pt>
                <c:pt idx="222">
                  <c:v>278.69538461538457</c:v>
                </c:pt>
                <c:pt idx="223">
                  <c:v>339.24740740740748</c:v>
                </c:pt>
                <c:pt idx="224">
                  <c:v>322.62736842105261</c:v>
                </c:pt>
                <c:pt idx="225">
                  <c:v>285.93230769230769</c:v>
                </c:pt>
                <c:pt idx="226">
                  <c:v>352.22260869565218</c:v>
                </c:pt>
                <c:pt idx="227">
                  <c:v>315.89052631578949</c:v>
                </c:pt>
                <c:pt idx="228">
                  <c:v>258.34666666666664</c:v>
                </c:pt>
                <c:pt idx="229">
                  <c:v>246.52800000000002</c:v>
                </c:pt>
                <c:pt idx="230">
                  <c:v>329.34399999999999</c:v>
                </c:pt>
                <c:pt idx="231">
                  <c:v>364.91636363636366</c:v>
                </c:pt>
                <c:pt idx="232">
                  <c:v>277.04888888888888</c:v>
                </c:pt>
                <c:pt idx="233">
                  <c:v>305.60000000000002</c:v>
                </c:pt>
                <c:pt idx="234">
                  <c:v>262.89230769230767</c:v>
                </c:pt>
                <c:pt idx="235">
                  <c:v>175.36</c:v>
                </c:pt>
                <c:pt idx="236">
                  <c:v>232.67555555555555</c:v>
                </c:pt>
                <c:pt idx="237">
                  <c:v>269.22666666666669</c:v>
                </c:pt>
                <c:pt idx="238">
                  <c:v>420.69333333333333</c:v>
                </c:pt>
                <c:pt idx="239">
                  <c:v>158.72</c:v>
                </c:pt>
                <c:pt idx="240">
                  <c:v>320.64000000000004</c:v>
                </c:pt>
                <c:pt idx="241">
                  <c:v>403.84000000000003</c:v>
                </c:pt>
                <c:pt idx="242">
                  <c:v>0</c:v>
                </c:pt>
                <c:pt idx="243">
                  <c:v>356.77090909090907</c:v>
                </c:pt>
                <c:pt idx="244">
                  <c:v>261.54666666666662</c:v>
                </c:pt>
                <c:pt idx="245">
                  <c:v>351.57333333333332</c:v>
                </c:pt>
                <c:pt idx="246">
                  <c:v>250.36799999999999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83865.600000000006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47A-4E76-B434-DB4098049B8E}"/>
            </c:ext>
          </c:extLst>
        </c:ser>
        <c:ser>
          <c:idx val="3"/>
          <c:order val="2"/>
          <c:tx>
            <c:v>LookupTbl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Overview!$F$4:$F$259</c:f>
              <c:numCache>
                <c:formatCode>General</c:formatCode>
                <c:ptCount val="256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0.65000000000000036</c:v>
                </c:pt>
                <c:pt idx="65">
                  <c:v>0.67000000000000037</c:v>
                </c:pt>
                <c:pt idx="66">
                  <c:v>0.69000000000000039</c:v>
                </c:pt>
                <c:pt idx="67">
                  <c:v>0.71000000000000041</c:v>
                </c:pt>
                <c:pt idx="68">
                  <c:v>0.73000000000000043</c:v>
                </c:pt>
                <c:pt idx="69">
                  <c:v>0.75000000000000044</c:v>
                </c:pt>
                <c:pt idx="70">
                  <c:v>0.77000000000000046</c:v>
                </c:pt>
                <c:pt idx="71">
                  <c:v>0.79000000000000048</c:v>
                </c:pt>
                <c:pt idx="72">
                  <c:v>0.8100000000000005</c:v>
                </c:pt>
                <c:pt idx="73">
                  <c:v>0.83000000000000052</c:v>
                </c:pt>
                <c:pt idx="74">
                  <c:v>0.86000000000000054</c:v>
                </c:pt>
                <c:pt idx="75">
                  <c:v>0.89000000000000057</c:v>
                </c:pt>
                <c:pt idx="76">
                  <c:v>0.9200000000000006</c:v>
                </c:pt>
                <c:pt idx="77">
                  <c:v>0.95000000000000062</c:v>
                </c:pt>
                <c:pt idx="78">
                  <c:v>0.99000000000000066</c:v>
                </c:pt>
                <c:pt idx="79">
                  <c:v>1.0300000000000007</c:v>
                </c:pt>
                <c:pt idx="80">
                  <c:v>1.0700000000000007</c:v>
                </c:pt>
                <c:pt idx="81">
                  <c:v>1.1200000000000008</c:v>
                </c:pt>
                <c:pt idx="82">
                  <c:v>1.1700000000000008</c:v>
                </c:pt>
                <c:pt idx="83">
                  <c:v>1.2300000000000009</c:v>
                </c:pt>
                <c:pt idx="84">
                  <c:v>1.2900000000000009</c:v>
                </c:pt>
                <c:pt idx="85">
                  <c:v>1.360000000000001</c:v>
                </c:pt>
                <c:pt idx="86">
                  <c:v>1.430000000000001</c:v>
                </c:pt>
                <c:pt idx="87">
                  <c:v>1.5100000000000011</c:v>
                </c:pt>
                <c:pt idx="88">
                  <c:v>1.5900000000000012</c:v>
                </c:pt>
                <c:pt idx="89">
                  <c:v>1.6800000000000013</c:v>
                </c:pt>
                <c:pt idx="90">
                  <c:v>1.7700000000000014</c:v>
                </c:pt>
                <c:pt idx="91">
                  <c:v>1.8700000000000014</c:v>
                </c:pt>
                <c:pt idx="92">
                  <c:v>1.9700000000000015</c:v>
                </c:pt>
                <c:pt idx="93">
                  <c:v>2.0700000000000016</c:v>
                </c:pt>
                <c:pt idx="94">
                  <c:v>2.2200000000000015</c:v>
                </c:pt>
                <c:pt idx="95">
                  <c:v>2.3700000000000014</c:v>
                </c:pt>
                <c:pt idx="96">
                  <c:v>2.5200000000000014</c:v>
                </c:pt>
                <c:pt idx="97">
                  <c:v>2.7200000000000015</c:v>
                </c:pt>
                <c:pt idx="98">
                  <c:v>2.9200000000000017</c:v>
                </c:pt>
                <c:pt idx="99">
                  <c:v>3.1200000000000019</c:v>
                </c:pt>
                <c:pt idx="100">
                  <c:v>3.3400000000000021</c:v>
                </c:pt>
                <c:pt idx="101">
                  <c:v>3.5800000000000018</c:v>
                </c:pt>
                <c:pt idx="102">
                  <c:v>3.8400000000000016</c:v>
                </c:pt>
                <c:pt idx="103">
                  <c:v>4.1200000000000019</c:v>
                </c:pt>
                <c:pt idx="104">
                  <c:v>4.4200000000000017</c:v>
                </c:pt>
                <c:pt idx="105">
                  <c:v>4.740000000000002</c:v>
                </c:pt>
                <c:pt idx="106">
                  <c:v>5.0800000000000018</c:v>
                </c:pt>
                <c:pt idx="107">
                  <c:v>5.4400000000000022</c:v>
                </c:pt>
                <c:pt idx="108">
                  <c:v>5.8200000000000021</c:v>
                </c:pt>
                <c:pt idx="109">
                  <c:v>6.2200000000000024</c:v>
                </c:pt>
                <c:pt idx="110">
                  <c:v>6.6400000000000023</c:v>
                </c:pt>
                <c:pt idx="111">
                  <c:v>7.0800000000000027</c:v>
                </c:pt>
                <c:pt idx="112">
                  <c:v>7.5400000000000027</c:v>
                </c:pt>
                <c:pt idx="113">
                  <c:v>8.0200000000000031</c:v>
                </c:pt>
                <c:pt idx="114">
                  <c:v>8.5200000000000031</c:v>
                </c:pt>
                <c:pt idx="115">
                  <c:v>9.0400000000000027</c:v>
                </c:pt>
                <c:pt idx="116">
                  <c:v>9.5800000000000018</c:v>
                </c:pt>
                <c:pt idx="117">
                  <c:v>10.140000000000002</c:v>
                </c:pt>
                <c:pt idx="118">
                  <c:v>10.720000000000002</c:v>
                </c:pt>
                <c:pt idx="119">
                  <c:v>11.320000000000002</c:v>
                </c:pt>
                <c:pt idx="120">
                  <c:v>11.940000000000001</c:v>
                </c:pt>
                <c:pt idx="121">
                  <c:v>12.580000000000002</c:v>
                </c:pt>
                <c:pt idx="122">
                  <c:v>13.240000000000002</c:v>
                </c:pt>
                <c:pt idx="123">
                  <c:v>13.920000000000002</c:v>
                </c:pt>
                <c:pt idx="124">
                  <c:v>14.620000000000001</c:v>
                </c:pt>
                <c:pt idx="125">
                  <c:v>15.340000000000002</c:v>
                </c:pt>
                <c:pt idx="126">
                  <c:v>16.090000000000003</c:v>
                </c:pt>
                <c:pt idx="127">
                  <c:v>16.870000000000005</c:v>
                </c:pt>
                <c:pt idx="128">
                  <c:v>17.680000000000003</c:v>
                </c:pt>
                <c:pt idx="129">
                  <c:v>18.520000000000003</c:v>
                </c:pt>
                <c:pt idx="130">
                  <c:v>19.470000000000002</c:v>
                </c:pt>
                <c:pt idx="131">
                  <c:v>20.570000000000004</c:v>
                </c:pt>
                <c:pt idx="132">
                  <c:v>21.770000000000003</c:v>
                </c:pt>
                <c:pt idx="133">
                  <c:v>23.070000000000004</c:v>
                </c:pt>
                <c:pt idx="134">
                  <c:v>24.470000000000002</c:v>
                </c:pt>
                <c:pt idx="135">
                  <c:v>25.970000000000002</c:v>
                </c:pt>
                <c:pt idx="136">
                  <c:v>27.570000000000004</c:v>
                </c:pt>
                <c:pt idx="137">
                  <c:v>29.270000000000003</c:v>
                </c:pt>
                <c:pt idx="138">
                  <c:v>31.070000000000004</c:v>
                </c:pt>
                <c:pt idx="139">
                  <c:v>32.970000000000006</c:v>
                </c:pt>
                <c:pt idx="140">
                  <c:v>35.070000000000007</c:v>
                </c:pt>
                <c:pt idx="141">
                  <c:v>37.27000000000001</c:v>
                </c:pt>
                <c:pt idx="142">
                  <c:v>39.570000000000007</c:v>
                </c:pt>
                <c:pt idx="143">
                  <c:v>41.970000000000006</c:v>
                </c:pt>
                <c:pt idx="144">
                  <c:v>44.470000000000006</c:v>
                </c:pt>
                <c:pt idx="145">
                  <c:v>47.070000000000007</c:v>
                </c:pt>
                <c:pt idx="146">
                  <c:v>49.77000000000001</c:v>
                </c:pt>
                <c:pt idx="147">
                  <c:v>52.570000000000007</c:v>
                </c:pt>
                <c:pt idx="148">
                  <c:v>55.470000000000006</c:v>
                </c:pt>
                <c:pt idx="149">
                  <c:v>58.470000000000006</c:v>
                </c:pt>
                <c:pt idx="150">
                  <c:v>61.570000000000007</c:v>
                </c:pt>
                <c:pt idx="151">
                  <c:v>64.77000000000001</c:v>
                </c:pt>
                <c:pt idx="152">
                  <c:v>68.070000000000007</c:v>
                </c:pt>
                <c:pt idx="153">
                  <c:v>71.470000000000013</c:v>
                </c:pt>
                <c:pt idx="154">
                  <c:v>74.970000000000013</c:v>
                </c:pt>
                <c:pt idx="155">
                  <c:v>78.570000000000007</c:v>
                </c:pt>
                <c:pt idx="156">
                  <c:v>82.27000000000001</c:v>
                </c:pt>
                <c:pt idx="157">
                  <c:v>86.070000000000007</c:v>
                </c:pt>
                <c:pt idx="158">
                  <c:v>89.970000000000013</c:v>
                </c:pt>
                <c:pt idx="159">
                  <c:v>93.970000000000013</c:v>
                </c:pt>
                <c:pt idx="160">
                  <c:v>98.070000000000007</c:v>
                </c:pt>
                <c:pt idx="161">
                  <c:v>102.27000000000001</c:v>
                </c:pt>
                <c:pt idx="162">
                  <c:v>106.57000000000001</c:v>
                </c:pt>
                <c:pt idx="163">
                  <c:v>110.97000000000001</c:v>
                </c:pt>
                <c:pt idx="164">
                  <c:v>115.47000000000001</c:v>
                </c:pt>
                <c:pt idx="165">
                  <c:v>120.07000000000001</c:v>
                </c:pt>
                <c:pt idx="166">
                  <c:v>124.77000000000001</c:v>
                </c:pt>
                <c:pt idx="167">
                  <c:v>129.57000000000002</c:v>
                </c:pt>
                <c:pt idx="168">
                  <c:v>134.47000000000003</c:v>
                </c:pt>
                <c:pt idx="169">
                  <c:v>139.47000000000003</c:v>
                </c:pt>
                <c:pt idx="170">
                  <c:v>144.65000000000003</c:v>
                </c:pt>
                <c:pt idx="171">
                  <c:v>150.01000000000005</c:v>
                </c:pt>
                <c:pt idx="172">
                  <c:v>155.55000000000004</c:v>
                </c:pt>
                <c:pt idx="173">
                  <c:v>161.27000000000004</c:v>
                </c:pt>
                <c:pt idx="174">
                  <c:v>167.17000000000004</c:v>
                </c:pt>
                <c:pt idx="175">
                  <c:v>173.25000000000006</c:v>
                </c:pt>
                <c:pt idx="176">
                  <c:v>179.51000000000005</c:v>
                </c:pt>
                <c:pt idx="177">
                  <c:v>185.95000000000005</c:v>
                </c:pt>
                <c:pt idx="178">
                  <c:v>192.57000000000005</c:v>
                </c:pt>
                <c:pt idx="179">
                  <c:v>199.37000000000006</c:v>
                </c:pt>
                <c:pt idx="180">
                  <c:v>206.35000000000005</c:v>
                </c:pt>
                <c:pt idx="181">
                  <c:v>213.40000000000006</c:v>
                </c:pt>
                <c:pt idx="182">
                  <c:v>220.50000000000006</c:v>
                </c:pt>
                <c:pt idx="183">
                  <c:v>227.65000000000006</c:v>
                </c:pt>
                <c:pt idx="184">
                  <c:v>234.85000000000005</c:v>
                </c:pt>
                <c:pt idx="185">
                  <c:v>242.10000000000005</c:v>
                </c:pt>
                <c:pt idx="186">
                  <c:v>249.40000000000006</c:v>
                </c:pt>
                <c:pt idx="187">
                  <c:v>256.75000000000006</c:v>
                </c:pt>
                <c:pt idx="188">
                  <c:v>264.15000000000003</c:v>
                </c:pt>
                <c:pt idx="189">
                  <c:v>271.60000000000002</c:v>
                </c:pt>
                <c:pt idx="190">
                  <c:v>279.10000000000002</c:v>
                </c:pt>
                <c:pt idx="191">
                  <c:v>286.62</c:v>
                </c:pt>
                <c:pt idx="192">
                  <c:v>294.16000000000003</c:v>
                </c:pt>
                <c:pt idx="193">
                  <c:v>301.72000000000003</c:v>
                </c:pt>
                <c:pt idx="194">
                  <c:v>309.3</c:v>
                </c:pt>
                <c:pt idx="195">
                  <c:v>316.90000000000003</c:v>
                </c:pt>
                <c:pt idx="196">
                  <c:v>324.52000000000004</c:v>
                </c:pt>
                <c:pt idx="197">
                  <c:v>332.16</c:v>
                </c:pt>
                <c:pt idx="198">
                  <c:v>339.82000000000005</c:v>
                </c:pt>
                <c:pt idx="199">
                  <c:v>347.50000000000006</c:v>
                </c:pt>
                <c:pt idx="200">
                  <c:v>355.20000000000005</c:v>
                </c:pt>
                <c:pt idx="201">
                  <c:v>362.92000000000007</c:v>
                </c:pt>
                <c:pt idx="202">
                  <c:v>370.66000000000008</c:v>
                </c:pt>
                <c:pt idx="203">
                  <c:v>378.42000000000007</c:v>
                </c:pt>
                <c:pt idx="204">
                  <c:v>386.20000000000005</c:v>
                </c:pt>
                <c:pt idx="205">
                  <c:v>394.00000000000006</c:v>
                </c:pt>
                <c:pt idx="206">
                  <c:v>401.82000000000005</c:v>
                </c:pt>
                <c:pt idx="207">
                  <c:v>409.66</c:v>
                </c:pt>
                <c:pt idx="208">
                  <c:v>417.52000000000004</c:v>
                </c:pt>
                <c:pt idx="209">
                  <c:v>425.40000000000003</c:v>
                </c:pt>
                <c:pt idx="210">
                  <c:v>433.3</c:v>
                </c:pt>
                <c:pt idx="211">
                  <c:v>441.22</c:v>
                </c:pt>
                <c:pt idx="212">
                  <c:v>449.16</c:v>
                </c:pt>
                <c:pt idx="213">
                  <c:v>457.12</c:v>
                </c:pt>
                <c:pt idx="214">
                  <c:v>465.1</c:v>
                </c:pt>
                <c:pt idx="215">
                  <c:v>473.1</c:v>
                </c:pt>
                <c:pt idx="216">
                  <c:v>481.12</c:v>
                </c:pt>
                <c:pt idx="217">
                  <c:v>489.15999999999997</c:v>
                </c:pt>
                <c:pt idx="218">
                  <c:v>497.21999999999997</c:v>
                </c:pt>
                <c:pt idx="219">
                  <c:v>505.29999999999995</c:v>
                </c:pt>
                <c:pt idx="220">
                  <c:v>513.4</c:v>
                </c:pt>
                <c:pt idx="221">
                  <c:v>521.52</c:v>
                </c:pt>
                <c:pt idx="222">
                  <c:v>529.66</c:v>
                </c:pt>
                <c:pt idx="223">
                  <c:v>537.81999999999994</c:v>
                </c:pt>
                <c:pt idx="224">
                  <c:v>545.99999999999989</c:v>
                </c:pt>
                <c:pt idx="225">
                  <c:v>554.19999999999993</c:v>
                </c:pt>
                <c:pt idx="226">
                  <c:v>562.41999999999996</c:v>
                </c:pt>
                <c:pt idx="227">
                  <c:v>570.66</c:v>
                </c:pt>
                <c:pt idx="228">
                  <c:v>578.91999999999996</c:v>
                </c:pt>
                <c:pt idx="229">
                  <c:v>587.19999999999993</c:v>
                </c:pt>
                <c:pt idx="230">
                  <c:v>595.49999999999989</c:v>
                </c:pt>
                <c:pt idx="231">
                  <c:v>605.49999999999989</c:v>
                </c:pt>
                <c:pt idx="232">
                  <c:v>625.49999999999989</c:v>
                </c:pt>
                <c:pt idx="233">
                  <c:v>655.49999999999989</c:v>
                </c:pt>
                <c:pt idx="234">
                  <c:v>695.49999999999989</c:v>
                </c:pt>
                <c:pt idx="235">
                  <c:v>755.49999999999989</c:v>
                </c:pt>
                <c:pt idx="236">
                  <c:v>845.49999999999989</c:v>
                </c:pt>
                <c:pt idx="237">
                  <c:v>965.49999999999989</c:v>
                </c:pt>
                <c:pt idx="238">
                  <c:v>1115.5</c:v>
                </c:pt>
                <c:pt idx="239">
                  <c:v>1315.5</c:v>
                </c:pt>
                <c:pt idx="240">
                  <c:v>1565.5</c:v>
                </c:pt>
                <c:pt idx="241">
                  <c:v>1865.5</c:v>
                </c:pt>
                <c:pt idx="242">
                  <c:v>2265.5</c:v>
                </c:pt>
                <c:pt idx="243">
                  <c:v>2765.5</c:v>
                </c:pt>
                <c:pt idx="244">
                  <c:v>3365.5</c:v>
                </c:pt>
                <c:pt idx="245">
                  <c:v>4165.5</c:v>
                </c:pt>
                <c:pt idx="246">
                  <c:v>5165.5</c:v>
                </c:pt>
                <c:pt idx="247">
                  <c:v>6365.5</c:v>
                </c:pt>
                <c:pt idx="248">
                  <c:v>7965.5</c:v>
                </c:pt>
                <c:pt idx="249">
                  <c:v>9965.5</c:v>
                </c:pt>
                <c:pt idx="250">
                  <c:v>12965.5</c:v>
                </c:pt>
                <c:pt idx="251">
                  <c:v>17965.5</c:v>
                </c:pt>
                <c:pt idx="252">
                  <c:v>24965.5</c:v>
                </c:pt>
                <c:pt idx="253">
                  <c:v>36965.5</c:v>
                </c:pt>
                <c:pt idx="254">
                  <c:v>54965.5</c:v>
                </c:pt>
                <c:pt idx="255">
                  <c:v>82965.5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11D-4E61-B104-A59593D0BE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5704192"/>
        <c:axId val="425708784"/>
      </c:lineChart>
      <c:catAx>
        <c:axId val="42570419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25708784"/>
        <c:crosses val="autoZero"/>
        <c:auto val="1"/>
        <c:lblAlgn val="ctr"/>
        <c:lblOffset val="100"/>
        <c:noMultiLvlLbl val="0"/>
      </c:catAx>
      <c:valAx>
        <c:axId val="425708784"/>
        <c:scaling>
          <c:logBase val="10"/>
          <c:orientation val="minMax"/>
          <c:min val="1.0000000000000002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257041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57150</xdr:colOff>
      <xdr:row>2</xdr:row>
      <xdr:rowOff>156210</xdr:rowOff>
    </xdr:from>
    <xdr:to>
      <xdr:col>21</xdr:col>
      <xdr:colOff>213360</xdr:colOff>
      <xdr:row>50</xdr:row>
      <xdr:rowOff>15240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</xdr:colOff>
          <xdr:row>0</xdr:row>
          <xdr:rowOff>76200</xdr:rowOff>
        </xdr:from>
        <xdr:to>
          <xdr:col>7</xdr:col>
          <xdr:colOff>182880</xdr:colOff>
          <xdr:row>2</xdr:row>
          <xdr:rowOff>137160</xdr:rowOff>
        </xdr:to>
        <xdr:sp macro="" textlink="">
          <xdr:nvSpPr>
            <xdr:cNvPr id="3073" name="Analyz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784860</xdr:colOff>
          <xdr:row>0</xdr:row>
          <xdr:rowOff>129540</xdr:rowOff>
        </xdr:from>
        <xdr:to>
          <xdr:col>15</xdr:col>
          <xdr:colOff>160020</xdr:colOff>
          <xdr:row>1</xdr:row>
          <xdr:rowOff>243840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2"/>
  <dimension ref="A2:R259"/>
  <sheetViews>
    <sheetView tabSelected="1" workbookViewId="0">
      <selection activeCell="W40" sqref="W40"/>
    </sheetView>
  </sheetViews>
  <sheetFormatPr baseColWidth="10" defaultRowHeight="14.4" x14ac:dyDescent="0.3"/>
  <cols>
    <col min="1" max="1" width="6.88671875" customWidth="1"/>
    <col min="2" max="2" width="5.88671875" customWidth="1"/>
    <col min="3" max="3" width="10.33203125" style="4" customWidth="1"/>
    <col min="4" max="4" width="5.88671875" customWidth="1"/>
    <col min="5" max="5" width="7.44140625" style="6" customWidth="1"/>
    <col min="6" max="6" width="10.21875" customWidth="1"/>
    <col min="7" max="7" width="13.6640625" customWidth="1"/>
    <col min="10" max="10" width="11.5546875" style="3"/>
    <col min="14" max="16" width="11.33203125" customWidth="1"/>
    <col min="17" max="17" width="4.77734375" customWidth="1"/>
    <col min="18" max="18" width="14" customWidth="1"/>
  </cols>
  <sheetData>
    <row r="2" spans="2:6" ht="28.8" x14ac:dyDescent="0.3">
      <c r="B2" s="21" t="s">
        <v>8</v>
      </c>
      <c r="C2" s="38" t="s">
        <v>317</v>
      </c>
      <c r="D2" s="24"/>
      <c r="E2" s="23" t="s">
        <v>318</v>
      </c>
      <c r="F2" s="27" t="s">
        <v>316</v>
      </c>
    </row>
    <row r="4" spans="2:6" x14ac:dyDescent="0.3">
      <c r="B4" s="6">
        <v>0</v>
      </c>
      <c r="C4" s="34">
        <f>Input!I4</f>
        <v>1.5642458100558661E-3</v>
      </c>
      <c r="E4" s="6">
        <v>0.01</v>
      </c>
      <c r="F4" s="6">
        <v>0</v>
      </c>
    </row>
    <row r="5" spans="2:6" x14ac:dyDescent="0.3">
      <c r="B5" s="6">
        <v>1</v>
      </c>
      <c r="C5" s="34">
        <f>Input!I5</f>
        <v>5.3872053872053879E-4</v>
      </c>
      <c r="E5" s="6">
        <v>0.01</v>
      </c>
      <c r="F5" s="6">
        <f t="shared" ref="F5:F68" si="0">F4+E5</f>
        <v>0.01</v>
      </c>
    </row>
    <row r="6" spans="2:6" x14ac:dyDescent="0.3">
      <c r="B6" s="6">
        <v>2</v>
      </c>
      <c r="C6" s="34">
        <f>Input!I6</f>
        <v>0.01</v>
      </c>
      <c r="E6" s="6">
        <v>0.01</v>
      </c>
      <c r="F6" s="6">
        <f t="shared" si="0"/>
        <v>0.02</v>
      </c>
    </row>
    <row r="7" spans="2:6" x14ac:dyDescent="0.3">
      <c r="B7" s="6">
        <v>3</v>
      </c>
      <c r="C7" s="34">
        <f>Input!I7</f>
        <v>1.9230769230769228E-2</v>
      </c>
      <c r="E7" s="6">
        <v>0.01</v>
      </c>
      <c r="F7" s="6">
        <f t="shared" si="0"/>
        <v>0.03</v>
      </c>
    </row>
    <row r="8" spans="2:6" x14ac:dyDescent="0.3">
      <c r="B8" s="6">
        <v>4</v>
      </c>
      <c r="C8" s="34">
        <f>Input!I8</f>
        <v>3.2500000000000001E-2</v>
      </c>
      <c r="E8" s="6">
        <v>0.01</v>
      </c>
      <c r="F8" s="6">
        <f t="shared" si="0"/>
        <v>0.04</v>
      </c>
    </row>
    <row r="9" spans="2:6" x14ac:dyDescent="0.3">
      <c r="B9" s="6">
        <v>5</v>
      </c>
      <c r="C9" s="34">
        <f>Input!I9</f>
        <v>5.888888888888888E-2</v>
      </c>
      <c r="E9" s="6">
        <v>0.01</v>
      </c>
      <c r="F9" s="6">
        <f t="shared" si="0"/>
        <v>0.05</v>
      </c>
    </row>
    <row r="10" spans="2:6" x14ac:dyDescent="0.3">
      <c r="B10" s="6">
        <v>6</v>
      </c>
      <c r="C10" s="34">
        <f>Input!I10</f>
        <v>4.9999999999999996E-2</v>
      </c>
      <c r="E10" s="6">
        <v>0.01</v>
      </c>
      <c r="F10" s="6">
        <f t="shared" si="0"/>
        <v>6.0000000000000005E-2</v>
      </c>
    </row>
    <row r="11" spans="2:6" x14ac:dyDescent="0.3">
      <c r="B11" s="6">
        <v>7</v>
      </c>
      <c r="C11" s="34">
        <f>Input!I11</f>
        <v>7.0000000000000007E-2</v>
      </c>
      <c r="E11" s="6">
        <v>0.01</v>
      </c>
      <c r="F11" s="6">
        <f t="shared" si="0"/>
        <v>7.0000000000000007E-2</v>
      </c>
    </row>
    <row r="12" spans="2:6" x14ac:dyDescent="0.3">
      <c r="B12" s="6">
        <v>8</v>
      </c>
      <c r="C12" s="34">
        <f>Input!I12</f>
        <v>7.6666666666666675E-2</v>
      </c>
      <c r="E12" s="6">
        <v>0.01</v>
      </c>
      <c r="F12" s="6">
        <f t="shared" si="0"/>
        <v>0.08</v>
      </c>
    </row>
    <row r="13" spans="2:6" x14ac:dyDescent="0.3">
      <c r="B13" s="6">
        <v>9</v>
      </c>
      <c r="C13" s="34">
        <f>Input!I13</f>
        <v>7.0000000000000007E-2</v>
      </c>
      <c r="E13" s="6">
        <v>0.01</v>
      </c>
      <c r="F13" s="6">
        <f t="shared" si="0"/>
        <v>0.09</v>
      </c>
    </row>
    <row r="14" spans="2:6" x14ac:dyDescent="0.3">
      <c r="B14" s="6">
        <v>10</v>
      </c>
      <c r="C14" s="34">
        <f>Input!I14</f>
        <v>0.1</v>
      </c>
      <c r="E14" s="6">
        <v>0.01</v>
      </c>
      <c r="F14" s="6">
        <f t="shared" si="0"/>
        <v>9.9999999999999992E-2</v>
      </c>
    </row>
    <row r="15" spans="2:6" x14ac:dyDescent="0.3">
      <c r="B15" s="6">
        <v>11</v>
      </c>
      <c r="C15" s="34">
        <f>Input!I15</f>
        <v>0.13200000000000001</v>
      </c>
      <c r="E15" s="6">
        <v>0.01</v>
      </c>
      <c r="F15" s="6">
        <f t="shared" si="0"/>
        <v>0.10999999999999999</v>
      </c>
    </row>
    <row r="16" spans="2:6" x14ac:dyDescent="0.3">
      <c r="B16" s="6">
        <v>12</v>
      </c>
      <c r="C16" s="34">
        <f>Input!I16</f>
        <v>0.10500000000000001</v>
      </c>
      <c r="E16" s="6">
        <v>0.01</v>
      </c>
      <c r="F16" s="6">
        <f t="shared" si="0"/>
        <v>0.11999999999999998</v>
      </c>
    </row>
    <row r="17" spans="2:6" x14ac:dyDescent="0.3">
      <c r="B17" s="6">
        <v>13</v>
      </c>
      <c r="C17" s="34">
        <f>Input!I17</f>
        <v>0.14000000000000001</v>
      </c>
      <c r="E17" s="6">
        <v>0.01</v>
      </c>
      <c r="F17" s="6">
        <f t="shared" si="0"/>
        <v>0.12999999999999998</v>
      </c>
    </row>
    <row r="18" spans="2:6" x14ac:dyDescent="0.3">
      <c r="B18" s="6">
        <v>14</v>
      </c>
      <c r="C18" s="34">
        <f>Input!I18</f>
        <v>0.11333333333333333</v>
      </c>
      <c r="E18" s="6">
        <v>0.01</v>
      </c>
      <c r="F18" s="6">
        <f t="shared" si="0"/>
        <v>0.13999999999999999</v>
      </c>
    </row>
    <row r="19" spans="2:6" x14ac:dyDescent="0.3">
      <c r="B19" s="6">
        <v>15</v>
      </c>
      <c r="C19" s="34">
        <f>Input!I19</f>
        <v>0.19</v>
      </c>
      <c r="E19" s="6">
        <v>0.01</v>
      </c>
      <c r="F19" s="6">
        <f t="shared" si="0"/>
        <v>0.15</v>
      </c>
    </row>
    <row r="20" spans="2:6" x14ac:dyDescent="0.3">
      <c r="B20" s="6">
        <v>16</v>
      </c>
      <c r="C20" s="34">
        <f>Input!I20</f>
        <v>0.16</v>
      </c>
      <c r="E20" s="6">
        <v>0.01</v>
      </c>
      <c r="F20" s="6">
        <f t="shared" si="0"/>
        <v>0.16</v>
      </c>
    </row>
    <row r="21" spans="2:6" x14ac:dyDescent="0.3">
      <c r="B21" s="6">
        <v>17</v>
      </c>
      <c r="C21" s="34">
        <f>Input!I21</f>
        <v>0.14000000000000001</v>
      </c>
      <c r="E21" s="6">
        <v>0.01</v>
      </c>
      <c r="F21" s="6">
        <f t="shared" si="0"/>
        <v>0.17</v>
      </c>
    </row>
    <row r="22" spans="2:6" x14ac:dyDescent="0.3">
      <c r="B22" s="6">
        <v>18</v>
      </c>
      <c r="C22" s="34">
        <f>Input!I22</f>
        <v>0.17249999999999999</v>
      </c>
      <c r="E22" s="6">
        <v>0.01</v>
      </c>
      <c r="F22" s="6">
        <f t="shared" si="0"/>
        <v>0.18000000000000002</v>
      </c>
    </row>
    <row r="23" spans="2:6" x14ac:dyDescent="0.3">
      <c r="B23" s="6">
        <v>19</v>
      </c>
      <c r="C23" s="34">
        <f>Input!I23</f>
        <v>0.24</v>
      </c>
      <c r="E23" s="6">
        <v>0.01</v>
      </c>
      <c r="F23" s="6">
        <f t="shared" si="0"/>
        <v>0.19000000000000003</v>
      </c>
    </row>
    <row r="24" spans="2:6" x14ac:dyDescent="0.3">
      <c r="B24" s="6">
        <v>20</v>
      </c>
      <c r="C24" s="34" t="e">
        <f>Input!I24</f>
        <v>#DIV/0!</v>
      </c>
      <c r="E24" s="6">
        <v>0.01</v>
      </c>
      <c r="F24" s="6">
        <f t="shared" si="0"/>
        <v>0.20000000000000004</v>
      </c>
    </row>
    <row r="25" spans="2:6" x14ac:dyDescent="0.3">
      <c r="B25" s="6">
        <v>21</v>
      </c>
      <c r="C25" s="34">
        <f>Input!I25</f>
        <v>0.19</v>
      </c>
      <c r="E25" s="6">
        <v>0.01</v>
      </c>
      <c r="F25" s="6">
        <f t="shared" si="0"/>
        <v>0.21000000000000005</v>
      </c>
    </row>
    <row r="26" spans="2:6" x14ac:dyDescent="0.3">
      <c r="B26" s="6">
        <v>22</v>
      </c>
      <c r="C26" s="34" t="e">
        <f>Input!I26</f>
        <v>#DIV/0!</v>
      </c>
      <c r="E26" s="6">
        <v>0.01</v>
      </c>
      <c r="F26" s="6">
        <f t="shared" si="0"/>
        <v>0.22000000000000006</v>
      </c>
    </row>
    <row r="27" spans="2:6" x14ac:dyDescent="0.3">
      <c r="B27" s="6">
        <v>23</v>
      </c>
      <c r="C27" s="34">
        <f>Input!I27</f>
        <v>0.2</v>
      </c>
      <c r="E27" s="6">
        <v>0.01</v>
      </c>
      <c r="F27" s="6">
        <f t="shared" si="0"/>
        <v>0.23000000000000007</v>
      </c>
    </row>
    <row r="28" spans="2:6" x14ac:dyDescent="0.3">
      <c r="B28" s="6">
        <v>24</v>
      </c>
      <c r="C28" s="34" t="e">
        <f>Input!I28</f>
        <v>#DIV/0!</v>
      </c>
      <c r="E28" s="6">
        <v>0.01</v>
      </c>
      <c r="F28" s="6">
        <f t="shared" si="0"/>
        <v>0.24000000000000007</v>
      </c>
    </row>
    <row r="29" spans="2:6" x14ac:dyDescent="0.3">
      <c r="B29" s="6">
        <v>25</v>
      </c>
      <c r="C29" s="34">
        <f>Input!I29</f>
        <v>0.19</v>
      </c>
      <c r="E29" s="6">
        <v>0.01</v>
      </c>
      <c r="F29" s="6">
        <f t="shared" si="0"/>
        <v>0.25000000000000006</v>
      </c>
    </row>
    <row r="30" spans="2:6" x14ac:dyDescent="0.3">
      <c r="B30" s="6">
        <v>26</v>
      </c>
      <c r="C30" s="34">
        <f>Input!I30</f>
        <v>0.29499999999999998</v>
      </c>
      <c r="E30" s="6">
        <v>0.01</v>
      </c>
      <c r="F30" s="6">
        <f t="shared" si="0"/>
        <v>0.26000000000000006</v>
      </c>
    </row>
    <row r="31" spans="2:6" x14ac:dyDescent="0.3">
      <c r="B31" s="6">
        <v>27</v>
      </c>
      <c r="C31" s="34">
        <f>Input!I31</f>
        <v>0.31</v>
      </c>
      <c r="E31" s="6">
        <v>0.01</v>
      </c>
      <c r="F31" s="6">
        <f t="shared" si="0"/>
        <v>0.27000000000000007</v>
      </c>
    </row>
    <row r="32" spans="2:6" x14ac:dyDescent="0.3">
      <c r="B32" s="6">
        <v>28</v>
      </c>
      <c r="C32" s="34">
        <f>Input!I32</f>
        <v>0.30499999999999999</v>
      </c>
      <c r="E32" s="6">
        <v>0.01</v>
      </c>
      <c r="F32" s="6">
        <f t="shared" si="0"/>
        <v>0.28000000000000008</v>
      </c>
    </row>
    <row r="33" spans="2:18" x14ac:dyDescent="0.3">
      <c r="B33" s="6">
        <v>29</v>
      </c>
      <c r="C33" s="34">
        <f>Input!I33</f>
        <v>0.28500000000000003</v>
      </c>
      <c r="E33" s="6">
        <v>0.01</v>
      </c>
      <c r="F33" s="6">
        <f t="shared" si="0"/>
        <v>0.29000000000000009</v>
      </c>
    </row>
    <row r="34" spans="2:18" x14ac:dyDescent="0.3">
      <c r="B34" s="6">
        <v>30</v>
      </c>
      <c r="C34" s="34" t="e">
        <f>Input!I34</f>
        <v>#DIV/0!</v>
      </c>
      <c r="E34" s="6">
        <v>0.01</v>
      </c>
      <c r="F34" s="6">
        <f t="shared" si="0"/>
        <v>0.3000000000000001</v>
      </c>
    </row>
    <row r="35" spans="2:18" x14ac:dyDescent="0.3">
      <c r="B35" s="6">
        <v>31</v>
      </c>
      <c r="C35" s="34">
        <f>Input!I35</f>
        <v>0.4325</v>
      </c>
      <c r="E35" s="6">
        <v>0.01</v>
      </c>
      <c r="F35" s="6">
        <f t="shared" si="0"/>
        <v>0.31000000000000011</v>
      </c>
      <c r="O35" s="5"/>
    </row>
    <row r="36" spans="2:18" x14ac:dyDescent="0.3">
      <c r="B36" s="6">
        <v>32</v>
      </c>
      <c r="C36" s="34">
        <f>Input!I36</f>
        <v>0.44499999999999995</v>
      </c>
      <c r="E36" s="6">
        <v>0.01</v>
      </c>
      <c r="F36" s="6">
        <f t="shared" si="0"/>
        <v>0.32000000000000012</v>
      </c>
      <c r="O36" s="5"/>
    </row>
    <row r="37" spans="2:18" x14ac:dyDescent="0.3">
      <c r="B37" s="6">
        <v>33</v>
      </c>
      <c r="C37" s="34">
        <f>Input!I37</f>
        <v>0.25</v>
      </c>
      <c r="E37" s="6">
        <v>0.01</v>
      </c>
      <c r="F37" s="6">
        <f t="shared" si="0"/>
        <v>0.33000000000000013</v>
      </c>
    </row>
    <row r="38" spans="2:18" x14ac:dyDescent="0.3">
      <c r="B38" s="6">
        <v>34</v>
      </c>
      <c r="C38" s="34">
        <f>Input!I38</f>
        <v>0.36</v>
      </c>
      <c r="E38" s="6">
        <v>0.01</v>
      </c>
      <c r="F38" s="6">
        <f t="shared" si="0"/>
        <v>0.34000000000000014</v>
      </c>
      <c r="O38" s="5"/>
    </row>
    <row r="39" spans="2:18" x14ac:dyDescent="0.3">
      <c r="B39" s="6">
        <v>35</v>
      </c>
      <c r="C39" s="34">
        <f>Input!I39</f>
        <v>0.42</v>
      </c>
      <c r="E39" s="6">
        <v>0.01</v>
      </c>
      <c r="F39" s="6">
        <f t="shared" si="0"/>
        <v>0.35000000000000014</v>
      </c>
      <c r="O39" s="5"/>
    </row>
    <row r="40" spans="2:18" x14ac:dyDescent="0.3">
      <c r="B40" s="6">
        <v>36</v>
      </c>
      <c r="C40" s="34">
        <f>Input!I40</f>
        <v>0.28000000000000003</v>
      </c>
      <c r="E40" s="6">
        <v>0.01</v>
      </c>
      <c r="F40" s="6">
        <f t="shared" si="0"/>
        <v>0.36000000000000015</v>
      </c>
      <c r="O40" s="5"/>
    </row>
    <row r="41" spans="2:18" x14ac:dyDescent="0.3">
      <c r="B41" s="6">
        <v>37</v>
      </c>
      <c r="C41" s="34">
        <f>Input!I41</f>
        <v>0.33</v>
      </c>
      <c r="E41" s="6">
        <v>0.01</v>
      </c>
      <c r="F41" s="6">
        <f t="shared" si="0"/>
        <v>0.37000000000000016</v>
      </c>
      <c r="O41" s="5"/>
      <c r="P41" s="8"/>
    </row>
    <row r="42" spans="2:18" x14ac:dyDescent="0.3">
      <c r="B42" s="6">
        <v>38</v>
      </c>
      <c r="C42" s="34">
        <f>Input!I42</f>
        <v>0.42666666666666669</v>
      </c>
      <c r="E42" s="6">
        <v>0.01</v>
      </c>
      <c r="F42" s="6">
        <f t="shared" si="0"/>
        <v>0.38000000000000017</v>
      </c>
      <c r="O42" s="5"/>
      <c r="P42" s="8"/>
      <c r="R42" s="9"/>
    </row>
    <row r="43" spans="2:18" x14ac:dyDescent="0.3">
      <c r="B43" s="6">
        <v>39</v>
      </c>
      <c r="C43" s="34">
        <f>Input!I43</f>
        <v>0.34</v>
      </c>
      <c r="E43" s="6">
        <v>0.01</v>
      </c>
      <c r="F43" s="6">
        <f t="shared" si="0"/>
        <v>0.39000000000000018</v>
      </c>
      <c r="O43" s="5"/>
    </row>
    <row r="44" spans="2:18" x14ac:dyDescent="0.3">
      <c r="B44" s="6">
        <v>40</v>
      </c>
      <c r="C44" s="34" t="e">
        <f>Input!I44</f>
        <v>#DIV/0!</v>
      </c>
      <c r="E44" s="6">
        <v>0.01</v>
      </c>
      <c r="F44" s="6">
        <f t="shared" si="0"/>
        <v>0.40000000000000019</v>
      </c>
      <c r="O44" s="5"/>
    </row>
    <row r="45" spans="2:18" x14ac:dyDescent="0.3">
      <c r="B45" s="6">
        <v>41</v>
      </c>
      <c r="C45" s="34">
        <f>Input!I45</f>
        <v>0.41</v>
      </c>
      <c r="E45" s="6">
        <v>0.01</v>
      </c>
      <c r="F45" s="6">
        <f t="shared" si="0"/>
        <v>0.4100000000000002</v>
      </c>
      <c r="O45" s="5"/>
    </row>
    <row r="46" spans="2:18" x14ac:dyDescent="0.3">
      <c r="B46" s="6">
        <v>42</v>
      </c>
      <c r="C46" s="34" t="e">
        <f>Input!I46</f>
        <v>#DIV/0!</v>
      </c>
      <c r="E46" s="6">
        <v>0.01</v>
      </c>
      <c r="F46" s="6">
        <f t="shared" si="0"/>
        <v>0.42000000000000021</v>
      </c>
      <c r="O46" s="5"/>
    </row>
    <row r="47" spans="2:18" x14ac:dyDescent="0.3">
      <c r="B47" s="6">
        <v>43</v>
      </c>
      <c r="C47" s="34" t="e">
        <f>Input!I47</f>
        <v>#DIV/0!</v>
      </c>
      <c r="E47" s="6">
        <v>0.01</v>
      </c>
      <c r="F47" s="6">
        <f t="shared" si="0"/>
        <v>0.43000000000000022</v>
      </c>
    </row>
    <row r="48" spans="2:18" x14ac:dyDescent="0.3">
      <c r="B48" s="6">
        <v>44</v>
      </c>
      <c r="C48" s="34">
        <f>Input!I48</f>
        <v>0.42</v>
      </c>
      <c r="E48" s="6">
        <v>0.01</v>
      </c>
      <c r="F48" s="6">
        <f t="shared" si="0"/>
        <v>0.44000000000000022</v>
      </c>
    </row>
    <row r="49" spans="2:6" x14ac:dyDescent="0.3">
      <c r="B49" s="6">
        <v>45</v>
      </c>
      <c r="C49" s="34" t="e">
        <f>Input!I49</f>
        <v>#DIV/0!</v>
      </c>
      <c r="E49" s="6">
        <v>0.01</v>
      </c>
      <c r="F49" s="6">
        <f t="shared" si="0"/>
        <v>0.45000000000000023</v>
      </c>
    </row>
    <row r="50" spans="2:6" x14ac:dyDescent="0.3">
      <c r="B50" s="6">
        <v>46</v>
      </c>
      <c r="C50" s="34" t="e">
        <f>Input!I50</f>
        <v>#DIV/0!</v>
      </c>
      <c r="E50" s="6">
        <v>0.01</v>
      </c>
      <c r="F50" s="6">
        <f t="shared" si="0"/>
        <v>0.46000000000000024</v>
      </c>
    </row>
    <row r="51" spans="2:6" x14ac:dyDescent="0.3">
      <c r="B51" s="6">
        <v>47</v>
      </c>
      <c r="C51" s="34" t="e">
        <f>Input!I51</f>
        <v>#DIV/0!</v>
      </c>
      <c r="E51" s="6">
        <v>0.01</v>
      </c>
      <c r="F51" s="6">
        <f t="shared" si="0"/>
        <v>0.47000000000000025</v>
      </c>
    </row>
    <row r="52" spans="2:6" x14ac:dyDescent="0.3">
      <c r="B52" s="6">
        <v>48</v>
      </c>
      <c r="C52" s="34">
        <f>Input!I52</f>
        <v>0.44</v>
      </c>
      <c r="E52" s="6">
        <v>0.01</v>
      </c>
      <c r="F52" s="6">
        <f t="shared" si="0"/>
        <v>0.48000000000000026</v>
      </c>
    </row>
    <row r="53" spans="2:6" x14ac:dyDescent="0.3">
      <c r="B53" s="6">
        <v>49</v>
      </c>
      <c r="C53" s="34" t="e">
        <f>Input!I53</f>
        <v>#DIV/0!</v>
      </c>
      <c r="E53" s="6">
        <v>0.01</v>
      </c>
      <c r="F53" s="6">
        <f t="shared" si="0"/>
        <v>0.49000000000000027</v>
      </c>
    </row>
    <row r="54" spans="2:6" x14ac:dyDescent="0.3">
      <c r="B54" s="6">
        <v>50</v>
      </c>
      <c r="C54" s="34" t="e">
        <f>Input!I54</f>
        <v>#DIV/0!</v>
      </c>
      <c r="E54" s="6">
        <v>0.01</v>
      </c>
      <c r="F54" s="6">
        <f t="shared" si="0"/>
        <v>0.50000000000000022</v>
      </c>
    </row>
    <row r="55" spans="2:6" x14ac:dyDescent="0.3">
      <c r="B55" s="6">
        <v>51</v>
      </c>
      <c r="C55" s="34">
        <f>Input!I55</f>
        <v>0.49</v>
      </c>
      <c r="E55" s="6">
        <v>0.01</v>
      </c>
      <c r="F55" s="6">
        <f t="shared" si="0"/>
        <v>0.51000000000000023</v>
      </c>
    </row>
    <row r="56" spans="2:6" x14ac:dyDescent="0.3">
      <c r="B56" s="6">
        <v>52</v>
      </c>
      <c r="C56" s="34">
        <f>Input!I56</f>
        <v>0.57999999999999996</v>
      </c>
      <c r="E56" s="6">
        <v>0.01</v>
      </c>
      <c r="F56" s="6">
        <f t="shared" si="0"/>
        <v>0.52000000000000024</v>
      </c>
    </row>
    <row r="57" spans="2:6" x14ac:dyDescent="0.3">
      <c r="B57" s="6">
        <v>53</v>
      </c>
      <c r="C57" s="34" t="e">
        <f>Input!I57</f>
        <v>#DIV/0!</v>
      </c>
      <c r="E57" s="6">
        <v>0.01</v>
      </c>
      <c r="F57" s="6">
        <f t="shared" si="0"/>
        <v>0.53000000000000025</v>
      </c>
    </row>
    <row r="58" spans="2:6" x14ac:dyDescent="0.3">
      <c r="B58" s="6">
        <v>54</v>
      </c>
      <c r="C58" s="34" t="e">
        <f>Input!I58</f>
        <v>#DIV/0!</v>
      </c>
      <c r="E58" s="6">
        <v>0.01</v>
      </c>
      <c r="F58" s="6">
        <f t="shared" si="0"/>
        <v>0.54000000000000026</v>
      </c>
    </row>
    <row r="59" spans="2:6" x14ac:dyDescent="0.3">
      <c r="B59" s="6">
        <v>55</v>
      </c>
      <c r="C59" s="34">
        <f>Input!I59</f>
        <v>0.37</v>
      </c>
      <c r="E59" s="6">
        <v>0.01</v>
      </c>
      <c r="F59" s="6">
        <f t="shared" si="0"/>
        <v>0.55000000000000027</v>
      </c>
    </row>
    <row r="60" spans="2:6" x14ac:dyDescent="0.3">
      <c r="B60" s="6">
        <v>56</v>
      </c>
      <c r="C60" s="34">
        <f>Input!I60</f>
        <v>0.58666666666666656</v>
      </c>
      <c r="E60" s="6">
        <v>0.01</v>
      </c>
      <c r="F60" s="6">
        <f t="shared" si="0"/>
        <v>0.56000000000000028</v>
      </c>
    </row>
    <row r="61" spans="2:6" x14ac:dyDescent="0.3">
      <c r="B61" s="6">
        <v>57</v>
      </c>
      <c r="C61" s="34" t="e">
        <f>Input!I61</f>
        <v>#DIV/0!</v>
      </c>
      <c r="E61" s="6">
        <v>0.01</v>
      </c>
      <c r="F61" s="6">
        <f t="shared" si="0"/>
        <v>0.57000000000000028</v>
      </c>
    </row>
    <row r="62" spans="2:6" x14ac:dyDescent="0.3">
      <c r="B62" s="6">
        <v>58</v>
      </c>
      <c r="C62" s="34" t="e">
        <f>Input!I62</f>
        <v>#DIV/0!</v>
      </c>
      <c r="E62" s="6">
        <v>0.01</v>
      </c>
      <c r="F62" s="6">
        <f t="shared" si="0"/>
        <v>0.58000000000000029</v>
      </c>
    </row>
    <row r="63" spans="2:6" x14ac:dyDescent="0.3">
      <c r="B63" s="6">
        <v>59</v>
      </c>
      <c r="C63" s="34" t="e">
        <f>Input!I63</f>
        <v>#DIV/0!</v>
      </c>
      <c r="E63" s="6">
        <v>0.01</v>
      </c>
      <c r="F63" s="6">
        <f t="shared" si="0"/>
        <v>0.5900000000000003</v>
      </c>
    </row>
    <row r="64" spans="2:6" x14ac:dyDescent="0.3">
      <c r="B64" s="6">
        <v>60</v>
      </c>
      <c r="C64" s="34">
        <f>Input!I64</f>
        <v>0.53</v>
      </c>
      <c r="E64" s="6">
        <v>0.01</v>
      </c>
      <c r="F64" s="6">
        <f t="shared" si="0"/>
        <v>0.60000000000000031</v>
      </c>
    </row>
    <row r="65" spans="2:6" x14ac:dyDescent="0.3">
      <c r="B65" s="6">
        <v>61</v>
      </c>
      <c r="C65" s="34">
        <f>Input!I65</f>
        <v>0.6</v>
      </c>
      <c r="E65" s="6">
        <v>0.01</v>
      </c>
      <c r="F65" s="6">
        <f t="shared" si="0"/>
        <v>0.61000000000000032</v>
      </c>
    </row>
    <row r="66" spans="2:6" x14ac:dyDescent="0.3">
      <c r="B66" s="6">
        <v>62</v>
      </c>
      <c r="C66" s="34" t="e">
        <f>Input!I66</f>
        <v>#DIV/0!</v>
      </c>
      <c r="E66" s="6">
        <v>0.01</v>
      </c>
      <c r="F66" s="6">
        <f t="shared" si="0"/>
        <v>0.62000000000000033</v>
      </c>
    </row>
    <row r="67" spans="2:6" x14ac:dyDescent="0.3">
      <c r="B67" s="6">
        <v>63</v>
      </c>
      <c r="C67" s="34" t="e">
        <f>Input!I67</f>
        <v>#DIV/0!</v>
      </c>
      <c r="E67" s="6">
        <v>0.01</v>
      </c>
      <c r="F67" s="6">
        <f t="shared" si="0"/>
        <v>0.63000000000000034</v>
      </c>
    </row>
    <row r="68" spans="2:6" x14ac:dyDescent="0.3">
      <c r="B68" s="6">
        <v>64</v>
      </c>
      <c r="C68" s="34">
        <f>Input!I68</f>
        <v>0.67</v>
      </c>
      <c r="D68" s="10"/>
      <c r="E68" s="6">
        <v>0.02</v>
      </c>
      <c r="F68" s="6">
        <f t="shared" si="0"/>
        <v>0.65000000000000036</v>
      </c>
    </row>
    <row r="69" spans="2:6" x14ac:dyDescent="0.3">
      <c r="B69" s="6">
        <v>65</v>
      </c>
      <c r="C69" s="34">
        <f>Input!I69</f>
        <v>0.85</v>
      </c>
      <c r="E69" s="6">
        <v>0.02</v>
      </c>
      <c r="F69" s="6">
        <f t="shared" ref="F69:F132" si="1">F68+E69</f>
        <v>0.67000000000000037</v>
      </c>
    </row>
    <row r="70" spans="2:6" x14ac:dyDescent="0.3">
      <c r="B70" s="6">
        <v>66</v>
      </c>
      <c r="C70" s="34">
        <f>Input!I70</f>
        <v>0.73</v>
      </c>
      <c r="E70" s="6">
        <v>0.02</v>
      </c>
      <c r="F70" s="6">
        <f t="shared" si="1"/>
        <v>0.69000000000000039</v>
      </c>
    </row>
    <row r="71" spans="2:6" x14ac:dyDescent="0.3">
      <c r="B71" s="6">
        <v>67</v>
      </c>
      <c r="C71" s="34" t="e">
        <f>Input!I71</f>
        <v>#DIV/0!</v>
      </c>
      <c r="E71" s="6">
        <v>0.02</v>
      </c>
      <c r="F71" s="6">
        <f t="shared" si="1"/>
        <v>0.71000000000000041</v>
      </c>
    </row>
    <row r="72" spans="2:6" x14ac:dyDescent="0.3">
      <c r="B72" s="6">
        <v>68</v>
      </c>
      <c r="C72" s="34" t="e">
        <f>Input!I72</f>
        <v>#DIV/0!</v>
      </c>
      <c r="E72" s="6">
        <v>0.02</v>
      </c>
      <c r="F72" s="6">
        <f t="shared" si="1"/>
        <v>0.73000000000000043</v>
      </c>
    </row>
    <row r="73" spans="2:6" x14ac:dyDescent="0.3">
      <c r="B73" s="6">
        <v>69</v>
      </c>
      <c r="C73" s="34" t="e">
        <f>Input!I73</f>
        <v>#DIV/0!</v>
      </c>
      <c r="E73" s="6">
        <v>0.02</v>
      </c>
      <c r="F73" s="6">
        <f t="shared" si="1"/>
        <v>0.75000000000000044</v>
      </c>
    </row>
    <row r="74" spans="2:6" x14ac:dyDescent="0.3">
      <c r="B74" s="6">
        <v>70</v>
      </c>
      <c r="C74" s="34" t="e">
        <f>Input!I74</f>
        <v>#DIV/0!</v>
      </c>
      <c r="E74" s="6">
        <v>0.02</v>
      </c>
      <c r="F74" s="6">
        <f t="shared" si="1"/>
        <v>0.77000000000000046</v>
      </c>
    </row>
    <row r="75" spans="2:6" x14ac:dyDescent="0.3">
      <c r="B75" s="6">
        <v>71</v>
      </c>
      <c r="C75" s="34" t="e">
        <f>Input!I75</f>
        <v>#DIV/0!</v>
      </c>
      <c r="E75" s="6">
        <v>0.02</v>
      </c>
      <c r="F75" s="6">
        <f t="shared" si="1"/>
        <v>0.79000000000000048</v>
      </c>
    </row>
    <row r="76" spans="2:6" x14ac:dyDescent="0.3">
      <c r="B76" s="6">
        <v>72</v>
      </c>
      <c r="C76" s="34" t="e">
        <f>Input!I76</f>
        <v>#DIV/0!</v>
      </c>
      <c r="E76" s="6">
        <v>0.02</v>
      </c>
      <c r="F76" s="6">
        <f t="shared" si="1"/>
        <v>0.8100000000000005</v>
      </c>
    </row>
    <row r="77" spans="2:6" x14ac:dyDescent="0.3">
      <c r="B77" s="6">
        <v>73</v>
      </c>
      <c r="C77" s="34">
        <f>Input!I77</f>
        <v>0.88</v>
      </c>
      <c r="E77" s="6">
        <v>0.02</v>
      </c>
      <c r="F77" s="6">
        <f t="shared" si="1"/>
        <v>0.83000000000000052</v>
      </c>
    </row>
    <row r="78" spans="2:6" x14ac:dyDescent="0.3">
      <c r="B78" s="6">
        <v>74</v>
      </c>
      <c r="C78" s="34" t="e">
        <f>Input!I78</f>
        <v>#DIV/0!</v>
      </c>
      <c r="E78" s="6">
        <v>0.03</v>
      </c>
      <c r="F78" s="6">
        <f t="shared" si="1"/>
        <v>0.86000000000000054</v>
      </c>
    </row>
    <row r="79" spans="2:6" x14ac:dyDescent="0.3">
      <c r="B79" s="6">
        <v>75</v>
      </c>
      <c r="C79" s="34">
        <f>Input!I79</f>
        <v>0.96199999999999997</v>
      </c>
      <c r="E79" s="6">
        <v>0.03</v>
      </c>
      <c r="F79" s="6">
        <f t="shared" si="1"/>
        <v>0.89000000000000057</v>
      </c>
    </row>
    <row r="80" spans="2:6" x14ac:dyDescent="0.3">
      <c r="B80" s="6">
        <v>76</v>
      </c>
      <c r="C80" s="34">
        <f>Input!I80</f>
        <v>1.1299999999999999</v>
      </c>
      <c r="E80" s="6">
        <v>0.03</v>
      </c>
      <c r="F80" s="6">
        <f t="shared" si="1"/>
        <v>0.9200000000000006</v>
      </c>
    </row>
    <row r="81" spans="2:6" x14ac:dyDescent="0.3">
      <c r="B81" s="6">
        <v>77</v>
      </c>
      <c r="C81" s="34">
        <f>Input!I81</f>
        <v>1.1500000000000001</v>
      </c>
      <c r="E81" s="6">
        <v>0.03</v>
      </c>
      <c r="F81" s="6">
        <f t="shared" si="1"/>
        <v>0.95000000000000062</v>
      </c>
    </row>
    <row r="82" spans="2:6" x14ac:dyDescent="0.3">
      <c r="B82" s="6">
        <v>78</v>
      </c>
      <c r="C82" s="34">
        <f>Input!I82</f>
        <v>0.90500000000000003</v>
      </c>
      <c r="E82" s="6">
        <v>0.04</v>
      </c>
      <c r="F82" s="6">
        <f t="shared" si="1"/>
        <v>0.99000000000000066</v>
      </c>
    </row>
    <row r="83" spans="2:6" x14ac:dyDescent="0.3">
      <c r="B83" s="6">
        <v>79</v>
      </c>
      <c r="C83" s="34">
        <f>Input!I83</f>
        <v>0.91999999999999993</v>
      </c>
      <c r="E83" s="6">
        <v>0.04</v>
      </c>
      <c r="F83" s="6">
        <f t="shared" si="1"/>
        <v>1.0300000000000007</v>
      </c>
    </row>
    <row r="84" spans="2:6" x14ac:dyDescent="0.3">
      <c r="B84" s="6">
        <v>80</v>
      </c>
      <c r="C84" s="34">
        <f>Input!I84</f>
        <v>0.94333333333333325</v>
      </c>
      <c r="E84" s="6">
        <v>0.04</v>
      </c>
      <c r="F84" s="6">
        <f t="shared" si="1"/>
        <v>1.0700000000000007</v>
      </c>
    </row>
    <row r="85" spans="2:6" x14ac:dyDescent="0.3">
      <c r="B85" s="6">
        <v>81</v>
      </c>
      <c r="C85" s="34">
        <f>Input!I85</f>
        <v>1</v>
      </c>
      <c r="E85" s="6">
        <v>0.05</v>
      </c>
      <c r="F85" s="6">
        <f t="shared" si="1"/>
        <v>1.1200000000000008</v>
      </c>
    </row>
    <row r="86" spans="2:6" x14ac:dyDescent="0.3">
      <c r="B86" s="6">
        <v>82</v>
      </c>
      <c r="C86" s="34" t="e">
        <f>Input!I86</f>
        <v>#DIV/0!</v>
      </c>
      <c r="D86" s="10"/>
      <c r="E86" s="6">
        <v>0.05</v>
      </c>
      <c r="F86" s="6">
        <f t="shared" si="1"/>
        <v>1.1700000000000008</v>
      </c>
    </row>
    <row r="87" spans="2:6" x14ac:dyDescent="0.3">
      <c r="B87" s="6">
        <v>83</v>
      </c>
      <c r="C87" s="34">
        <f>Input!I87</f>
        <v>1.2774999999999999</v>
      </c>
      <c r="E87" s="6">
        <v>0.06</v>
      </c>
      <c r="F87" s="6">
        <f t="shared" si="1"/>
        <v>1.2300000000000009</v>
      </c>
    </row>
    <row r="88" spans="2:6" x14ac:dyDescent="0.3">
      <c r="B88" s="6">
        <v>84</v>
      </c>
      <c r="C88" s="34">
        <f>Input!I88</f>
        <v>1.2725</v>
      </c>
      <c r="E88" s="6">
        <v>0.06</v>
      </c>
      <c r="F88" s="6">
        <f t="shared" si="1"/>
        <v>1.2900000000000009</v>
      </c>
    </row>
    <row r="89" spans="2:6" x14ac:dyDescent="0.3">
      <c r="B89" s="6">
        <v>85</v>
      </c>
      <c r="C89" s="34">
        <f>Input!I89</f>
        <v>1.665</v>
      </c>
      <c r="E89" s="6">
        <v>7.0000000000000007E-2</v>
      </c>
      <c r="F89" s="6">
        <f t="shared" si="1"/>
        <v>1.360000000000001</v>
      </c>
    </row>
    <row r="90" spans="2:6" x14ac:dyDescent="0.3">
      <c r="B90" s="6">
        <v>86</v>
      </c>
      <c r="C90" s="34">
        <f>Input!I90</f>
        <v>1.43</v>
      </c>
      <c r="E90" s="6">
        <v>7.0000000000000007E-2</v>
      </c>
      <c r="F90" s="6">
        <f t="shared" si="1"/>
        <v>1.430000000000001</v>
      </c>
    </row>
    <row r="91" spans="2:6" x14ac:dyDescent="0.3">
      <c r="B91" s="6">
        <v>87</v>
      </c>
      <c r="C91" s="34">
        <f>Input!I91</f>
        <v>2.11</v>
      </c>
      <c r="D91" s="10"/>
      <c r="E91" s="6">
        <v>0.08</v>
      </c>
      <c r="F91" s="6">
        <f t="shared" si="1"/>
        <v>1.5100000000000011</v>
      </c>
    </row>
    <row r="92" spans="2:6" x14ac:dyDescent="0.3">
      <c r="B92" s="6">
        <v>88</v>
      </c>
      <c r="C92" s="34">
        <f>Input!I92</f>
        <v>1.8333333333333333</v>
      </c>
      <c r="E92" s="6">
        <v>0.08</v>
      </c>
      <c r="F92" s="6">
        <f t="shared" si="1"/>
        <v>1.5900000000000012</v>
      </c>
    </row>
    <row r="93" spans="2:6" x14ac:dyDescent="0.3">
      <c r="B93" s="6">
        <v>89</v>
      </c>
      <c r="C93" s="34">
        <f>Input!I93</f>
        <v>1.7549999999999999</v>
      </c>
      <c r="E93" s="6">
        <v>0.09</v>
      </c>
      <c r="F93" s="6">
        <f t="shared" si="1"/>
        <v>1.6800000000000013</v>
      </c>
    </row>
    <row r="94" spans="2:6" x14ac:dyDescent="0.3">
      <c r="B94" s="6">
        <v>90</v>
      </c>
      <c r="C94" s="34">
        <f>Input!I94</f>
        <v>2.4249999999999998</v>
      </c>
      <c r="E94" s="6">
        <v>0.09</v>
      </c>
      <c r="F94" s="6">
        <f t="shared" si="1"/>
        <v>1.7700000000000014</v>
      </c>
    </row>
    <row r="95" spans="2:6" x14ac:dyDescent="0.3">
      <c r="B95" s="6">
        <v>91</v>
      </c>
      <c r="C95" s="34">
        <f>Input!I95</f>
        <v>1.9849999999999999</v>
      </c>
      <c r="D95" s="10"/>
      <c r="E95" s="6">
        <v>0.1</v>
      </c>
      <c r="F95" s="6">
        <f t="shared" si="1"/>
        <v>1.8700000000000014</v>
      </c>
    </row>
    <row r="96" spans="2:6" x14ac:dyDescent="0.3">
      <c r="B96" s="6">
        <v>92</v>
      </c>
      <c r="C96" s="34">
        <f>Input!I96</f>
        <v>1.9471428571428571</v>
      </c>
      <c r="E96" s="6">
        <v>0.1</v>
      </c>
      <c r="F96" s="6">
        <f t="shared" si="1"/>
        <v>1.9700000000000015</v>
      </c>
    </row>
    <row r="97" spans="2:6" x14ac:dyDescent="0.3">
      <c r="B97" s="6">
        <v>93</v>
      </c>
      <c r="C97" s="34">
        <f>Input!I97</f>
        <v>1.83</v>
      </c>
      <c r="E97" s="6">
        <v>0.1</v>
      </c>
      <c r="F97" s="6">
        <f t="shared" si="1"/>
        <v>2.0700000000000016</v>
      </c>
    </row>
    <row r="98" spans="2:6" x14ac:dyDescent="0.3">
      <c r="B98" s="6">
        <v>94</v>
      </c>
      <c r="C98" s="34">
        <f>Input!I98</f>
        <v>2.59</v>
      </c>
      <c r="E98" s="6">
        <v>0.15</v>
      </c>
      <c r="F98" s="6">
        <f t="shared" si="1"/>
        <v>2.2200000000000015</v>
      </c>
    </row>
    <row r="99" spans="2:6" x14ac:dyDescent="0.3">
      <c r="B99" s="6">
        <v>95</v>
      </c>
      <c r="C99" s="34">
        <f>Input!I99</f>
        <v>2.9649999999999999</v>
      </c>
      <c r="E99" s="6">
        <v>0.15</v>
      </c>
      <c r="F99" s="6">
        <f t="shared" si="1"/>
        <v>2.3700000000000014</v>
      </c>
    </row>
    <row r="100" spans="2:6" x14ac:dyDescent="0.3">
      <c r="B100" s="6">
        <v>96</v>
      </c>
      <c r="C100" s="34">
        <f>Input!I100</f>
        <v>2.12</v>
      </c>
      <c r="E100" s="6">
        <v>0.15</v>
      </c>
      <c r="F100" s="6">
        <f t="shared" si="1"/>
        <v>2.5200000000000014</v>
      </c>
    </row>
    <row r="101" spans="2:6" x14ac:dyDescent="0.3">
      <c r="B101" s="6">
        <v>97</v>
      </c>
      <c r="C101" s="34">
        <f>Input!I101</f>
        <v>2.7075</v>
      </c>
      <c r="E101" s="6">
        <v>0.2</v>
      </c>
      <c r="F101" s="6">
        <f t="shared" si="1"/>
        <v>2.7200000000000015</v>
      </c>
    </row>
    <row r="102" spans="2:6" x14ac:dyDescent="0.3">
      <c r="B102" s="6">
        <v>98</v>
      </c>
      <c r="C102" s="34">
        <f>Input!I102</f>
        <v>2.23</v>
      </c>
      <c r="E102" s="6">
        <v>0.2</v>
      </c>
      <c r="F102" s="6">
        <f t="shared" si="1"/>
        <v>2.9200000000000017</v>
      </c>
    </row>
    <row r="103" spans="2:6" x14ac:dyDescent="0.3">
      <c r="B103" s="6">
        <v>99</v>
      </c>
      <c r="C103" s="34">
        <f>Input!I103</f>
        <v>2.7966666666666669</v>
      </c>
      <c r="E103" s="6">
        <v>0.2</v>
      </c>
      <c r="F103" s="6">
        <f t="shared" si="1"/>
        <v>3.1200000000000019</v>
      </c>
    </row>
    <row r="104" spans="2:6" x14ac:dyDescent="0.3">
      <c r="B104" s="6">
        <v>100</v>
      </c>
      <c r="C104" s="34">
        <f>Input!I104</f>
        <v>4.168000000000001</v>
      </c>
      <c r="E104" s="6">
        <v>0.22</v>
      </c>
      <c r="F104" s="6">
        <f t="shared" si="1"/>
        <v>3.3400000000000021</v>
      </c>
    </row>
    <row r="105" spans="2:6" x14ac:dyDescent="0.3">
      <c r="B105" s="6">
        <v>101</v>
      </c>
      <c r="C105" s="34">
        <f>Input!I105</f>
        <v>2.64</v>
      </c>
      <c r="E105" s="6">
        <v>0.24</v>
      </c>
      <c r="F105" s="6">
        <f t="shared" si="1"/>
        <v>3.5800000000000018</v>
      </c>
    </row>
    <row r="106" spans="2:6" x14ac:dyDescent="0.3">
      <c r="B106" s="6">
        <v>102</v>
      </c>
      <c r="C106" s="34">
        <f>Input!I106</f>
        <v>3.3566666666666669</v>
      </c>
      <c r="E106" s="6">
        <v>0.26</v>
      </c>
      <c r="F106" s="6">
        <f t="shared" si="1"/>
        <v>3.8400000000000016</v>
      </c>
    </row>
    <row r="107" spans="2:6" x14ac:dyDescent="0.3">
      <c r="B107" s="6">
        <v>103</v>
      </c>
      <c r="C107" s="34">
        <f>Input!I107</f>
        <v>4.3099999999999996</v>
      </c>
      <c r="E107" s="6">
        <v>0.28000000000000003</v>
      </c>
      <c r="F107" s="6">
        <f t="shared" si="1"/>
        <v>4.1200000000000019</v>
      </c>
    </row>
    <row r="108" spans="2:6" x14ac:dyDescent="0.3">
      <c r="B108" s="6">
        <v>104</v>
      </c>
      <c r="C108" s="34">
        <f>Input!I108</f>
        <v>3.3600000000000003</v>
      </c>
      <c r="E108" s="6">
        <v>0.3</v>
      </c>
      <c r="F108" s="6">
        <f t="shared" si="1"/>
        <v>4.4200000000000017</v>
      </c>
    </row>
    <row r="109" spans="2:6" x14ac:dyDescent="0.3">
      <c r="B109" s="6">
        <v>105</v>
      </c>
      <c r="C109" s="34">
        <f>Input!I109</f>
        <v>4.3</v>
      </c>
      <c r="E109" s="6">
        <v>0.32</v>
      </c>
      <c r="F109" s="6">
        <f t="shared" si="1"/>
        <v>4.740000000000002</v>
      </c>
    </row>
    <row r="110" spans="2:6" x14ac:dyDescent="0.3">
      <c r="B110" s="6">
        <v>106</v>
      </c>
      <c r="C110" s="34">
        <f>Input!I110</f>
        <v>4.9375</v>
      </c>
      <c r="E110" s="6">
        <v>0.34</v>
      </c>
      <c r="F110" s="6">
        <f t="shared" si="1"/>
        <v>5.0800000000000018</v>
      </c>
    </row>
    <row r="111" spans="2:6" x14ac:dyDescent="0.3">
      <c r="B111" s="6">
        <v>107</v>
      </c>
      <c r="C111" s="34">
        <f>Input!I111</f>
        <v>4.125</v>
      </c>
      <c r="E111" s="6">
        <v>0.36</v>
      </c>
      <c r="F111" s="6">
        <f t="shared" si="1"/>
        <v>5.4400000000000022</v>
      </c>
    </row>
    <row r="112" spans="2:6" x14ac:dyDescent="0.3">
      <c r="B112" s="6">
        <v>108</v>
      </c>
      <c r="C112" s="34">
        <f>Input!I112</f>
        <v>5.18</v>
      </c>
      <c r="E112" s="6">
        <v>0.38</v>
      </c>
      <c r="F112" s="6">
        <f t="shared" si="1"/>
        <v>5.8200000000000021</v>
      </c>
    </row>
    <row r="113" spans="2:6" x14ac:dyDescent="0.3">
      <c r="B113" s="6">
        <v>109</v>
      </c>
      <c r="C113" s="34">
        <f>Input!I113</f>
        <v>6.0660000000000007</v>
      </c>
      <c r="E113" s="6">
        <v>0.4</v>
      </c>
      <c r="F113" s="6">
        <f t="shared" si="1"/>
        <v>6.2200000000000024</v>
      </c>
    </row>
    <row r="114" spans="2:6" x14ac:dyDescent="0.3">
      <c r="B114" s="6">
        <v>110</v>
      </c>
      <c r="C114" s="34">
        <f>Input!I114</f>
        <v>5.1733333333333338</v>
      </c>
      <c r="E114" s="6">
        <v>0.42</v>
      </c>
      <c r="F114" s="6">
        <f t="shared" si="1"/>
        <v>6.6400000000000023</v>
      </c>
    </row>
    <row r="115" spans="2:6" x14ac:dyDescent="0.3">
      <c r="B115" s="6">
        <v>111</v>
      </c>
      <c r="C115" s="34">
        <f>Input!I115</f>
        <v>5.07</v>
      </c>
      <c r="E115" s="6">
        <v>0.44</v>
      </c>
      <c r="F115" s="6">
        <f t="shared" si="1"/>
        <v>7.0800000000000027</v>
      </c>
    </row>
    <row r="116" spans="2:6" x14ac:dyDescent="0.3">
      <c r="B116" s="6">
        <v>112</v>
      </c>
      <c r="C116" s="34">
        <f>Input!I116</f>
        <v>6.0222222222222221</v>
      </c>
      <c r="E116" s="6">
        <v>0.46</v>
      </c>
      <c r="F116" s="6">
        <f t="shared" si="1"/>
        <v>7.5400000000000027</v>
      </c>
    </row>
    <row r="117" spans="2:6" x14ac:dyDescent="0.3">
      <c r="B117" s="6">
        <v>113</v>
      </c>
      <c r="C117" s="34">
        <f>Input!I117</f>
        <v>5.7974999999999994</v>
      </c>
      <c r="E117" s="6">
        <v>0.48</v>
      </c>
      <c r="F117" s="6">
        <f t="shared" si="1"/>
        <v>8.0200000000000031</v>
      </c>
    </row>
    <row r="118" spans="2:6" x14ac:dyDescent="0.3">
      <c r="B118" s="6">
        <v>114</v>
      </c>
      <c r="C118" s="34">
        <f>Input!I118</f>
        <v>7.1566666666666672</v>
      </c>
      <c r="E118" s="6">
        <v>0.5</v>
      </c>
      <c r="F118" s="6">
        <f t="shared" si="1"/>
        <v>8.5200000000000031</v>
      </c>
    </row>
    <row r="119" spans="2:6" x14ac:dyDescent="0.3">
      <c r="B119" s="6">
        <v>115</v>
      </c>
      <c r="C119" s="34">
        <f>Input!I119</f>
        <v>7.24</v>
      </c>
      <c r="E119" s="6">
        <v>0.52</v>
      </c>
      <c r="F119" s="6">
        <f t="shared" si="1"/>
        <v>9.0400000000000027</v>
      </c>
    </row>
    <row r="120" spans="2:6" x14ac:dyDescent="0.3">
      <c r="B120" s="6">
        <v>116</v>
      </c>
      <c r="C120" s="34">
        <f>Input!I120</f>
        <v>10.895</v>
      </c>
      <c r="E120" s="6">
        <v>0.54</v>
      </c>
      <c r="F120" s="6">
        <f t="shared" si="1"/>
        <v>9.5800000000000018</v>
      </c>
    </row>
    <row r="121" spans="2:6" x14ac:dyDescent="0.3">
      <c r="B121" s="6">
        <v>117</v>
      </c>
      <c r="C121" s="34">
        <f>Input!I121</f>
        <v>8.0181249999999995</v>
      </c>
      <c r="E121" s="6">
        <v>0.56000000000000005</v>
      </c>
      <c r="F121" s="6">
        <f t="shared" si="1"/>
        <v>10.140000000000002</v>
      </c>
    </row>
    <row r="122" spans="2:6" x14ac:dyDescent="0.3">
      <c r="B122" s="6">
        <v>118</v>
      </c>
      <c r="C122" s="34">
        <f>Input!I122</f>
        <v>8.718</v>
      </c>
      <c r="E122" s="6">
        <v>0.57999999999999996</v>
      </c>
      <c r="F122" s="6">
        <f t="shared" si="1"/>
        <v>10.720000000000002</v>
      </c>
    </row>
    <row r="123" spans="2:6" x14ac:dyDescent="0.3">
      <c r="B123" s="6">
        <v>119</v>
      </c>
      <c r="C123" s="34">
        <f>Input!I123</f>
        <v>8.6300000000000008</v>
      </c>
      <c r="E123" s="6">
        <v>0.6</v>
      </c>
      <c r="F123" s="6">
        <f t="shared" si="1"/>
        <v>11.320000000000002</v>
      </c>
    </row>
    <row r="124" spans="2:6" x14ac:dyDescent="0.3">
      <c r="B124" s="6">
        <v>120</v>
      </c>
      <c r="C124" s="34">
        <f>Input!I124</f>
        <v>10.555384615384614</v>
      </c>
      <c r="E124" s="6">
        <v>0.62</v>
      </c>
      <c r="F124" s="6">
        <f t="shared" si="1"/>
        <v>11.940000000000001</v>
      </c>
    </row>
    <row r="125" spans="2:6" x14ac:dyDescent="0.3">
      <c r="B125" s="6">
        <v>121</v>
      </c>
      <c r="C125" s="34">
        <f>Input!I125</f>
        <v>10.14111111111111</v>
      </c>
      <c r="E125" s="6">
        <v>0.64</v>
      </c>
      <c r="F125" s="6">
        <f t="shared" si="1"/>
        <v>12.580000000000002</v>
      </c>
    </row>
    <row r="126" spans="2:6" x14ac:dyDescent="0.3">
      <c r="B126" s="6">
        <v>122</v>
      </c>
      <c r="C126" s="34">
        <f>Input!I126</f>
        <v>11.126666666666667</v>
      </c>
      <c r="E126" s="6">
        <v>0.66</v>
      </c>
      <c r="F126" s="6">
        <f t="shared" si="1"/>
        <v>13.240000000000002</v>
      </c>
    </row>
    <row r="127" spans="2:6" x14ac:dyDescent="0.3">
      <c r="B127" s="6">
        <v>123</v>
      </c>
      <c r="C127" s="34">
        <f>Input!I127</f>
        <v>11.34064516129032</v>
      </c>
      <c r="E127" s="6">
        <v>0.68</v>
      </c>
      <c r="F127" s="6">
        <f t="shared" si="1"/>
        <v>13.920000000000002</v>
      </c>
    </row>
    <row r="128" spans="2:6" x14ac:dyDescent="0.3">
      <c r="B128" s="6">
        <v>124</v>
      </c>
      <c r="C128" s="34">
        <f>Input!I128</f>
        <v>14.494444444444444</v>
      </c>
      <c r="E128" s="6">
        <v>0.7</v>
      </c>
      <c r="F128" s="6">
        <f t="shared" si="1"/>
        <v>14.620000000000001</v>
      </c>
    </row>
    <row r="129" spans="2:6" x14ac:dyDescent="0.3">
      <c r="B129" s="6">
        <v>125</v>
      </c>
      <c r="C129" s="34">
        <f>Input!I129</f>
        <v>12.887777777777778</v>
      </c>
      <c r="E129" s="6">
        <v>0.72</v>
      </c>
      <c r="F129" s="6">
        <f t="shared" si="1"/>
        <v>15.340000000000002</v>
      </c>
    </row>
    <row r="130" spans="2:6" x14ac:dyDescent="0.3">
      <c r="B130" s="6">
        <v>126</v>
      </c>
      <c r="C130" s="34">
        <f>Input!I130</f>
        <v>13.488</v>
      </c>
      <c r="E130" s="6">
        <v>0.75</v>
      </c>
      <c r="F130" s="6">
        <f t="shared" si="1"/>
        <v>16.090000000000003</v>
      </c>
    </row>
    <row r="131" spans="2:6" x14ac:dyDescent="0.3">
      <c r="B131" s="6">
        <v>127</v>
      </c>
      <c r="C131" s="34">
        <f>Input!I131</f>
        <v>14.311666666666667</v>
      </c>
      <c r="E131" s="6">
        <v>0.78</v>
      </c>
      <c r="F131" s="6">
        <f t="shared" si="1"/>
        <v>16.870000000000005</v>
      </c>
    </row>
    <row r="132" spans="2:6" x14ac:dyDescent="0.3">
      <c r="B132" s="6">
        <v>128</v>
      </c>
      <c r="C132" s="34">
        <f>Input!I132</f>
        <v>18.628333333333334</v>
      </c>
      <c r="E132" s="6">
        <v>0.81</v>
      </c>
      <c r="F132" s="6">
        <f t="shared" si="1"/>
        <v>17.680000000000003</v>
      </c>
    </row>
    <row r="133" spans="2:6" x14ac:dyDescent="0.3">
      <c r="B133" s="6">
        <v>129</v>
      </c>
      <c r="C133" s="34">
        <f>Input!I133</f>
        <v>16.150000000000002</v>
      </c>
      <c r="E133" s="6">
        <v>0.84</v>
      </c>
      <c r="F133" s="6">
        <f t="shared" ref="F133:F196" si="2">F132+E133</f>
        <v>18.520000000000003</v>
      </c>
    </row>
    <row r="134" spans="2:6" x14ac:dyDescent="0.3">
      <c r="B134" s="6">
        <v>130</v>
      </c>
      <c r="C134" s="34">
        <f>Input!I134</f>
        <v>18.248571428571427</v>
      </c>
      <c r="E134" s="6">
        <v>0.95</v>
      </c>
      <c r="F134" s="6">
        <f t="shared" si="2"/>
        <v>19.470000000000002</v>
      </c>
    </row>
    <row r="135" spans="2:6" x14ac:dyDescent="0.3">
      <c r="B135" s="6">
        <v>131</v>
      </c>
      <c r="C135" s="34">
        <f>Input!I135</f>
        <v>22.058</v>
      </c>
      <c r="E135" s="6">
        <v>1.1000000000000001</v>
      </c>
      <c r="F135" s="6">
        <f t="shared" si="2"/>
        <v>20.570000000000004</v>
      </c>
    </row>
    <row r="136" spans="2:6" x14ac:dyDescent="0.3">
      <c r="B136" s="6">
        <v>132</v>
      </c>
      <c r="C136" s="34">
        <f>Input!I136</f>
        <v>21.246666666666666</v>
      </c>
      <c r="E136" s="6">
        <v>1.2</v>
      </c>
      <c r="F136" s="6">
        <f t="shared" si="2"/>
        <v>21.770000000000003</v>
      </c>
    </row>
    <row r="137" spans="2:6" x14ac:dyDescent="0.3">
      <c r="B137" s="6">
        <v>133</v>
      </c>
      <c r="C137" s="34">
        <f>Input!I137</f>
        <v>18.844999999999999</v>
      </c>
      <c r="E137" s="6">
        <v>1.3</v>
      </c>
      <c r="F137" s="6">
        <f t="shared" si="2"/>
        <v>23.070000000000004</v>
      </c>
    </row>
    <row r="138" spans="2:6" x14ac:dyDescent="0.3">
      <c r="B138" s="6">
        <v>134</v>
      </c>
      <c r="C138" s="34">
        <f>Input!I138</f>
        <v>20.052727272727275</v>
      </c>
      <c r="E138" s="6">
        <v>1.4</v>
      </c>
      <c r="F138" s="6">
        <f t="shared" si="2"/>
        <v>24.470000000000002</v>
      </c>
    </row>
    <row r="139" spans="2:6" x14ac:dyDescent="0.3">
      <c r="B139" s="6">
        <v>135</v>
      </c>
      <c r="C139" s="34">
        <f>Input!I139</f>
        <v>26.204545454545453</v>
      </c>
      <c r="E139" s="6">
        <v>1.5</v>
      </c>
      <c r="F139" s="6">
        <f t="shared" si="2"/>
        <v>25.970000000000002</v>
      </c>
    </row>
    <row r="140" spans="2:6" x14ac:dyDescent="0.3">
      <c r="B140" s="6">
        <v>136</v>
      </c>
      <c r="C140" s="34">
        <f>Input!I140</f>
        <v>24.268000000000001</v>
      </c>
      <c r="E140" s="6">
        <v>1.6</v>
      </c>
      <c r="F140" s="6">
        <f t="shared" si="2"/>
        <v>27.570000000000004</v>
      </c>
    </row>
    <row r="141" spans="2:6" x14ac:dyDescent="0.3">
      <c r="B141" s="6">
        <v>137</v>
      </c>
      <c r="C141" s="34">
        <f>Input!I141</f>
        <v>24.410000000000004</v>
      </c>
      <c r="E141" s="6">
        <v>1.7</v>
      </c>
      <c r="F141" s="6">
        <f t="shared" si="2"/>
        <v>29.270000000000003</v>
      </c>
    </row>
    <row r="142" spans="2:6" x14ac:dyDescent="0.3">
      <c r="B142" s="6">
        <v>138</v>
      </c>
      <c r="C142" s="34">
        <f>Input!I142</f>
        <v>25.502857142857142</v>
      </c>
      <c r="E142" s="6">
        <v>1.8</v>
      </c>
      <c r="F142" s="6">
        <f t="shared" si="2"/>
        <v>31.070000000000004</v>
      </c>
    </row>
    <row r="143" spans="2:6" x14ac:dyDescent="0.3">
      <c r="B143" s="6">
        <v>139</v>
      </c>
      <c r="C143" s="34">
        <f>Input!I143</f>
        <v>28.351333333333336</v>
      </c>
      <c r="E143" s="6">
        <v>1.9</v>
      </c>
      <c r="F143" s="6">
        <f t="shared" si="2"/>
        <v>32.970000000000006</v>
      </c>
    </row>
    <row r="144" spans="2:6" x14ac:dyDescent="0.3">
      <c r="B144" s="6">
        <v>140</v>
      </c>
      <c r="C144" s="34">
        <f>Input!I144</f>
        <v>29.240499999999997</v>
      </c>
      <c r="E144" s="6">
        <v>2.1</v>
      </c>
      <c r="F144" s="6">
        <f t="shared" si="2"/>
        <v>35.070000000000007</v>
      </c>
    </row>
    <row r="145" spans="1:6" x14ac:dyDescent="0.3">
      <c r="B145" s="6">
        <v>141</v>
      </c>
      <c r="C145" s="34">
        <f>Input!I145</f>
        <v>32.946666666666665</v>
      </c>
      <c r="E145" s="6">
        <v>2.2000000000000002</v>
      </c>
      <c r="F145" s="6">
        <f t="shared" si="2"/>
        <v>37.27000000000001</v>
      </c>
    </row>
    <row r="146" spans="1:6" x14ac:dyDescent="0.3">
      <c r="B146" s="6">
        <v>142</v>
      </c>
      <c r="C146" s="34">
        <f>Input!I146</f>
        <v>32.379090909090912</v>
      </c>
      <c r="E146" s="6">
        <v>2.2999999999999998</v>
      </c>
      <c r="F146" s="6">
        <f t="shared" si="2"/>
        <v>39.570000000000007</v>
      </c>
    </row>
    <row r="147" spans="1:6" x14ac:dyDescent="0.3">
      <c r="A147" s="11"/>
      <c r="B147" s="11">
        <v>143</v>
      </c>
      <c r="C147" s="35">
        <f>Input!I147</f>
        <v>33.43</v>
      </c>
      <c r="D147" s="11"/>
      <c r="E147" s="6">
        <v>2.4</v>
      </c>
      <c r="F147" s="11">
        <f t="shared" si="2"/>
        <v>41.970000000000006</v>
      </c>
    </row>
    <row r="148" spans="1:6" x14ac:dyDescent="0.3">
      <c r="B148" s="6">
        <v>144</v>
      </c>
      <c r="C148" s="34">
        <f>Input!I148</f>
        <v>34.559285714285714</v>
      </c>
      <c r="E148" s="6">
        <v>2.5</v>
      </c>
      <c r="F148" s="6">
        <f t="shared" si="2"/>
        <v>44.470000000000006</v>
      </c>
    </row>
    <row r="149" spans="1:6" x14ac:dyDescent="0.3">
      <c r="B149" s="6">
        <v>145</v>
      </c>
      <c r="C149" s="34">
        <f>Input!I149</f>
        <v>36.302631578947377</v>
      </c>
      <c r="E149" s="6">
        <v>2.6</v>
      </c>
      <c r="F149" s="6">
        <f t="shared" si="2"/>
        <v>47.070000000000007</v>
      </c>
    </row>
    <row r="150" spans="1:6" x14ac:dyDescent="0.3">
      <c r="B150" s="6">
        <v>146</v>
      </c>
      <c r="C150" s="34">
        <f>Input!I150</f>
        <v>38.957777777777785</v>
      </c>
      <c r="E150" s="6">
        <v>2.7</v>
      </c>
      <c r="F150" s="6">
        <f t="shared" si="2"/>
        <v>49.77000000000001</v>
      </c>
    </row>
    <row r="151" spans="1:6" x14ac:dyDescent="0.3">
      <c r="B151" s="6">
        <v>147</v>
      </c>
      <c r="C151" s="34">
        <f>Input!I151</f>
        <v>41.281999999999996</v>
      </c>
      <c r="E151" s="6">
        <v>2.8</v>
      </c>
      <c r="F151" s="6">
        <f t="shared" si="2"/>
        <v>52.570000000000007</v>
      </c>
    </row>
    <row r="152" spans="1:6" x14ac:dyDescent="0.3">
      <c r="B152" s="6">
        <v>148</v>
      </c>
      <c r="C152" s="34">
        <f>Input!I152</f>
        <v>46.353888888888882</v>
      </c>
      <c r="E152" s="6">
        <v>2.9</v>
      </c>
      <c r="F152" s="6">
        <f t="shared" si="2"/>
        <v>55.470000000000006</v>
      </c>
    </row>
    <row r="153" spans="1:6" x14ac:dyDescent="0.3">
      <c r="B153" s="6">
        <v>149</v>
      </c>
      <c r="C153" s="34">
        <f>Input!I153</f>
        <v>54.324666666666658</v>
      </c>
      <c r="E153" s="6">
        <v>3</v>
      </c>
      <c r="F153" s="6">
        <f t="shared" si="2"/>
        <v>58.470000000000006</v>
      </c>
    </row>
    <row r="154" spans="1:6" x14ac:dyDescent="0.3">
      <c r="B154" s="6">
        <v>150</v>
      </c>
      <c r="C154" s="34">
        <f>Input!I154</f>
        <v>50.801176470588238</v>
      </c>
      <c r="E154" s="6">
        <v>3.1</v>
      </c>
      <c r="F154" s="6">
        <f t="shared" si="2"/>
        <v>61.570000000000007</v>
      </c>
    </row>
    <row r="155" spans="1:6" x14ac:dyDescent="0.3">
      <c r="B155" s="6">
        <v>151</v>
      </c>
      <c r="C155" s="34">
        <f>Input!I155</f>
        <v>53.711250000000007</v>
      </c>
      <c r="E155" s="6">
        <v>3.2</v>
      </c>
      <c r="F155" s="6">
        <f t="shared" si="2"/>
        <v>64.77000000000001</v>
      </c>
    </row>
    <row r="156" spans="1:6" x14ac:dyDescent="0.3">
      <c r="B156" s="6">
        <v>152</v>
      </c>
      <c r="C156" s="34">
        <f>Input!I156</f>
        <v>56.510526315789477</v>
      </c>
      <c r="E156" s="6">
        <v>3.3</v>
      </c>
      <c r="F156" s="6">
        <f t="shared" si="2"/>
        <v>68.070000000000007</v>
      </c>
    </row>
    <row r="157" spans="1:6" x14ac:dyDescent="0.3">
      <c r="B157" s="6">
        <v>153</v>
      </c>
      <c r="C157" s="34">
        <f>Input!I157</f>
        <v>58.597999999999999</v>
      </c>
      <c r="E157" s="6">
        <v>3.4</v>
      </c>
      <c r="F157" s="6">
        <f t="shared" si="2"/>
        <v>71.470000000000013</v>
      </c>
    </row>
    <row r="158" spans="1:6" x14ac:dyDescent="0.3">
      <c r="B158" s="6">
        <v>154</v>
      </c>
      <c r="C158" s="34">
        <f>Input!I158</f>
        <v>74.306666666666658</v>
      </c>
      <c r="E158" s="6">
        <v>3.5</v>
      </c>
      <c r="F158" s="6">
        <f t="shared" si="2"/>
        <v>74.970000000000013</v>
      </c>
    </row>
    <row r="159" spans="1:6" x14ac:dyDescent="0.3">
      <c r="B159" s="6">
        <v>155</v>
      </c>
      <c r="C159" s="34">
        <f>Input!I159</f>
        <v>73.008235294117654</v>
      </c>
      <c r="E159" s="6">
        <v>3.6</v>
      </c>
      <c r="F159" s="6">
        <f t="shared" si="2"/>
        <v>78.570000000000007</v>
      </c>
    </row>
    <row r="160" spans="1:6" x14ac:dyDescent="0.3">
      <c r="B160" s="6">
        <v>156</v>
      </c>
      <c r="C160" s="34">
        <f>Input!I160</f>
        <v>87.278999999999996</v>
      </c>
      <c r="E160" s="6">
        <v>3.7</v>
      </c>
      <c r="F160" s="6">
        <f t="shared" si="2"/>
        <v>82.27000000000001</v>
      </c>
    </row>
    <row r="161" spans="1:6" x14ac:dyDescent="0.3">
      <c r="B161" s="6">
        <v>157</v>
      </c>
      <c r="C161" s="34">
        <f>Input!I161</f>
        <v>75.056842105263172</v>
      </c>
      <c r="E161" s="6">
        <v>3.8</v>
      </c>
      <c r="F161" s="6">
        <f t="shared" si="2"/>
        <v>86.070000000000007</v>
      </c>
    </row>
    <row r="162" spans="1:6" x14ac:dyDescent="0.3">
      <c r="B162" s="6">
        <v>158</v>
      </c>
      <c r="C162" s="34">
        <f>Input!I162</f>
        <v>79.269411764705879</v>
      </c>
      <c r="E162" s="6">
        <v>3.9</v>
      </c>
      <c r="F162" s="6">
        <f t="shared" si="2"/>
        <v>89.970000000000013</v>
      </c>
    </row>
    <row r="163" spans="1:6" x14ac:dyDescent="0.3">
      <c r="B163" s="6">
        <v>159</v>
      </c>
      <c r="C163" s="34">
        <f>Input!I163</f>
        <v>81.76965517241382</v>
      </c>
      <c r="E163" s="6">
        <v>4</v>
      </c>
      <c r="F163" s="6">
        <f t="shared" si="2"/>
        <v>93.970000000000013</v>
      </c>
    </row>
    <row r="164" spans="1:6" x14ac:dyDescent="0.3">
      <c r="B164" s="6">
        <v>160</v>
      </c>
      <c r="C164" s="34">
        <f>Input!I164</f>
        <v>115.29684210526318</v>
      </c>
      <c r="E164" s="6">
        <v>4.0999999999999996</v>
      </c>
      <c r="F164" s="6">
        <f t="shared" si="2"/>
        <v>98.070000000000007</v>
      </c>
    </row>
    <row r="165" spans="1:6" x14ac:dyDescent="0.3">
      <c r="B165" s="6">
        <v>161</v>
      </c>
      <c r="C165" s="34">
        <f>Input!I165</f>
        <v>98.979999999999976</v>
      </c>
      <c r="E165" s="6">
        <v>4.2</v>
      </c>
      <c r="F165" s="6">
        <f t="shared" si="2"/>
        <v>102.27000000000001</v>
      </c>
    </row>
    <row r="166" spans="1:6" x14ac:dyDescent="0.3">
      <c r="B166" s="6">
        <v>162</v>
      </c>
      <c r="C166" s="34">
        <f>Input!I166</f>
        <v>104.95937499999999</v>
      </c>
      <c r="E166" s="6">
        <v>4.3</v>
      </c>
      <c r="F166" s="6">
        <f t="shared" si="2"/>
        <v>106.57000000000001</v>
      </c>
    </row>
    <row r="167" spans="1:6" x14ac:dyDescent="0.3">
      <c r="B167" s="6">
        <v>163</v>
      </c>
      <c r="C167" s="34">
        <f>Input!I167</f>
        <v>109.9848275862069</v>
      </c>
      <c r="E167" s="6">
        <v>4.4000000000000004</v>
      </c>
      <c r="F167" s="6">
        <f t="shared" si="2"/>
        <v>110.97000000000001</v>
      </c>
    </row>
    <row r="168" spans="1:6" x14ac:dyDescent="0.3">
      <c r="B168" s="6">
        <v>164</v>
      </c>
      <c r="C168" s="34">
        <f>Input!I168</f>
        <v>115.99870967741936</v>
      </c>
      <c r="E168" s="6">
        <v>4.5</v>
      </c>
      <c r="F168" s="6">
        <f t="shared" si="2"/>
        <v>115.47000000000001</v>
      </c>
    </row>
    <row r="169" spans="1:6" x14ac:dyDescent="0.3">
      <c r="B169" s="6">
        <v>165</v>
      </c>
      <c r="C169" s="34">
        <f>Input!I169</f>
        <v>130.62814814814814</v>
      </c>
      <c r="E169" s="6">
        <v>4.5999999999999996</v>
      </c>
      <c r="F169" s="6">
        <f t="shared" si="2"/>
        <v>120.07000000000001</v>
      </c>
    </row>
    <row r="170" spans="1:6" x14ac:dyDescent="0.3">
      <c r="B170" s="6">
        <v>166</v>
      </c>
      <c r="C170" s="34">
        <f>Input!I170</f>
        <v>118.11473684210526</v>
      </c>
      <c r="E170" s="6">
        <v>4.7</v>
      </c>
      <c r="F170" s="6">
        <f t="shared" si="2"/>
        <v>124.77000000000001</v>
      </c>
    </row>
    <row r="171" spans="1:6" x14ac:dyDescent="0.3">
      <c r="B171" s="6">
        <v>167</v>
      </c>
      <c r="C171" s="34">
        <f>Input!I171</f>
        <v>122.74636363636363</v>
      </c>
      <c r="E171" s="6">
        <v>4.8</v>
      </c>
      <c r="F171" s="6">
        <f t="shared" si="2"/>
        <v>129.57000000000002</v>
      </c>
    </row>
    <row r="172" spans="1:6" x14ac:dyDescent="0.3">
      <c r="B172" s="6">
        <v>168</v>
      </c>
      <c r="C172" s="34">
        <f>Input!I172</f>
        <v>152.25894736842102</v>
      </c>
      <c r="E172" s="6">
        <v>4.9000000000000004</v>
      </c>
      <c r="F172" s="6">
        <f t="shared" si="2"/>
        <v>134.47000000000003</v>
      </c>
    </row>
    <row r="173" spans="1:6" x14ac:dyDescent="0.3">
      <c r="B173" s="6">
        <v>169</v>
      </c>
      <c r="C173" s="34">
        <f>Input!I173</f>
        <v>156.32923076923078</v>
      </c>
      <c r="E173" s="6">
        <v>5</v>
      </c>
      <c r="F173" s="6">
        <f t="shared" si="2"/>
        <v>139.47000000000003</v>
      </c>
    </row>
    <row r="174" spans="1:6" x14ac:dyDescent="0.3">
      <c r="B174" s="6">
        <v>170</v>
      </c>
      <c r="C174" s="34">
        <f>Input!I174</f>
        <v>166.16</v>
      </c>
      <c r="E174" s="6">
        <v>5.18</v>
      </c>
      <c r="F174" s="6">
        <f t="shared" si="2"/>
        <v>144.65000000000003</v>
      </c>
    </row>
    <row r="175" spans="1:6" x14ac:dyDescent="0.3">
      <c r="A175" s="10"/>
      <c r="B175" s="10">
        <v>171</v>
      </c>
      <c r="C175" s="36">
        <f>Input!I175</f>
        <v>168.89333333333329</v>
      </c>
      <c r="E175" s="6">
        <v>5.36</v>
      </c>
      <c r="F175" s="6">
        <f t="shared" si="2"/>
        <v>150.01000000000005</v>
      </c>
    </row>
    <row r="176" spans="1:6" x14ac:dyDescent="0.3">
      <c r="A176" s="10"/>
      <c r="B176" s="10">
        <v>172</v>
      </c>
      <c r="C176" s="36">
        <f>Input!I176</f>
        <v>170.68068965517244</v>
      </c>
      <c r="E176" s="6">
        <v>5.54</v>
      </c>
      <c r="F176" s="6">
        <f t="shared" si="2"/>
        <v>155.55000000000004</v>
      </c>
    </row>
    <row r="177" spans="1:6" x14ac:dyDescent="0.3">
      <c r="B177" s="6">
        <v>173</v>
      </c>
      <c r="C177" s="34">
        <f>Input!I177</f>
        <v>189.27238095238096</v>
      </c>
      <c r="E177" s="6">
        <v>5.72</v>
      </c>
      <c r="F177" s="6">
        <f t="shared" si="2"/>
        <v>161.27000000000004</v>
      </c>
    </row>
    <row r="178" spans="1:6" x14ac:dyDescent="0.3">
      <c r="B178" s="6">
        <v>174</v>
      </c>
      <c r="C178" s="34">
        <f>Input!I178</f>
        <v>202.578</v>
      </c>
      <c r="E178" s="6">
        <v>5.9</v>
      </c>
      <c r="F178" s="6">
        <f t="shared" si="2"/>
        <v>167.17000000000004</v>
      </c>
    </row>
    <row r="179" spans="1:6" x14ac:dyDescent="0.3">
      <c r="B179" s="6">
        <v>175</v>
      </c>
      <c r="C179" s="34">
        <f>Input!I179</f>
        <v>196.3366666666667</v>
      </c>
      <c r="E179" s="6">
        <v>6.08</v>
      </c>
      <c r="F179" s="6">
        <f t="shared" si="2"/>
        <v>173.25000000000006</v>
      </c>
    </row>
    <row r="180" spans="1:6" x14ac:dyDescent="0.3">
      <c r="B180" s="6">
        <v>176</v>
      </c>
      <c r="C180" s="34">
        <f>Input!I180</f>
        <v>216.69263157894741</v>
      </c>
      <c r="E180" s="6">
        <v>6.26</v>
      </c>
      <c r="F180" s="6">
        <f t="shared" si="2"/>
        <v>179.51000000000005</v>
      </c>
    </row>
    <row r="181" spans="1:6" x14ac:dyDescent="0.3">
      <c r="B181" s="6">
        <v>177</v>
      </c>
      <c r="C181" s="34">
        <f>Input!I181</f>
        <v>250.26285714285714</v>
      </c>
      <c r="E181" s="6">
        <v>6.44</v>
      </c>
      <c r="F181" s="6">
        <f t="shared" si="2"/>
        <v>185.95000000000005</v>
      </c>
    </row>
    <row r="182" spans="1:6" x14ac:dyDescent="0.3">
      <c r="B182" s="6">
        <v>178</v>
      </c>
      <c r="C182" s="34">
        <f>Input!I182</f>
        <v>269.82857142857148</v>
      </c>
      <c r="E182" s="6">
        <v>6.62</v>
      </c>
      <c r="F182" s="6">
        <f t="shared" si="2"/>
        <v>192.57000000000005</v>
      </c>
    </row>
    <row r="183" spans="1:6" x14ac:dyDescent="0.3">
      <c r="B183" s="6">
        <v>179</v>
      </c>
      <c r="C183" s="34">
        <f>Input!I183</f>
        <v>274.92571428571426</v>
      </c>
      <c r="E183" s="6">
        <v>6.8</v>
      </c>
      <c r="F183" s="6">
        <f t="shared" si="2"/>
        <v>199.37000000000006</v>
      </c>
    </row>
    <row r="184" spans="1:6" x14ac:dyDescent="0.3">
      <c r="B184" s="6">
        <v>180</v>
      </c>
      <c r="C184" s="34">
        <f>Input!I184</f>
        <v>306.185</v>
      </c>
      <c r="E184" s="6">
        <v>6.98</v>
      </c>
      <c r="F184" s="6">
        <f t="shared" si="2"/>
        <v>206.35000000000005</v>
      </c>
    </row>
    <row r="185" spans="1:6" x14ac:dyDescent="0.3">
      <c r="B185" s="6">
        <v>181</v>
      </c>
      <c r="C185" s="34">
        <f>Input!I185</f>
        <v>278.49999999999994</v>
      </c>
      <c r="E185" s="6">
        <v>7.05</v>
      </c>
      <c r="F185" s="6">
        <f t="shared" si="2"/>
        <v>213.40000000000006</v>
      </c>
    </row>
    <row r="186" spans="1:6" x14ac:dyDescent="0.3">
      <c r="B186" s="6">
        <v>182</v>
      </c>
      <c r="C186" s="34">
        <f>Input!I186</f>
        <v>323.82153846153835</v>
      </c>
      <c r="E186" s="6">
        <v>7.1</v>
      </c>
      <c r="F186" s="6">
        <f t="shared" si="2"/>
        <v>220.50000000000006</v>
      </c>
    </row>
    <row r="187" spans="1:6" x14ac:dyDescent="0.3">
      <c r="A187" s="12"/>
      <c r="B187" s="12">
        <v>183</v>
      </c>
      <c r="C187" s="37">
        <f>Input!I187</f>
        <v>332.25314285714285</v>
      </c>
      <c r="D187" s="12"/>
      <c r="E187" s="12">
        <v>7.15</v>
      </c>
      <c r="F187" s="12">
        <f t="shared" si="2"/>
        <v>227.65000000000006</v>
      </c>
    </row>
    <row r="188" spans="1:6" x14ac:dyDescent="0.3">
      <c r="B188" s="6">
        <v>184</v>
      </c>
      <c r="C188" s="34">
        <f>Input!I188</f>
        <v>350.17874999999998</v>
      </c>
      <c r="E188" s="6">
        <v>7.2</v>
      </c>
      <c r="F188" s="6">
        <f t="shared" si="2"/>
        <v>234.85000000000005</v>
      </c>
    </row>
    <row r="189" spans="1:6" x14ac:dyDescent="0.3">
      <c r="B189" s="6">
        <v>185</v>
      </c>
      <c r="C189" s="34">
        <f>Input!I189</f>
        <v>399.44</v>
      </c>
      <c r="E189" s="6">
        <v>7.25</v>
      </c>
      <c r="F189" s="6">
        <f t="shared" si="2"/>
        <v>242.10000000000005</v>
      </c>
    </row>
    <row r="190" spans="1:6" x14ac:dyDescent="0.3">
      <c r="B190" s="6">
        <v>186</v>
      </c>
      <c r="C190" s="34">
        <f>Input!I190</f>
        <v>412.17647058823536</v>
      </c>
      <c r="E190" s="6">
        <v>7.3</v>
      </c>
      <c r="F190" s="6">
        <f t="shared" si="2"/>
        <v>249.40000000000006</v>
      </c>
    </row>
    <row r="191" spans="1:6" x14ac:dyDescent="0.3">
      <c r="B191" s="6">
        <v>187</v>
      </c>
      <c r="C191" s="34">
        <f>Input!I191</f>
        <v>423.73818181818183</v>
      </c>
      <c r="E191" s="6">
        <v>7.35</v>
      </c>
      <c r="F191" s="6">
        <f t="shared" si="2"/>
        <v>256.75000000000006</v>
      </c>
    </row>
    <row r="192" spans="1:6" x14ac:dyDescent="0.3">
      <c r="B192" s="6">
        <v>188</v>
      </c>
      <c r="C192" s="34">
        <f>Input!I192</f>
        <v>470.78000000000003</v>
      </c>
      <c r="E192" s="6">
        <v>7.4</v>
      </c>
      <c r="F192" s="6">
        <f t="shared" si="2"/>
        <v>264.15000000000003</v>
      </c>
    </row>
    <row r="193" spans="2:6" x14ac:dyDescent="0.3">
      <c r="B193" s="6">
        <v>189</v>
      </c>
      <c r="C193" s="34">
        <f>Input!I193</f>
        <v>513.15789473684208</v>
      </c>
      <c r="E193" s="6">
        <v>7.45</v>
      </c>
      <c r="F193" s="6">
        <f t="shared" si="2"/>
        <v>271.60000000000002</v>
      </c>
    </row>
    <row r="194" spans="2:6" x14ac:dyDescent="0.3">
      <c r="B194" s="6">
        <v>190</v>
      </c>
      <c r="C194" s="34">
        <f>Input!I194</f>
        <v>448.35199999999998</v>
      </c>
      <c r="E194" s="6">
        <v>7.5</v>
      </c>
      <c r="F194" s="6">
        <f t="shared" si="2"/>
        <v>279.10000000000002</v>
      </c>
    </row>
    <row r="195" spans="2:6" x14ac:dyDescent="0.3">
      <c r="B195" s="6">
        <v>191</v>
      </c>
      <c r="C195" s="34">
        <f>Input!I195</f>
        <v>483.84266666666667</v>
      </c>
      <c r="E195" s="6">
        <v>7.52</v>
      </c>
      <c r="F195" s="6">
        <f t="shared" si="2"/>
        <v>286.62</v>
      </c>
    </row>
    <row r="196" spans="2:6" x14ac:dyDescent="0.3">
      <c r="B196" s="6">
        <v>192</v>
      </c>
      <c r="C196" s="34">
        <f>Input!I196</f>
        <v>570.88</v>
      </c>
      <c r="E196" s="6">
        <v>7.54</v>
      </c>
      <c r="F196" s="6">
        <f t="shared" si="2"/>
        <v>294.16000000000003</v>
      </c>
    </row>
    <row r="197" spans="2:6" x14ac:dyDescent="0.3">
      <c r="B197" s="6">
        <v>193</v>
      </c>
      <c r="C197" s="34">
        <f>Input!I197</f>
        <v>519.41230769230765</v>
      </c>
      <c r="E197" s="6">
        <v>7.56</v>
      </c>
      <c r="F197" s="6">
        <f t="shared" ref="F197:F260" si="3">F196+E197</f>
        <v>301.72000000000003</v>
      </c>
    </row>
    <row r="198" spans="2:6" x14ac:dyDescent="0.3">
      <c r="B198" s="6">
        <v>194</v>
      </c>
      <c r="C198" s="34">
        <f>Input!I198</f>
        <v>286.24</v>
      </c>
      <c r="E198" s="6">
        <v>7.58</v>
      </c>
      <c r="F198" s="6">
        <f t="shared" si="3"/>
        <v>309.3</v>
      </c>
    </row>
    <row r="199" spans="2:6" x14ac:dyDescent="0.3">
      <c r="B199" s="6">
        <v>195</v>
      </c>
      <c r="C199" s="34">
        <f>Input!I199</f>
        <v>274.0363636363636</v>
      </c>
      <c r="E199" s="6">
        <v>7.6</v>
      </c>
      <c r="F199" s="6">
        <f t="shared" si="3"/>
        <v>316.90000000000003</v>
      </c>
    </row>
    <row r="200" spans="2:6" x14ac:dyDescent="0.3">
      <c r="B200" s="6">
        <v>196</v>
      </c>
      <c r="C200" s="34">
        <f>Input!I200</f>
        <v>157.96666666666667</v>
      </c>
      <c r="E200" s="6">
        <v>7.62</v>
      </c>
      <c r="F200" s="6">
        <f t="shared" si="3"/>
        <v>324.52000000000004</v>
      </c>
    </row>
    <row r="201" spans="2:6" x14ac:dyDescent="0.3">
      <c r="B201" s="6">
        <v>197</v>
      </c>
      <c r="C201" s="34">
        <f>Input!I201</f>
        <v>242.62399999999997</v>
      </c>
      <c r="E201" s="6">
        <v>7.64</v>
      </c>
      <c r="F201" s="6">
        <f t="shared" si="3"/>
        <v>332.16</v>
      </c>
    </row>
    <row r="202" spans="2:6" x14ac:dyDescent="0.3">
      <c r="B202" s="6">
        <v>198</v>
      </c>
      <c r="C202" s="34">
        <f>Input!I202</f>
        <v>248.26666666666668</v>
      </c>
      <c r="E202" s="6">
        <v>7.66</v>
      </c>
      <c r="F202" s="6">
        <f t="shared" si="3"/>
        <v>339.82000000000005</v>
      </c>
    </row>
    <row r="203" spans="2:6" x14ac:dyDescent="0.3">
      <c r="B203" s="6">
        <v>199</v>
      </c>
      <c r="C203" s="34">
        <f>Input!I203</f>
        <v>419.78666666666669</v>
      </c>
      <c r="E203" s="6">
        <v>7.68</v>
      </c>
      <c r="F203" s="6">
        <f t="shared" si="3"/>
        <v>347.50000000000006</v>
      </c>
    </row>
    <row r="204" spans="2:6" x14ac:dyDescent="0.3">
      <c r="B204" s="6">
        <v>200</v>
      </c>
      <c r="C204" s="34">
        <f>Input!I204</f>
        <v>428.16</v>
      </c>
      <c r="E204" s="6">
        <v>7.7</v>
      </c>
      <c r="F204" s="6">
        <f t="shared" si="3"/>
        <v>355.20000000000005</v>
      </c>
    </row>
    <row r="205" spans="2:6" x14ac:dyDescent="0.3">
      <c r="B205" s="6">
        <v>201</v>
      </c>
      <c r="C205" s="34">
        <f>Input!I205</f>
        <v>365.48571428571432</v>
      </c>
      <c r="E205" s="6">
        <v>7.72</v>
      </c>
      <c r="F205" s="6">
        <f t="shared" si="3"/>
        <v>362.92000000000007</v>
      </c>
    </row>
    <row r="206" spans="2:6" x14ac:dyDescent="0.3">
      <c r="B206" s="6">
        <v>202</v>
      </c>
      <c r="C206" s="34">
        <f>Input!I206</f>
        <v>393.80000000000007</v>
      </c>
      <c r="E206" s="6">
        <v>7.7399999999999904</v>
      </c>
      <c r="F206" s="6">
        <f t="shared" si="3"/>
        <v>370.66000000000008</v>
      </c>
    </row>
    <row r="207" spans="2:6" x14ac:dyDescent="0.3">
      <c r="B207" s="6">
        <v>203</v>
      </c>
      <c r="C207" s="34">
        <f>Input!I207</f>
        <v>402.13333333333338</v>
      </c>
      <c r="E207" s="6">
        <v>7.75999999999999</v>
      </c>
      <c r="F207" s="6">
        <f t="shared" si="3"/>
        <v>378.42000000000007</v>
      </c>
    </row>
    <row r="208" spans="2:6" x14ac:dyDescent="0.3">
      <c r="B208" s="6">
        <v>204</v>
      </c>
      <c r="C208" s="34">
        <f>Input!I208</f>
        <v>327.60888888888894</v>
      </c>
      <c r="E208" s="6">
        <v>7.7799999999999896</v>
      </c>
      <c r="F208" s="6">
        <f t="shared" si="3"/>
        <v>386.20000000000005</v>
      </c>
    </row>
    <row r="209" spans="2:6" x14ac:dyDescent="0.3">
      <c r="B209" s="6">
        <v>205</v>
      </c>
      <c r="C209" s="34">
        <f>Input!I209</f>
        <v>259.24</v>
      </c>
      <c r="E209" s="6">
        <v>7.7999999999999901</v>
      </c>
      <c r="F209" s="6">
        <f t="shared" si="3"/>
        <v>394.00000000000006</v>
      </c>
    </row>
    <row r="210" spans="2:6" x14ac:dyDescent="0.3">
      <c r="B210" s="6">
        <v>206</v>
      </c>
      <c r="C210" s="34">
        <f>Input!I210</f>
        <v>214.32888888888888</v>
      </c>
      <c r="E210" s="6">
        <v>7.8199999999999896</v>
      </c>
      <c r="F210" s="6">
        <f t="shared" si="3"/>
        <v>401.82000000000005</v>
      </c>
    </row>
    <row r="211" spans="2:6" x14ac:dyDescent="0.3">
      <c r="B211" s="6">
        <v>207</v>
      </c>
      <c r="C211" s="34">
        <f>Input!I211</f>
        <v>296.8</v>
      </c>
      <c r="E211" s="6">
        <v>7.8399999999999901</v>
      </c>
      <c r="F211" s="6">
        <f t="shared" si="3"/>
        <v>409.66</v>
      </c>
    </row>
    <row r="212" spans="2:6" x14ac:dyDescent="0.3">
      <c r="B212" s="6">
        <v>208</v>
      </c>
      <c r="C212" s="34">
        <f>Input!I212</f>
        <v>363.35999999999996</v>
      </c>
      <c r="E212" s="6">
        <v>7.8599999999999897</v>
      </c>
      <c r="F212" s="6">
        <f t="shared" si="3"/>
        <v>417.52000000000004</v>
      </c>
    </row>
    <row r="213" spans="2:6" x14ac:dyDescent="0.3">
      <c r="B213" s="6">
        <v>209</v>
      </c>
      <c r="C213" s="34">
        <f>Input!I213</f>
        <v>323.41333333333324</v>
      </c>
      <c r="E213" s="6">
        <v>7.8799999999999901</v>
      </c>
      <c r="F213" s="6">
        <f t="shared" si="3"/>
        <v>425.40000000000003</v>
      </c>
    </row>
    <row r="214" spans="2:6" x14ac:dyDescent="0.3">
      <c r="B214" s="6">
        <v>210</v>
      </c>
      <c r="C214" s="34">
        <f>Input!I214</f>
        <v>278.84800000000001</v>
      </c>
      <c r="E214" s="6">
        <v>7.8999999999999897</v>
      </c>
      <c r="F214" s="6">
        <f t="shared" si="3"/>
        <v>433.3</v>
      </c>
    </row>
    <row r="215" spans="2:6" x14ac:dyDescent="0.3">
      <c r="B215" s="6">
        <v>211</v>
      </c>
      <c r="C215" s="34">
        <f>Input!I215</f>
        <v>328.96000000000004</v>
      </c>
      <c r="E215" s="6">
        <v>7.9199999999999902</v>
      </c>
      <c r="F215" s="6">
        <f t="shared" si="3"/>
        <v>441.22</v>
      </c>
    </row>
    <row r="216" spans="2:6" x14ac:dyDescent="0.3">
      <c r="B216" s="6">
        <v>212</v>
      </c>
      <c r="C216" s="34">
        <f>Input!I216</f>
        <v>294.74461538461532</v>
      </c>
      <c r="E216" s="6">
        <v>7.9399999999999897</v>
      </c>
      <c r="F216" s="6">
        <f t="shared" si="3"/>
        <v>449.16</v>
      </c>
    </row>
    <row r="217" spans="2:6" x14ac:dyDescent="0.3">
      <c r="B217" s="6">
        <v>213</v>
      </c>
      <c r="C217" s="34">
        <f>Input!I217</f>
        <v>333.70666666666671</v>
      </c>
      <c r="E217" s="6">
        <v>7.9599999999999902</v>
      </c>
      <c r="F217" s="6">
        <f t="shared" si="3"/>
        <v>457.12</v>
      </c>
    </row>
    <row r="218" spans="2:6" x14ac:dyDescent="0.3">
      <c r="B218" s="6">
        <v>214</v>
      </c>
      <c r="C218" s="34">
        <f>Input!I218</f>
        <v>320.13714285714286</v>
      </c>
      <c r="E218" s="6">
        <v>7.9799999999999898</v>
      </c>
      <c r="F218" s="6">
        <f t="shared" si="3"/>
        <v>465.1</v>
      </c>
    </row>
    <row r="219" spans="2:6" x14ac:dyDescent="0.3">
      <c r="B219" s="6">
        <v>215</v>
      </c>
      <c r="C219" s="34">
        <f>Input!I219</f>
        <v>355.83999999999992</v>
      </c>
      <c r="E219" s="6">
        <v>7.9999999999999902</v>
      </c>
      <c r="F219" s="6">
        <f t="shared" si="3"/>
        <v>473.1</v>
      </c>
    </row>
    <row r="220" spans="2:6" x14ac:dyDescent="0.3">
      <c r="B220" s="6">
        <v>216</v>
      </c>
      <c r="C220" s="34">
        <f>Input!I220</f>
        <v>385.81333333333328</v>
      </c>
      <c r="E220" s="6">
        <v>8.0199999999999907</v>
      </c>
      <c r="F220" s="6">
        <f t="shared" si="3"/>
        <v>481.12</v>
      </c>
    </row>
    <row r="221" spans="2:6" x14ac:dyDescent="0.3">
      <c r="B221" s="6">
        <v>217</v>
      </c>
      <c r="C221" s="34">
        <f>Input!I221</f>
        <v>313.73714285714283</v>
      </c>
      <c r="E221" s="6">
        <v>8.0399999999999903</v>
      </c>
      <c r="F221" s="6">
        <f t="shared" si="3"/>
        <v>489.15999999999997</v>
      </c>
    </row>
    <row r="222" spans="2:6" x14ac:dyDescent="0.3">
      <c r="B222" s="6">
        <v>218</v>
      </c>
      <c r="C222" s="34">
        <f>Input!I222</f>
        <v>367.84</v>
      </c>
      <c r="E222" s="6">
        <v>8.0599999999999898</v>
      </c>
      <c r="F222" s="6">
        <f t="shared" si="3"/>
        <v>497.21999999999997</v>
      </c>
    </row>
    <row r="223" spans="2:6" x14ac:dyDescent="0.3">
      <c r="B223" s="6">
        <v>219</v>
      </c>
      <c r="C223" s="34">
        <f>Input!I223</f>
        <v>318.69333333333333</v>
      </c>
      <c r="E223" s="6">
        <v>8.0799999999999894</v>
      </c>
      <c r="F223" s="6">
        <f t="shared" si="3"/>
        <v>505.29999999999995</v>
      </c>
    </row>
    <row r="224" spans="2:6" x14ac:dyDescent="0.3">
      <c r="B224" s="6">
        <v>220</v>
      </c>
      <c r="C224" s="34">
        <f>Input!I224</f>
        <v>396.03200000000004</v>
      </c>
      <c r="E224" s="6">
        <v>8.0999999999999908</v>
      </c>
      <c r="F224" s="6">
        <f t="shared" si="3"/>
        <v>513.4</v>
      </c>
    </row>
    <row r="225" spans="2:6" x14ac:dyDescent="0.3">
      <c r="B225" s="6">
        <v>221</v>
      </c>
      <c r="C225" s="34">
        <f>Input!I225</f>
        <v>359.45411764705887</v>
      </c>
      <c r="E225" s="6">
        <v>8.1199999999999903</v>
      </c>
      <c r="F225" s="6">
        <f t="shared" si="3"/>
        <v>521.52</v>
      </c>
    </row>
    <row r="226" spans="2:6" x14ac:dyDescent="0.3">
      <c r="B226" s="6">
        <v>222</v>
      </c>
      <c r="C226" s="34">
        <f>Input!I226</f>
        <v>278.69538461538457</v>
      </c>
      <c r="E226" s="6">
        <v>8.1399999999999899</v>
      </c>
      <c r="F226" s="6">
        <f t="shared" si="3"/>
        <v>529.66</v>
      </c>
    </row>
    <row r="227" spans="2:6" x14ac:dyDescent="0.3">
      <c r="B227" s="6">
        <v>223</v>
      </c>
      <c r="C227" s="34">
        <f>Input!I227</f>
        <v>339.24740740740748</v>
      </c>
      <c r="E227" s="6">
        <v>8.1599999999999895</v>
      </c>
      <c r="F227" s="6">
        <f t="shared" si="3"/>
        <v>537.81999999999994</v>
      </c>
    </row>
    <row r="228" spans="2:6" x14ac:dyDescent="0.3">
      <c r="B228" s="6">
        <v>224</v>
      </c>
      <c r="C228" s="34">
        <f>Input!I228</f>
        <v>322.62736842105261</v>
      </c>
      <c r="E228" s="6">
        <v>8.18</v>
      </c>
      <c r="F228" s="6">
        <f t="shared" si="3"/>
        <v>545.99999999999989</v>
      </c>
    </row>
    <row r="229" spans="2:6" x14ac:dyDescent="0.3">
      <c r="B229" s="6">
        <v>225</v>
      </c>
      <c r="C229" s="34">
        <f>Input!I229</f>
        <v>285.93230769230769</v>
      </c>
      <c r="E229" s="6">
        <v>8.1999999999999993</v>
      </c>
      <c r="F229" s="6">
        <f t="shared" si="3"/>
        <v>554.19999999999993</v>
      </c>
    </row>
    <row r="230" spans="2:6" x14ac:dyDescent="0.3">
      <c r="B230" s="6">
        <v>226</v>
      </c>
      <c r="C230" s="34">
        <f>Input!I230</f>
        <v>352.22260869565218</v>
      </c>
      <c r="E230" s="6">
        <v>8.2200000000000006</v>
      </c>
      <c r="F230" s="6">
        <f t="shared" si="3"/>
        <v>562.41999999999996</v>
      </c>
    </row>
    <row r="231" spans="2:6" x14ac:dyDescent="0.3">
      <c r="B231" s="6">
        <v>227</v>
      </c>
      <c r="C231" s="34">
        <f>Input!I231</f>
        <v>315.89052631578949</v>
      </c>
      <c r="E231" s="6">
        <v>8.24</v>
      </c>
      <c r="F231" s="6">
        <f t="shared" si="3"/>
        <v>570.66</v>
      </c>
    </row>
    <row r="232" spans="2:6" x14ac:dyDescent="0.3">
      <c r="B232" s="6">
        <v>228</v>
      </c>
      <c r="C232" s="34">
        <f>Input!I232</f>
        <v>258.34666666666664</v>
      </c>
      <c r="E232" s="6">
        <v>8.26</v>
      </c>
      <c r="F232" s="6">
        <f t="shared" si="3"/>
        <v>578.91999999999996</v>
      </c>
    </row>
    <row r="233" spans="2:6" x14ac:dyDescent="0.3">
      <c r="B233" s="6">
        <v>229</v>
      </c>
      <c r="C233" s="34">
        <f>Input!I233</f>
        <v>246.52800000000002</v>
      </c>
      <c r="E233" s="6">
        <v>8.2799999999999994</v>
      </c>
      <c r="F233" s="6">
        <f t="shared" si="3"/>
        <v>587.19999999999993</v>
      </c>
    </row>
    <row r="234" spans="2:6" x14ac:dyDescent="0.3">
      <c r="B234" s="6">
        <v>230</v>
      </c>
      <c r="C234" s="34">
        <f>Input!I234</f>
        <v>329.34399999999999</v>
      </c>
      <c r="E234" s="6">
        <v>8.3000000000000007</v>
      </c>
      <c r="F234" s="6">
        <f t="shared" si="3"/>
        <v>595.49999999999989</v>
      </c>
    </row>
    <row r="235" spans="2:6" x14ac:dyDescent="0.3">
      <c r="B235" s="6">
        <v>231</v>
      </c>
      <c r="C235" s="34">
        <f>Input!I235</f>
        <v>364.91636363636366</v>
      </c>
      <c r="E235" s="6">
        <v>10</v>
      </c>
      <c r="F235" s="6">
        <f t="shared" si="3"/>
        <v>605.49999999999989</v>
      </c>
    </row>
    <row r="236" spans="2:6" x14ac:dyDescent="0.3">
      <c r="B236" s="6">
        <v>232</v>
      </c>
      <c r="C236" s="34">
        <f>Input!I236</f>
        <v>277.04888888888888</v>
      </c>
      <c r="E236" s="6">
        <v>20</v>
      </c>
      <c r="F236" s="6">
        <f t="shared" si="3"/>
        <v>625.49999999999989</v>
      </c>
    </row>
    <row r="237" spans="2:6" x14ac:dyDescent="0.3">
      <c r="B237" s="6">
        <v>233</v>
      </c>
      <c r="C237" s="34">
        <f>Input!I237</f>
        <v>305.60000000000002</v>
      </c>
      <c r="E237" s="6">
        <v>30</v>
      </c>
      <c r="F237" s="6">
        <f t="shared" si="3"/>
        <v>655.49999999999989</v>
      </c>
    </row>
    <row r="238" spans="2:6" x14ac:dyDescent="0.3">
      <c r="B238" s="6">
        <v>234</v>
      </c>
      <c r="C238" s="34">
        <f>Input!I238</f>
        <v>262.89230769230767</v>
      </c>
      <c r="E238" s="6">
        <v>40</v>
      </c>
      <c r="F238" s="6">
        <f t="shared" si="3"/>
        <v>695.49999999999989</v>
      </c>
    </row>
    <row r="239" spans="2:6" x14ac:dyDescent="0.3">
      <c r="B239" s="6">
        <v>235</v>
      </c>
      <c r="C239" s="34">
        <f>Input!I239</f>
        <v>175.36</v>
      </c>
      <c r="E239" s="6">
        <v>60</v>
      </c>
      <c r="F239" s="6">
        <f t="shared" si="3"/>
        <v>755.49999999999989</v>
      </c>
    </row>
    <row r="240" spans="2:6" x14ac:dyDescent="0.3">
      <c r="B240" s="6">
        <v>236</v>
      </c>
      <c r="C240" s="34">
        <f>Input!I240</f>
        <v>232.67555555555555</v>
      </c>
      <c r="E240" s="6">
        <v>90</v>
      </c>
      <c r="F240" s="6">
        <f t="shared" si="3"/>
        <v>845.49999999999989</v>
      </c>
    </row>
    <row r="241" spans="2:6" x14ac:dyDescent="0.3">
      <c r="B241" s="6">
        <v>237</v>
      </c>
      <c r="C241" s="34">
        <f>Input!I241</f>
        <v>269.22666666666669</v>
      </c>
      <c r="E241" s="6">
        <v>120</v>
      </c>
      <c r="F241" s="6">
        <f t="shared" si="3"/>
        <v>965.49999999999989</v>
      </c>
    </row>
    <row r="242" spans="2:6" x14ac:dyDescent="0.3">
      <c r="B242" s="6">
        <v>238</v>
      </c>
      <c r="C242" s="34">
        <f>Input!I242</f>
        <v>420.69333333333333</v>
      </c>
      <c r="E242" s="6">
        <v>150</v>
      </c>
      <c r="F242" s="6">
        <f t="shared" si="3"/>
        <v>1115.5</v>
      </c>
    </row>
    <row r="243" spans="2:6" x14ac:dyDescent="0.3">
      <c r="B243" s="6">
        <v>239</v>
      </c>
      <c r="C243" s="34">
        <f>Input!I243</f>
        <v>158.72</v>
      </c>
      <c r="E243" s="6">
        <v>200</v>
      </c>
      <c r="F243" s="6">
        <f t="shared" si="3"/>
        <v>1315.5</v>
      </c>
    </row>
    <row r="244" spans="2:6" x14ac:dyDescent="0.3">
      <c r="B244" s="6">
        <v>240</v>
      </c>
      <c r="C244" s="34">
        <f>Input!I244</f>
        <v>320.64000000000004</v>
      </c>
      <c r="E244" s="6">
        <v>250</v>
      </c>
      <c r="F244" s="6">
        <f t="shared" si="3"/>
        <v>1565.5</v>
      </c>
    </row>
    <row r="245" spans="2:6" x14ac:dyDescent="0.3">
      <c r="B245" s="6">
        <v>241</v>
      </c>
      <c r="C245" s="34">
        <f>Input!I245</f>
        <v>403.84000000000003</v>
      </c>
      <c r="E245" s="6">
        <v>300</v>
      </c>
      <c r="F245" s="6">
        <f t="shared" si="3"/>
        <v>1865.5</v>
      </c>
    </row>
    <row r="246" spans="2:6" x14ac:dyDescent="0.3">
      <c r="B246" s="6">
        <v>242</v>
      </c>
      <c r="C246" s="34" t="e">
        <f>Input!I246</f>
        <v>#DIV/0!</v>
      </c>
      <c r="E246" s="6">
        <v>400</v>
      </c>
      <c r="F246" s="6">
        <f t="shared" si="3"/>
        <v>2265.5</v>
      </c>
    </row>
    <row r="247" spans="2:6" x14ac:dyDescent="0.3">
      <c r="B247" s="6">
        <v>243</v>
      </c>
      <c r="C247" s="34">
        <f>Input!I247</f>
        <v>356.77090909090907</v>
      </c>
      <c r="E247" s="6">
        <v>500</v>
      </c>
      <c r="F247" s="6">
        <f t="shared" si="3"/>
        <v>2765.5</v>
      </c>
    </row>
    <row r="248" spans="2:6" x14ac:dyDescent="0.3">
      <c r="B248" s="6">
        <v>244</v>
      </c>
      <c r="C248" s="34">
        <f>Input!I248</f>
        <v>261.54666666666662</v>
      </c>
      <c r="E248" s="6">
        <v>600</v>
      </c>
      <c r="F248" s="6">
        <f t="shared" si="3"/>
        <v>3365.5</v>
      </c>
    </row>
    <row r="249" spans="2:6" x14ac:dyDescent="0.3">
      <c r="B249" s="6">
        <v>245</v>
      </c>
      <c r="C249" s="34">
        <f>Input!I249</f>
        <v>351.57333333333332</v>
      </c>
      <c r="E249" s="6">
        <v>800</v>
      </c>
      <c r="F249" s="6">
        <f t="shared" si="3"/>
        <v>4165.5</v>
      </c>
    </row>
    <row r="250" spans="2:6" x14ac:dyDescent="0.3">
      <c r="B250" s="6">
        <v>246</v>
      </c>
      <c r="C250" s="34">
        <f>Input!I250</f>
        <v>250.36799999999999</v>
      </c>
      <c r="E250" s="6">
        <v>1000</v>
      </c>
      <c r="F250" s="6">
        <f t="shared" si="3"/>
        <v>5165.5</v>
      </c>
    </row>
    <row r="251" spans="2:6" x14ac:dyDescent="0.3">
      <c r="B251" s="6">
        <v>247</v>
      </c>
      <c r="C251" s="34" t="e">
        <f>Input!I251</f>
        <v>#DIV/0!</v>
      </c>
      <c r="E251" s="6">
        <v>1200</v>
      </c>
      <c r="F251" s="6">
        <f t="shared" si="3"/>
        <v>6365.5</v>
      </c>
    </row>
    <row r="252" spans="2:6" x14ac:dyDescent="0.3">
      <c r="B252" s="6">
        <v>248</v>
      </c>
      <c r="C252" s="34" t="e">
        <f>Input!I252</f>
        <v>#DIV/0!</v>
      </c>
      <c r="E252" s="6">
        <v>1600</v>
      </c>
      <c r="F252" s="6">
        <f t="shared" si="3"/>
        <v>7965.5</v>
      </c>
    </row>
    <row r="253" spans="2:6" x14ac:dyDescent="0.3">
      <c r="B253" s="6">
        <v>249</v>
      </c>
      <c r="C253" s="34" t="e">
        <f>Input!I253</f>
        <v>#DIV/0!</v>
      </c>
      <c r="E253" s="6">
        <v>2000</v>
      </c>
      <c r="F253" s="6">
        <f t="shared" si="3"/>
        <v>9965.5</v>
      </c>
    </row>
    <row r="254" spans="2:6" x14ac:dyDescent="0.3">
      <c r="B254" s="6">
        <v>250</v>
      </c>
      <c r="C254" s="34" t="e">
        <f>Input!I254</f>
        <v>#DIV/0!</v>
      </c>
      <c r="E254" s="6">
        <v>3000</v>
      </c>
      <c r="F254" s="6">
        <f t="shared" si="3"/>
        <v>12965.5</v>
      </c>
    </row>
    <row r="255" spans="2:6" x14ac:dyDescent="0.3">
      <c r="B255" s="6">
        <v>251</v>
      </c>
      <c r="C255" s="34" t="e">
        <f>Input!I255</f>
        <v>#DIV/0!</v>
      </c>
      <c r="E255" s="6">
        <v>5000</v>
      </c>
      <c r="F255" s="6">
        <f t="shared" si="3"/>
        <v>17965.5</v>
      </c>
    </row>
    <row r="256" spans="2:6" x14ac:dyDescent="0.3">
      <c r="B256" s="6">
        <v>252</v>
      </c>
      <c r="C256" s="34" t="e">
        <f>Input!I256</f>
        <v>#DIV/0!</v>
      </c>
      <c r="E256" s="6">
        <v>7000</v>
      </c>
      <c r="F256" s="6">
        <f t="shared" si="3"/>
        <v>24965.5</v>
      </c>
    </row>
    <row r="257" spans="2:6" x14ac:dyDescent="0.3">
      <c r="B257" s="6">
        <v>253</v>
      </c>
      <c r="C257" s="34" t="e">
        <f>Input!I257</f>
        <v>#DIV/0!</v>
      </c>
      <c r="E257" s="6">
        <v>12000</v>
      </c>
      <c r="F257" s="6">
        <f t="shared" si="3"/>
        <v>36965.5</v>
      </c>
    </row>
    <row r="258" spans="2:6" x14ac:dyDescent="0.3">
      <c r="B258" s="6">
        <v>254</v>
      </c>
      <c r="C258" s="34" t="e">
        <f>Input!I258</f>
        <v>#DIV/0!</v>
      </c>
      <c r="E258" s="6">
        <v>18000</v>
      </c>
      <c r="F258" s="6">
        <f t="shared" si="3"/>
        <v>54965.5</v>
      </c>
    </row>
    <row r="259" spans="2:6" x14ac:dyDescent="0.3">
      <c r="B259" s="6">
        <v>255</v>
      </c>
      <c r="C259" s="4">
        <v>83865.600000000006</v>
      </c>
      <c r="E259" s="6">
        <v>28000</v>
      </c>
      <c r="F259" s="6">
        <f t="shared" si="3"/>
        <v>82965.5</v>
      </c>
    </row>
  </sheetData>
  <pageMargins left="0.7" right="0.7" top="0.78740157499999996" bottom="0.78740157499999996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1"/>
  <dimension ref="A2:TZ3012"/>
  <sheetViews>
    <sheetView workbookViewId="0">
      <selection activeCell="B4" sqref="B4:B3012"/>
    </sheetView>
  </sheetViews>
  <sheetFormatPr baseColWidth="10" defaultRowHeight="14.4" x14ac:dyDescent="0.3"/>
  <cols>
    <col min="1" max="1" width="4.77734375" customWidth="1"/>
    <col min="2" max="2" width="19.109375" customWidth="1"/>
    <col min="3" max="3" width="3.5546875" customWidth="1"/>
    <col min="4" max="6" width="8.109375" customWidth="1"/>
    <col min="9" max="121" width="11.5546875" style="3"/>
  </cols>
  <sheetData>
    <row r="2" spans="1:546" x14ac:dyDescent="0.3">
      <c r="B2" t="s">
        <v>7</v>
      </c>
      <c r="D2" t="s">
        <v>8</v>
      </c>
      <c r="E2" t="s">
        <v>9</v>
      </c>
      <c r="F2" t="s">
        <v>10</v>
      </c>
      <c r="H2">
        <v>3012</v>
      </c>
    </row>
    <row r="3" spans="1:546" x14ac:dyDescent="0.3">
      <c r="A3" s="7"/>
      <c r="B3" s="7"/>
    </row>
    <row r="4" spans="1:546" x14ac:dyDescent="0.3">
      <c r="A4" s="7"/>
      <c r="B4" t="s">
        <v>20</v>
      </c>
      <c r="D4">
        <v>214</v>
      </c>
      <c r="E4">
        <v>24320</v>
      </c>
      <c r="F4">
        <v>1</v>
      </c>
      <c r="H4">
        <v>0</v>
      </c>
      <c r="I4" s="3">
        <f>AVERAGE(J4:XX4)</f>
        <v>1.5642458100558661E-3</v>
      </c>
      <c r="J4" s="3">
        <v>0</v>
      </c>
      <c r="K4" s="3">
        <v>0</v>
      </c>
      <c r="L4" s="3">
        <v>0</v>
      </c>
      <c r="M4" s="3">
        <v>0</v>
      </c>
      <c r="N4" s="3">
        <v>0</v>
      </c>
      <c r="O4" s="3">
        <v>0</v>
      </c>
      <c r="P4" s="3">
        <v>0.28000000000000003</v>
      </c>
      <c r="Q4" s="3">
        <v>0</v>
      </c>
      <c r="R4" s="3">
        <v>0</v>
      </c>
      <c r="S4" s="3">
        <v>0</v>
      </c>
      <c r="T4" s="3">
        <v>0</v>
      </c>
      <c r="U4" s="3">
        <v>0</v>
      </c>
      <c r="V4" s="3">
        <v>0</v>
      </c>
      <c r="W4" s="3">
        <v>0</v>
      </c>
      <c r="X4" s="3">
        <v>0</v>
      </c>
      <c r="Y4" s="3">
        <v>0</v>
      </c>
      <c r="Z4" s="3">
        <v>0</v>
      </c>
      <c r="AA4" s="3">
        <v>0</v>
      </c>
      <c r="AB4" s="3">
        <v>0</v>
      </c>
      <c r="AC4" s="3">
        <v>0</v>
      </c>
      <c r="AD4" s="3">
        <v>0</v>
      </c>
      <c r="AE4" s="3">
        <v>0</v>
      </c>
      <c r="AF4" s="3">
        <v>0</v>
      </c>
      <c r="AG4" s="3">
        <v>0</v>
      </c>
      <c r="AH4" s="3">
        <v>0</v>
      </c>
      <c r="AI4" s="3">
        <v>0</v>
      </c>
      <c r="AJ4" s="3">
        <v>0</v>
      </c>
      <c r="AK4" s="3">
        <v>0</v>
      </c>
      <c r="AL4" s="3">
        <v>0</v>
      </c>
      <c r="AM4" s="3">
        <v>0</v>
      </c>
      <c r="AN4" s="3">
        <v>0</v>
      </c>
      <c r="AO4" s="3">
        <v>0</v>
      </c>
      <c r="AP4" s="3">
        <v>0</v>
      </c>
      <c r="AQ4" s="3">
        <v>0</v>
      </c>
      <c r="AR4" s="3">
        <v>0</v>
      </c>
      <c r="AS4" s="3">
        <v>0.28000000000000003</v>
      </c>
      <c r="AT4" s="3">
        <v>0</v>
      </c>
      <c r="AU4" s="3">
        <v>0</v>
      </c>
      <c r="AV4" s="3">
        <v>0</v>
      </c>
      <c r="AW4" s="3">
        <v>0</v>
      </c>
      <c r="AX4" s="3">
        <v>0</v>
      </c>
      <c r="AY4" s="3">
        <v>0</v>
      </c>
      <c r="AZ4" s="3">
        <v>0</v>
      </c>
      <c r="BA4" s="3">
        <v>0</v>
      </c>
      <c r="BB4" s="3">
        <v>0</v>
      </c>
      <c r="BC4" s="3">
        <v>0</v>
      </c>
      <c r="BD4" s="3">
        <v>0</v>
      </c>
      <c r="BE4" s="3">
        <v>0</v>
      </c>
      <c r="BF4" s="3">
        <v>0</v>
      </c>
      <c r="BG4" s="3">
        <v>0</v>
      </c>
      <c r="BH4" s="3">
        <v>0</v>
      </c>
      <c r="BI4" s="3">
        <v>0</v>
      </c>
      <c r="BJ4" s="3">
        <v>0</v>
      </c>
      <c r="BK4" s="3">
        <v>0</v>
      </c>
      <c r="BL4" s="3">
        <v>0</v>
      </c>
      <c r="BM4" s="3">
        <v>0</v>
      </c>
      <c r="BN4" s="3">
        <v>0</v>
      </c>
      <c r="BO4" s="3">
        <v>0</v>
      </c>
      <c r="BP4" s="3">
        <v>0</v>
      </c>
      <c r="BQ4" s="3">
        <v>0</v>
      </c>
      <c r="BR4" s="3">
        <v>0</v>
      </c>
      <c r="BS4" s="3">
        <v>0</v>
      </c>
      <c r="BT4" s="3">
        <v>0</v>
      </c>
      <c r="BU4" s="3">
        <v>0</v>
      </c>
      <c r="BV4" s="3">
        <v>0</v>
      </c>
      <c r="BW4" s="3">
        <v>0</v>
      </c>
      <c r="BX4" s="3">
        <v>0</v>
      </c>
      <c r="BY4" s="3">
        <v>0</v>
      </c>
      <c r="BZ4" s="3">
        <v>0</v>
      </c>
      <c r="CA4" s="3">
        <v>0.28000000000000003</v>
      </c>
      <c r="CB4" s="3">
        <v>0</v>
      </c>
      <c r="CC4" s="3">
        <v>0</v>
      </c>
      <c r="CD4" s="3">
        <v>0</v>
      </c>
      <c r="CE4" s="3">
        <v>0</v>
      </c>
      <c r="CF4" s="3">
        <v>0</v>
      </c>
      <c r="CG4" s="3">
        <v>0</v>
      </c>
      <c r="CH4" s="3">
        <v>0</v>
      </c>
      <c r="CI4" s="3">
        <v>0</v>
      </c>
      <c r="CJ4" s="3">
        <v>0</v>
      </c>
      <c r="CK4" s="3">
        <v>0</v>
      </c>
      <c r="CL4" s="3">
        <v>0</v>
      </c>
      <c r="CM4" s="3">
        <v>0</v>
      </c>
      <c r="CN4" s="3">
        <v>0</v>
      </c>
      <c r="CO4" s="3">
        <v>0</v>
      </c>
      <c r="CP4" s="3">
        <v>0</v>
      </c>
      <c r="CQ4" s="3">
        <v>0</v>
      </c>
      <c r="CR4" s="3">
        <v>0</v>
      </c>
      <c r="CS4" s="3">
        <v>0</v>
      </c>
      <c r="CT4" s="3">
        <v>0</v>
      </c>
      <c r="CU4" s="3">
        <v>0</v>
      </c>
      <c r="CV4" s="3">
        <v>0</v>
      </c>
      <c r="CW4" s="3">
        <v>0</v>
      </c>
      <c r="CX4" s="3">
        <v>0</v>
      </c>
      <c r="CY4" s="3">
        <v>0</v>
      </c>
      <c r="CZ4" s="3">
        <v>0</v>
      </c>
      <c r="DA4" s="3">
        <v>0</v>
      </c>
      <c r="DB4" s="3">
        <v>0</v>
      </c>
      <c r="DC4" s="3">
        <v>0</v>
      </c>
      <c r="DD4" s="3">
        <v>0</v>
      </c>
      <c r="DE4" s="3">
        <v>0</v>
      </c>
      <c r="DF4" s="3">
        <v>0</v>
      </c>
      <c r="DG4" s="3">
        <v>0</v>
      </c>
      <c r="DH4" s="3">
        <v>0</v>
      </c>
      <c r="DI4" s="3">
        <v>0</v>
      </c>
      <c r="DJ4" s="3">
        <v>0</v>
      </c>
      <c r="DK4" s="3">
        <v>0</v>
      </c>
      <c r="DL4" s="3">
        <v>0</v>
      </c>
      <c r="DM4" s="3">
        <v>0</v>
      </c>
      <c r="DN4" s="3">
        <v>0</v>
      </c>
      <c r="DO4" s="3">
        <v>0</v>
      </c>
      <c r="DP4" s="3">
        <v>0</v>
      </c>
      <c r="DQ4" s="3">
        <v>0</v>
      </c>
      <c r="DR4">
        <v>0</v>
      </c>
      <c r="DS4">
        <v>0</v>
      </c>
      <c r="DT4">
        <v>0</v>
      </c>
      <c r="DU4">
        <v>0</v>
      </c>
      <c r="DV4">
        <v>0</v>
      </c>
      <c r="DW4">
        <v>0</v>
      </c>
      <c r="DX4">
        <v>0</v>
      </c>
      <c r="DY4">
        <v>0</v>
      </c>
      <c r="DZ4">
        <v>0</v>
      </c>
      <c r="EA4">
        <v>0</v>
      </c>
      <c r="EB4">
        <v>0</v>
      </c>
      <c r="EC4">
        <v>0</v>
      </c>
      <c r="ED4">
        <v>0</v>
      </c>
      <c r="EE4">
        <v>0</v>
      </c>
      <c r="EF4">
        <v>0</v>
      </c>
      <c r="EG4">
        <v>0</v>
      </c>
      <c r="EH4">
        <v>0</v>
      </c>
      <c r="EI4">
        <v>0</v>
      </c>
      <c r="EJ4">
        <v>0</v>
      </c>
      <c r="EK4">
        <v>0</v>
      </c>
      <c r="EL4">
        <v>0</v>
      </c>
      <c r="EM4">
        <v>0</v>
      </c>
      <c r="EN4">
        <v>0</v>
      </c>
      <c r="EO4">
        <v>0</v>
      </c>
      <c r="EP4">
        <v>0</v>
      </c>
      <c r="EQ4">
        <v>0</v>
      </c>
      <c r="ER4">
        <v>0</v>
      </c>
      <c r="ES4">
        <v>0</v>
      </c>
      <c r="ET4">
        <v>0</v>
      </c>
      <c r="EU4">
        <v>0</v>
      </c>
      <c r="EV4">
        <v>0</v>
      </c>
      <c r="EW4">
        <v>0</v>
      </c>
      <c r="EX4">
        <v>0</v>
      </c>
      <c r="EY4">
        <v>0</v>
      </c>
      <c r="EZ4">
        <v>0</v>
      </c>
      <c r="FA4">
        <v>0</v>
      </c>
      <c r="FB4">
        <v>0</v>
      </c>
      <c r="FC4">
        <v>0</v>
      </c>
      <c r="FD4">
        <v>0</v>
      </c>
      <c r="FE4">
        <v>0</v>
      </c>
      <c r="FF4">
        <v>0</v>
      </c>
      <c r="FG4">
        <v>0</v>
      </c>
      <c r="FH4">
        <v>0</v>
      </c>
      <c r="FI4">
        <v>0</v>
      </c>
      <c r="FJ4">
        <v>0</v>
      </c>
      <c r="FK4">
        <v>0</v>
      </c>
      <c r="FL4">
        <v>0</v>
      </c>
      <c r="FM4">
        <v>0</v>
      </c>
      <c r="FN4">
        <v>0</v>
      </c>
      <c r="FO4">
        <v>0</v>
      </c>
      <c r="FP4">
        <v>0</v>
      </c>
      <c r="FQ4">
        <v>0</v>
      </c>
      <c r="FR4">
        <v>0</v>
      </c>
      <c r="FS4">
        <v>0</v>
      </c>
      <c r="FT4">
        <v>0</v>
      </c>
      <c r="FU4">
        <v>0</v>
      </c>
      <c r="FV4">
        <v>0</v>
      </c>
      <c r="FW4">
        <v>0</v>
      </c>
      <c r="FX4">
        <v>0</v>
      </c>
      <c r="FY4">
        <v>0</v>
      </c>
      <c r="FZ4">
        <v>0</v>
      </c>
      <c r="GA4">
        <v>0</v>
      </c>
      <c r="GB4">
        <v>0</v>
      </c>
      <c r="GC4">
        <v>0</v>
      </c>
      <c r="GD4">
        <v>0</v>
      </c>
      <c r="GE4">
        <v>0</v>
      </c>
      <c r="GF4">
        <v>0</v>
      </c>
      <c r="GG4">
        <v>0</v>
      </c>
      <c r="GH4">
        <v>0</v>
      </c>
      <c r="GI4">
        <v>0</v>
      </c>
      <c r="GJ4">
        <v>0</v>
      </c>
      <c r="GK4">
        <v>0</v>
      </c>
      <c r="GL4">
        <v>0</v>
      </c>
      <c r="GM4">
        <v>0</v>
      </c>
      <c r="GN4">
        <v>0</v>
      </c>
      <c r="GO4">
        <v>0</v>
      </c>
      <c r="GP4">
        <v>0</v>
      </c>
      <c r="GQ4">
        <v>0</v>
      </c>
      <c r="GR4">
        <v>0</v>
      </c>
      <c r="GS4">
        <v>0</v>
      </c>
      <c r="GT4">
        <v>0</v>
      </c>
      <c r="GU4">
        <v>0</v>
      </c>
      <c r="GV4">
        <v>0</v>
      </c>
      <c r="GW4">
        <v>0</v>
      </c>
      <c r="GX4">
        <v>0</v>
      </c>
      <c r="GY4">
        <v>0</v>
      </c>
      <c r="GZ4">
        <v>0</v>
      </c>
      <c r="HA4">
        <v>0</v>
      </c>
      <c r="HB4">
        <v>0</v>
      </c>
      <c r="HC4">
        <v>0</v>
      </c>
      <c r="HD4">
        <v>0</v>
      </c>
      <c r="HE4">
        <v>0</v>
      </c>
      <c r="HF4">
        <v>0</v>
      </c>
      <c r="HG4">
        <v>0</v>
      </c>
      <c r="HH4">
        <v>0</v>
      </c>
      <c r="HI4">
        <v>0</v>
      </c>
      <c r="HJ4">
        <v>0</v>
      </c>
      <c r="HK4">
        <v>0</v>
      </c>
      <c r="HL4">
        <v>0</v>
      </c>
      <c r="HM4">
        <v>0</v>
      </c>
      <c r="HN4">
        <v>0</v>
      </c>
      <c r="HO4">
        <v>0</v>
      </c>
      <c r="HP4">
        <v>0</v>
      </c>
      <c r="HQ4">
        <v>0</v>
      </c>
      <c r="HR4">
        <v>0</v>
      </c>
      <c r="HS4">
        <v>0</v>
      </c>
      <c r="HT4">
        <v>0</v>
      </c>
      <c r="HU4">
        <v>0</v>
      </c>
      <c r="HV4">
        <v>0</v>
      </c>
      <c r="HW4">
        <v>0</v>
      </c>
      <c r="HX4">
        <v>0</v>
      </c>
      <c r="HY4">
        <v>0</v>
      </c>
      <c r="HZ4">
        <v>0</v>
      </c>
      <c r="IA4">
        <v>0</v>
      </c>
      <c r="IB4">
        <v>0</v>
      </c>
      <c r="IC4">
        <v>0</v>
      </c>
      <c r="ID4">
        <v>0</v>
      </c>
      <c r="IE4">
        <v>0</v>
      </c>
      <c r="IF4">
        <v>0</v>
      </c>
      <c r="IG4">
        <v>0</v>
      </c>
      <c r="IH4">
        <v>0</v>
      </c>
      <c r="II4">
        <v>0</v>
      </c>
      <c r="IJ4">
        <v>0</v>
      </c>
      <c r="IK4">
        <v>0</v>
      </c>
      <c r="IL4">
        <v>0</v>
      </c>
      <c r="IM4">
        <v>0</v>
      </c>
      <c r="IN4">
        <v>0</v>
      </c>
      <c r="IO4">
        <v>0</v>
      </c>
      <c r="IP4">
        <v>0</v>
      </c>
      <c r="IQ4">
        <v>0</v>
      </c>
      <c r="IR4">
        <v>0</v>
      </c>
      <c r="IS4">
        <v>0</v>
      </c>
      <c r="IT4">
        <v>0</v>
      </c>
      <c r="IU4">
        <v>0</v>
      </c>
      <c r="IV4">
        <v>0</v>
      </c>
      <c r="IW4">
        <v>0</v>
      </c>
      <c r="IX4">
        <v>0</v>
      </c>
      <c r="IY4">
        <v>0</v>
      </c>
      <c r="IZ4">
        <v>0</v>
      </c>
      <c r="JA4">
        <v>0</v>
      </c>
      <c r="JB4">
        <v>0</v>
      </c>
      <c r="JC4">
        <v>0</v>
      </c>
      <c r="JD4">
        <v>0</v>
      </c>
      <c r="JE4">
        <v>0</v>
      </c>
      <c r="JF4">
        <v>0</v>
      </c>
      <c r="JG4">
        <v>0</v>
      </c>
      <c r="JH4">
        <v>0</v>
      </c>
      <c r="JI4">
        <v>0</v>
      </c>
      <c r="JJ4">
        <v>0</v>
      </c>
      <c r="JK4">
        <v>0</v>
      </c>
      <c r="JL4">
        <v>0</v>
      </c>
      <c r="JM4">
        <v>0</v>
      </c>
      <c r="JN4">
        <v>0</v>
      </c>
      <c r="JO4">
        <v>0</v>
      </c>
      <c r="JP4">
        <v>0</v>
      </c>
      <c r="JQ4">
        <v>0</v>
      </c>
      <c r="JR4">
        <v>0</v>
      </c>
      <c r="JS4">
        <v>0</v>
      </c>
      <c r="JT4">
        <v>0</v>
      </c>
      <c r="JU4">
        <v>0</v>
      </c>
      <c r="JV4">
        <v>0</v>
      </c>
      <c r="JW4">
        <v>0</v>
      </c>
      <c r="JX4">
        <v>0</v>
      </c>
      <c r="JY4">
        <v>0</v>
      </c>
      <c r="JZ4">
        <v>0</v>
      </c>
      <c r="KA4">
        <v>0</v>
      </c>
      <c r="KB4">
        <v>0</v>
      </c>
      <c r="KC4">
        <v>0</v>
      </c>
      <c r="KD4">
        <v>0</v>
      </c>
      <c r="KE4">
        <v>0</v>
      </c>
      <c r="KF4">
        <v>0</v>
      </c>
      <c r="KG4">
        <v>0</v>
      </c>
      <c r="KH4">
        <v>0</v>
      </c>
      <c r="KI4">
        <v>0</v>
      </c>
      <c r="KJ4">
        <v>0</v>
      </c>
      <c r="KK4">
        <v>0</v>
      </c>
      <c r="KL4">
        <v>0</v>
      </c>
      <c r="KM4">
        <v>0</v>
      </c>
      <c r="KN4">
        <v>0</v>
      </c>
      <c r="KO4">
        <v>0</v>
      </c>
      <c r="KP4">
        <v>0</v>
      </c>
      <c r="KQ4">
        <v>0</v>
      </c>
      <c r="KR4">
        <v>0</v>
      </c>
      <c r="KS4">
        <v>0</v>
      </c>
      <c r="KT4">
        <v>0</v>
      </c>
      <c r="KU4">
        <v>0</v>
      </c>
      <c r="KV4">
        <v>0</v>
      </c>
      <c r="KW4">
        <v>0</v>
      </c>
      <c r="KX4">
        <v>0</v>
      </c>
      <c r="KY4">
        <v>0</v>
      </c>
      <c r="KZ4">
        <v>0</v>
      </c>
      <c r="LA4">
        <v>0</v>
      </c>
      <c r="LB4">
        <v>0</v>
      </c>
      <c r="LC4">
        <v>0</v>
      </c>
      <c r="LD4">
        <v>0</v>
      </c>
      <c r="LE4">
        <v>0</v>
      </c>
      <c r="LF4">
        <v>0</v>
      </c>
      <c r="LG4">
        <v>0</v>
      </c>
      <c r="LH4">
        <v>0</v>
      </c>
      <c r="LI4">
        <v>0</v>
      </c>
      <c r="LJ4">
        <v>0</v>
      </c>
      <c r="LK4">
        <v>0</v>
      </c>
      <c r="LL4">
        <v>0</v>
      </c>
      <c r="LM4">
        <v>0</v>
      </c>
      <c r="LN4">
        <v>0</v>
      </c>
      <c r="LO4">
        <v>0</v>
      </c>
      <c r="LP4">
        <v>0</v>
      </c>
      <c r="LQ4">
        <v>0</v>
      </c>
      <c r="LR4">
        <v>0</v>
      </c>
      <c r="LS4">
        <v>0</v>
      </c>
      <c r="LT4">
        <v>0</v>
      </c>
      <c r="LU4">
        <v>0</v>
      </c>
      <c r="LV4">
        <v>0</v>
      </c>
      <c r="LW4">
        <v>0</v>
      </c>
      <c r="LX4">
        <v>0</v>
      </c>
      <c r="LY4">
        <v>0</v>
      </c>
      <c r="LZ4">
        <v>0</v>
      </c>
      <c r="MA4">
        <v>0</v>
      </c>
      <c r="MB4">
        <v>0</v>
      </c>
      <c r="MC4">
        <v>0</v>
      </c>
      <c r="MD4">
        <v>0</v>
      </c>
      <c r="ME4">
        <v>0</v>
      </c>
      <c r="MF4">
        <v>0</v>
      </c>
      <c r="MG4">
        <v>0</v>
      </c>
      <c r="MH4">
        <v>0</v>
      </c>
      <c r="MI4">
        <v>0</v>
      </c>
      <c r="MJ4">
        <v>0</v>
      </c>
      <c r="MK4">
        <v>0</v>
      </c>
      <c r="ML4">
        <v>0</v>
      </c>
      <c r="MM4">
        <v>0</v>
      </c>
      <c r="MN4">
        <v>0</v>
      </c>
      <c r="MO4">
        <v>0</v>
      </c>
      <c r="MP4">
        <v>0</v>
      </c>
      <c r="MQ4">
        <v>0</v>
      </c>
      <c r="MR4">
        <v>0</v>
      </c>
      <c r="MS4">
        <v>0</v>
      </c>
      <c r="MT4">
        <v>0</v>
      </c>
      <c r="MU4">
        <v>0</v>
      </c>
      <c r="MV4">
        <v>0</v>
      </c>
      <c r="MW4">
        <v>0</v>
      </c>
      <c r="MX4">
        <v>0</v>
      </c>
      <c r="MY4">
        <v>0</v>
      </c>
      <c r="MZ4">
        <v>0</v>
      </c>
      <c r="NA4">
        <v>0</v>
      </c>
      <c r="NB4">
        <v>0</v>
      </c>
      <c r="NC4">
        <v>0</v>
      </c>
      <c r="ND4">
        <v>0</v>
      </c>
      <c r="NE4">
        <v>0</v>
      </c>
      <c r="NF4">
        <v>0</v>
      </c>
      <c r="NG4">
        <v>0</v>
      </c>
      <c r="NH4">
        <v>0</v>
      </c>
      <c r="NI4">
        <v>0</v>
      </c>
      <c r="NJ4">
        <v>0</v>
      </c>
      <c r="NK4">
        <v>0</v>
      </c>
      <c r="NL4">
        <v>0</v>
      </c>
      <c r="NM4">
        <v>0</v>
      </c>
      <c r="NN4">
        <v>0</v>
      </c>
      <c r="NO4">
        <v>0</v>
      </c>
      <c r="NP4">
        <v>0</v>
      </c>
      <c r="NQ4">
        <v>0</v>
      </c>
      <c r="NR4">
        <v>0</v>
      </c>
      <c r="NS4">
        <v>0</v>
      </c>
      <c r="NT4">
        <v>0</v>
      </c>
      <c r="NU4">
        <v>0</v>
      </c>
      <c r="NV4">
        <v>0</v>
      </c>
      <c r="NW4">
        <v>0</v>
      </c>
      <c r="NX4">
        <v>0</v>
      </c>
      <c r="NY4">
        <v>0</v>
      </c>
      <c r="NZ4">
        <v>0</v>
      </c>
      <c r="OA4">
        <v>0</v>
      </c>
      <c r="OB4">
        <v>0</v>
      </c>
      <c r="OC4">
        <v>0</v>
      </c>
      <c r="OD4">
        <v>0</v>
      </c>
      <c r="OE4">
        <v>0</v>
      </c>
      <c r="OF4">
        <v>0</v>
      </c>
      <c r="OG4">
        <v>0</v>
      </c>
      <c r="OH4">
        <v>0</v>
      </c>
      <c r="OI4">
        <v>0</v>
      </c>
      <c r="OJ4">
        <v>0</v>
      </c>
      <c r="OK4">
        <v>0</v>
      </c>
      <c r="OL4">
        <v>0</v>
      </c>
      <c r="OM4">
        <v>0</v>
      </c>
      <c r="ON4">
        <v>0</v>
      </c>
      <c r="OO4">
        <v>0</v>
      </c>
      <c r="OP4">
        <v>0</v>
      </c>
      <c r="OQ4">
        <v>0</v>
      </c>
      <c r="OR4">
        <v>0</v>
      </c>
      <c r="OS4">
        <v>0</v>
      </c>
      <c r="OT4">
        <v>0</v>
      </c>
      <c r="OU4">
        <v>0</v>
      </c>
      <c r="OV4">
        <v>0</v>
      </c>
      <c r="OW4">
        <v>0</v>
      </c>
      <c r="OX4">
        <v>0</v>
      </c>
      <c r="OY4">
        <v>0</v>
      </c>
      <c r="OZ4">
        <v>0</v>
      </c>
      <c r="PA4">
        <v>0</v>
      </c>
      <c r="PB4">
        <v>0</v>
      </c>
      <c r="PC4">
        <v>0</v>
      </c>
      <c r="PD4">
        <v>0</v>
      </c>
      <c r="PE4">
        <v>0</v>
      </c>
      <c r="PF4">
        <v>0</v>
      </c>
      <c r="PG4">
        <v>0</v>
      </c>
      <c r="PH4">
        <v>0</v>
      </c>
      <c r="PI4">
        <v>0</v>
      </c>
      <c r="PJ4">
        <v>0</v>
      </c>
      <c r="PK4">
        <v>0</v>
      </c>
      <c r="PL4">
        <v>0</v>
      </c>
      <c r="PM4">
        <v>0</v>
      </c>
      <c r="PN4">
        <v>0</v>
      </c>
      <c r="PO4">
        <v>0</v>
      </c>
      <c r="PP4">
        <v>0</v>
      </c>
      <c r="PQ4">
        <v>0</v>
      </c>
      <c r="PR4">
        <v>0</v>
      </c>
      <c r="PS4">
        <v>0</v>
      </c>
      <c r="PT4">
        <v>0</v>
      </c>
      <c r="PU4">
        <v>0</v>
      </c>
      <c r="PV4">
        <v>0</v>
      </c>
      <c r="PW4">
        <v>0</v>
      </c>
      <c r="PX4">
        <v>0</v>
      </c>
      <c r="PY4">
        <v>0</v>
      </c>
      <c r="PZ4">
        <v>0</v>
      </c>
      <c r="QA4">
        <v>0</v>
      </c>
      <c r="QB4">
        <v>0</v>
      </c>
      <c r="QC4">
        <v>0</v>
      </c>
      <c r="QD4">
        <v>0</v>
      </c>
      <c r="QE4">
        <v>0</v>
      </c>
      <c r="QF4">
        <v>0</v>
      </c>
      <c r="QG4">
        <v>0</v>
      </c>
      <c r="QH4">
        <v>0</v>
      </c>
      <c r="QI4">
        <v>0</v>
      </c>
      <c r="QJ4">
        <v>0</v>
      </c>
      <c r="QK4">
        <v>0</v>
      </c>
      <c r="QL4">
        <v>0</v>
      </c>
      <c r="QM4">
        <v>0</v>
      </c>
      <c r="QN4">
        <v>0</v>
      </c>
      <c r="QO4">
        <v>0</v>
      </c>
      <c r="QP4">
        <v>0</v>
      </c>
      <c r="QQ4">
        <v>0</v>
      </c>
      <c r="QR4">
        <v>0</v>
      </c>
      <c r="QS4">
        <v>0</v>
      </c>
      <c r="QT4">
        <v>0</v>
      </c>
      <c r="QU4">
        <v>0</v>
      </c>
      <c r="QV4">
        <v>0</v>
      </c>
      <c r="QW4">
        <v>0</v>
      </c>
      <c r="QX4">
        <v>0</v>
      </c>
      <c r="QY4">
        <v>0</v>
      </c>
      <c r="QZ4">
        <v>0</v>
      </c>
      <c r="RA4">
        <v>0</v>
      </c>
      <c r="RB4">
        <v>0</v>
      </c>
      <c r="RC4">
        <v>0</v>
      </c>
      <c r="RD4">
        <v>0</v>
      </c>
      <c r="RE4">
        <v>0</v>
      </c>
      <c r="RF4">
        <v>0</v>
      </c>
      <c r="RG4">
        <v>0</v>
      </c>
      <c r="RH4">
        <v>0</v>
      </c>
      <c r="RI4">
        <v>0</v>
      </c>
      <c r="RJ4">
        <v>0</v>
      </c>
      <c r="RK4">
        <v>0</v>
      </c>
      <c r="RL4">
        <v>0</v>
      </c>
      <c r="RM4">
        <v>0</v>
      </c>
      <c r="RN4">
        <v>0</v>
      </c>
      <c r="RO4">
        <v>0</v>
      </c>
      <c r="RP4">
        <v>0</v>
      </c>
      <c r="RQ4">
        <v>0</v>
      </c>
      <c r="RR4">
        <v>0</v>
      </c>
      <c r="RS4">
        <v>0</v>
      </c>
      <c r="RT4">
        <v>0</v>
      </c>
      <c r="RU4">
        <v>0</v>
      </c>
      <c r="RV4">
        <v>0</v>
      </c>
      <c r="RW4">
        <v>0</v>
      </c>
      <c r="RX4">
        <v>0</v>
      </c>
      <c r="RY4">
        <v>0</v>
      </c>
      <c r="RZ4">
        <v>0</v>
      </c>
      <c r="SA4">
        <v>0</v>
      </c>
      <c r="SB4">
        <v>0</v>
      </c>
      <c r="SC4">
        <v>0</v>
      </c>
      <c r="SD4">
        <v>0</v>
      </c>
      <c r="SE4">
        <v>0</v>
      </c>
      <c r="SF4">
        <v>0</v>
      </c>
      <c r="SG4">
        <v>0</v>
      </c>
      <c r="SH4">
        <v>0</v>
      </c>
      <c r="SI4">
        <v>0</v>
      </c>
      <c r="SJ4">
        <v>0</v>
      </c>
      <c r="SK4">
        <v>0</v>
      </c>
      <c r="SL4">
        <v>0</v>
      </c>
      <c r="SM4">
        <v>0</v>
      </c>
      <c r="SN4">
        <v>0</v>
      </c>
      <c r="SO4">
        <v>0</v>
      </c>
      <c r="SP4">
        <v>0</v>
      </c>
      <c r="SQ4">
        <v>0</v>
      </c>
      <c r="SR4">
        <v>0</v>
      </c>
      <c r="SS4">
        <v>0</v>
      </c>
      <c r="ST4">
        <v>0</v>
      </c>
      <c r="SU4">
        <v>0</v>
      </c>
      <c r="SV4">
        <v>0</v>
      </c>
      <c r="SW4">
        <v>0</v>
      </c>
      <c r="SX4">
        <v>0</v>
      </c>
      <c r="SY4">
        <v>0</v>
      </c>
      <c r="SZ4">
        <v>0</v>
      </c>
      <c r="TA4">
        <v>0</v>
      </c>
      <c r="TB4">
        <v>0</v>
      </c>
      <c r="TC4">
        <v>0</v>
      </c>
      <c r="TD4">
        <v>0</v>
      </c>
      <c r="TE4">
        <v>0</v>
      </c>
      <c r="TF4">
        <v>0</v>
      </c>
      <c r="TG4">
        <v>0</v>
      </c>
      <c r="TH4">
        <v>0</v>
      </c>
      <c r="TI4">
        <v>0</v>
      </c>
      <c r="TJ4">
        <v>0</v>
      </c>
      <c r="TK4">
        <v>0</v>
      </c>
      <c r="TL4">
        <v>0</v>
      </c>
      <c r="TM4">
        <v>0</v>
      </c>
      <c r="TN4">
        <v>0</v>
      </c>
      <c r="TO4">
        <v>0</v>
      </c>
      <c r="TP4">
        <v>0</v>
      </c>
      <c r="TQ4">
        <v>0</v>
      </c>
      <c r="TR4">
        <v>0</v>
      </c>
      <c r="TS4">
        <v>0</v>
      </c>
      <c r="TT4">
        <v>0</v>
      </c>
      <c r="TU4">
        <v>0</v>
      </c>
      <c r="TV4">
        <v>0</v>
      </c>
      <c r="TW4">
        <v>0</v>
      </c>
      <c r="TX4">
        <v>0</v>
      </c>
      <c r="TY4">
        <v>0</v>
      </c>
      <c r="TZ4">
        <v>0</v>
      </c>
    </row>
    <row r="5" spans="1:546" x14ac:dyDescent="0.3">
      <c r="B5" t="s">
        <v>21</v>
      </c>
      <c r="D5">
        <v>225</v>
      </c>
      <c r="E5">
        <v>30720</v>
      </c>
      <c r="F5">
        <v>1</v>
      </c>
      <c r="H5">
        <v>1</v>
      </c>
      <c r="I5" s="3">
        <f>AVERAGE(J5:XX5)</f>
        <v>5.3872053872053879E-4</v>
      </c>
      <c r="J5" s="3">
        <v>0</v>
      </c>
      <c r="K5" s="3">
        <v>0</v>
      </c>
      <c r="L5" s="3">
        <v>0</v>
      </c>
      <c r="M5" s="3">
        <v>0</v>
      </c>
      <c r="N5" s="3">
        <v>0.13</v>
      </c>
      <c r="O5" s="3">
        <v>0</v>
      </c>
      <c r="P5" s="3">
        <v>0.01</v>
      </c>
      <c r="Q5" s="3">
        <v>0</v>
      </c>
      <c r="R5" s="3">
        <v>0</v>
      </c>
      <c r="S5" s="3">
        <v>0</v>
      </c>
      <c r="T5" s="3">
        <v>0</v>
      </c>
      <c r="U5" s="3">
        <v>0</v>
      </c>
      <c r="V5" s="3">
        <v>0</v>
      </c>
      <c r="W5" s="3">
        <v>0</v>
      </c>
      <c r="X5" s="3">
        <v>0</v>
      </c>
      <c r="Y5" s="3">
        <v>0</v>
      </c>
      <c r="Z5" s="3">
        <v>0</v>
      </c>
      <c r="AA5" s="3">
        <v>0</v>
      </c>
      <c r="AB5" s="3">
        <v>0</v>
      </c>
      <c r="AC5" s="3">
        <v>0</v>
      </c>
      <c r="AD5" s="3">
        <v>0</v>
      </c>
      <c r="AE5" s="3">
        <v>0</v>
      </c>
      <c r="AF5" s="3">
        <v>0</v>
      </c>
      <c r="AG5" s="3">
        <v>0</v>
      </c>
      <c r="AH5" s="3">
        <v>0</v>
      </c>
      <c r="AI5" s="3">
        <v>0</v>
      </c>
      <c r="AJ5" s="3">
        <v>0</v>
      </c>
      <c r="AK5" s="3">
        <v>0</v>
      </c>
      <c r="AL5" s="3">
        <v>0</v>
      </c>
      <c r="AM5" s="3">
        <v>0</v>
      </c>
      <c r="AN5" s="3">
        <v>0</v>
      </c>
      <c r="AO5" s="3">
        <v>0</v>
      </c>
      <c r="AP5" s="3">
        <v>0</v>
      </c>
      <c r="AQ5" s="3">
        <v>0</v>
      </c>
      <c r="AR5" s="3">
        <v>0</v>
      </c>
      <c r="AS5" s="3">
        <v>0</v>
      </c>
      <c r="AT5" s="3">
        <v>0</v>
      </c>
      <c r="AU5" s="3">
        <v>0</v>
      </c>
      <c r="AV5" s="3">
        <v>0</v>
      </c>
      <c r="AW5" s="3">
        <v>0</v>
      </c>
      <c r="AX5" s="3">
        <v>0</v>
      </c>
      <c r="AY5" s="3">
        <v>0</v>
      </c>
      <c r="AZ5" s="3">
        <v>0</v>
      </c>
      <c r="BA5" s="3">
        <v>0</v>
      </c>
      <c r="BB5" s="3">
        <v>0</v>
      </c>
      <c r="BC5" s="3">
        <v>0</v>
      </c>
      <c r="BD5" s="3">
        <v>0</v>
      </c>
      <c r="BE5" s="3">
        <v>0</v>
      </c>
      <c r="BF5" s="3">
        <v>0</v>
      </c>
      <c r="BG5" s="3">
        <v>0</v>
      </c>
      <c r="BH5" s="3">
        <v>0</v>
      </c>
      <c r="BI5" s="3">
        <v>0</v>
      </c>
      <c r="BJ5" s="3">
        <v>0</v>
      </c>
      <c r="BK5" s="3">
        <v>0</v>
      </c>
      <c r="BL5" s="3">
        <v>0</v>
      </c>
      <c r="BM5" s="3">
        <v>0</v>
      </c>
      <c r="BN5" s="3">
        <v>0</v>
      </c>
      <c r="BO5" s="3">
        <v>0</v>
      </c>
      <c r="BP5" s="3">
        <v>0</v>
      </c>
      <c r="BQ5" s="3">
        <v>0</v>
      </c>
      <c r="BR5" s="3">
        <v>0</v>
      </c>
      <c r="BS5" s="3">
        <v>0</v>
      </c>
      <c r="BT5" s="3">
        <v>0</v>
      </c>
      <c r="BU5" s="3">
        <v>0</v>
      </c>
      <c r="BV5" s="3">
        <v>0</v>
      </c>
      <c r="BW5" s="3">
        <v>0</v>
      </c>
      <c r="BX5" s="3">
        <v>0</v>
      </c>
      <c r="BY5" s="3">
        <v>0</v>
      </c>
      <c r="BZ5" s="3">
        <v>0</v>
      </c>
      <c r="CA5" s="3">
        <v>0</v>
      </c>
      <c r="CB5" s="3">
        <v>0</v>
      </c>
      <c r="CC5" s="3">
        <v>0</v>
      </c>
      <c r="CD5" s="3">
        <v>0</v>
      </c>
      <c r="CE5" s="3">
        <v>0</v>
      </c>
      <c r="CF5" s="3">
        <v>0</v>
      </c>
      <c r="CG5" s="3">
        <v>0</v>
      </c>
      <c r="CH5" s="3">
        <v>0</v>
      </c>
      <c r="CI5" s="3">
        <v>0</v>
      </c>
      <c r="CJ5" s="3">
        <v>0</v>
      </c>
      <c r="CK5" s="3">
        <v>0</v>
      </c>
      <c r="CL5" s="3">
        <v>0</v>
      </c>
      <c r="CM5" s="3">
        <v>0</v>
      </c>
      <c r="CN5" s="3">
        <v>0</v>
      </c>
      <c r="CO5" s="3">
        <v>0</v>
      </c>
      <c r="CP5" s="3">
        <v>0</v>
      </c>
      <c r="CQ5" s="3">
        <v>0</v>
      </c>
      <c r="CR5" s="3">
        <v>0</v>
      </c>
      <c r="CS5" s="3">
        <v>0</v>
      </c>
      <c r="CT5" s="3">
        <v>0</v>
      </c>
      <c r="CU5" s="3">
        <v>0</v>
      </c>
      <c r="CV5" s="3">
        <v>0</v>
      </c>
      <c r="CW5" s="3">
        <v>0</v>
      </c>
      <c r="CX5" s="3">
        <v>0</v>
      </c>
      <c r="CY5" s="3">
        <v>0</v>
      </c>
      <c r="CZ5" s="3">
        <v>0</v>
      </c>
      <c r="DA5" s="3">
        <v>0</v>
      </c>
      <c r="DB5" s="3">
        <v>0</v>
      </c>
      <c r="DC5" s="3">
        <v>0</v>
      </c>
      <c r="DD5" s="3">
        <v>0</v>
      </c>
      <c r="DE5" s="3">
        <v>0</v>
      </c>
      <c r="DF5" s="3">
        <v>0</v>
      </c>
      <c r="DG5" s="3">
        <v>0</v>
      </c>
      <c r="DH5" s="3">
        <v>0</v>
      </c>
      <c r="DI5" s="3">
        <v>0</v>
      </c>
      <c r="DJ5" s="3">
        <v>0</v>
      </c>
      <c r="DK5" s="3">
        <v>0</v>
      </c>
      <c r="DL5" s="3">
        <v>0</v>
      </c>
      <c r="DM5" s="3">
        <v>0</v>
      </c>
      <c r="DN5" s="3">
        <v>0</v>
      </c>
      <c r="DO5" s="3">
        <v>0</v>
      </c>
      <c r="DP5" s="3">
        <v>0</v>
      </c>
      <c r="DQ5" s="3">
        <v>0</v>
      </c>
      <c r="DR5">
        <v>0</v>
      </c>
      <c r="DS5">
        <v>0</v>
      </c>
      <c r="DT5">
        <v>0</v>
      </c>
      <c r="DU5">
        <v>0</v>
      </c>
      <c r="DV5">
        <v>0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0</v>
      </c>
      <c r="EF5">
        <v>0</v>
      </c>
      <c r="EG5">
        <v>0</v>
      </c>
      <c r="EH5">
        <v>0</v>
      </c>
      <c r="EI5">
        <v>0</v>
      </c>
      <c r="EJ5">
        <v>0</v>
      </c>
      <c r="EK5">
        <v>0</v>
      </c>
      <c r="EL5">
        <v>0</v>
      </c>
      <c r="EM5">
        <v>0.01</v>
      </c>
      <c r="EN5">
        <v>0</v>
      </c>
      <c r="EO5">
        <v>0</v>
      </c>
      <c r="EP5">
        <v>0</v>
      </c>
      <c r="EQ5">
        <v>0</v>
      </c>
      <c r="ER5">
        <v>0</v>
      </c>
      <c r="ES5">
        <v>0</v>
      </c>
      <c r="ET5">
        <v>0</v>
      </c>
      <c r="EU5">
        <v>0</v>
      </c>
      <c r="EV5">
        <v>0</v>
      </c>
      <c r="EW5">
        <v>0</v>
      </c>
      <c r="EX5">
        <v>0</v>
      </c>
      <c r="EY5">
        <v>0</v>
      </c>
      <c r="EZ5">
        <v>0</v>
      </c>
      <c r="FA5">
        <v>0</v>
      </c>
      <c r="FB5">
        <v>0</v>
      </c>
      <c r="FC5">
        <v>0</v>
      </c>
      <c r="FD5">
        <v>0</v>
      </c>
      <c r="FE5">
        <v>0</v>
      </c>
      <c r="FF5">
        <v>0</v>
      </c>
      <c r="FG5">
        <v>0</v>
      </c>
      <c r="FH5">
        <v>0</v>
      </c>
      <c r="FI5">
        <v>0</v>
      </c>
      <c r="FJ5">
        <v>0</v>
      </c>
      <c r="FK5">
        <v>0</v>
      </c>
      <c r="FL5">
        <v>0</v>
      </c>
      <c r="FM5">
        <v>0</v>
      </c>
      <c r="FN5">
        <v>0</v>
      </c>
      <c r="FO5">
        <v>0</v>
      </c>
      <c r="FP5">
        <v>0</v>
      </c>
      <c r="FQ5">
        <v>0</v>
      </c>
      <c r="FR5">
        <v>0</v>
      </c>
      <c r="FS5">
        <v>0</v>
      </c>
      <c r="FT5">
        <v>0</v>
      </c>
      <c r="FU5">
        <v>0</v>
      </c>
      <c r="FV5">
        <v>0</v>
      </c>
      <c r="FW5">
        <v>0</v>
      </c>
      <c r="FX5">
        <v>0</v>
      </c>
      <c r="FY5">
        <v>0</v>
      </c>
      <c r="FZ5">
        <v>0</v>
      </c>
      <c r="GA5">
        <v>0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J5">
        <v>0</v>
      </c>
      <c r="GK5">
        <v>0</v>
      </c>
      <c r="GL5">
        <v>0</v>
      </c>
      <c r="GM5">
        <v>0</v>
      </c>
      <c r="GN5">
        <v>0</v>
      </c>
      <c r="GO5">
        <v>0</v>
      </c>
      <c r="GP5">
        <v>0</v>
      </c>
      <c r="GQ5">
        <v>0</v>
      </c>
      <c r="GR5">
        <v>0</v>
      </c>
      <c r="GS5">
        <v>0</v>
      </c>
      <c r="GT5">
        <v>0</v>
      </c>
      <c r="GU5">
        <v>0</v>
      </c>
      <c r="GV5">
        <v>0</v>
      </c>
      <c r="GW5">
        <v>0</v>
      </c>
      <c r="GX5">
        <v>0</v>
      </c>
      <c r="GY5">
        <v>0</v>
      </c>
      <c r="GZ5">
        <v>0</v>
      </c>
      <c r="HA5">
        <v>0</v>
      </c>
      <c r="HB5">
        <v>0</v>
      </c>
      <c r="HC5">
        <v>0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L5">
        <v>0</v>
      </c>
      <c r="HM5">
        <v>0</v>
      </c>
      <c r="HN5">
        <v>0</v>
      </c>
      <c r="HO5">
        <v>0</v>
      </c>
      <c r="HP5">
        <v>0</v>
      </c>
      <c r="HQ5">
        <v>0</v>
      </c>
      <c r="HR5">
        <v>0</v>
      </c>
      <c r="HS5">
        <v>0</v>
      </c>
      <c r="HT5">
        <v>0</v>
      </c>
      <c r="HU5">
        <v>0</v>
      </c>
      <c r="HV5">
        <v>0</v>
      </c>
      <c r="HW5">
        <v>0</v>
      </c>
      <c r="HX5">
        <v>0</v>
      </c>
      <c r="HY5">
        <v>0</v>
      </c>
      <c r="HZ5">
        <v>0</v>
      </c>
      <c r="IA5">
        <v>0</v>
      </c>
      <c r="IB5">
        <v>0</v>
      </c>
      <c r="IC5">
        <v>0</v>
      </c>
      <c r="ID5">
        <v>0</v>
      </c>
      <c r="IE5">
        <v>0</v>
      </c>
      <c r="IF5">
        <v>0</v>
      </c>
      <c r="IG5">
        <v>0</v>
      </c>
      <c r="IH5">
        <v>0</v>
      </c>
      <c r="II5">
        <v>0</v>
      </c>
      <c r="IJ5">
        <v>0</v>
      </c>
      <c r="IK5">
        <v>0</v>
      </c>
      <c r="IL5">
        <v>0</v>
      </c>
      <c r="IM5">
        <v>0</v>
      </c>
      <c r="IN5">
        <v>0</v>
      </c>
      <c r="IO5">
        <v>0</v>
      </c>
      <c r="IP5">
        <v>0</v>
      </c>
      <c r="IQ5">
        <v>0</v>
      </c>
      <c r="IR5">
        <v>0</v>
      </c>
      <c r="IS5">
        <v>0</v>
      </c>
      <c r="IT5">
        <v>0</v>
      </c>
      <c r="IU5">
        <v>0</v>
      </c>
      <c r="IV5">
        <v>0</v>
      </c>
      <c r="IW5">
        <v>0</v>
      </c>
      <c r="IX5">
        <v>0</v>
      </c>
      <c r="IY5">
        <v>0</v>
      </c>
      <c r="IZ5">
        <v>0</v>
      </c>
      <c r="JA5">
        <v>0</v>
      </c>
      <c r="JB5">
        <v>0</v>
      </c>
      <c r="JC5">
        <v>0</v>
      </c>
      <c r="JD5">
        <v>0</v>
      </c>
      <c r="JE5">
        <v>0</v>
      </c>
      <c r="JF5">
        <v>0</v>
      </c>
      <c r="JG5">
        <v>0</v>
      </c>
      <c r="JH5">
        <v>0</v>
      </c>
      <c r="JI5">
        <v>0</v>
      </c>
      <c r="JJ5">
        <v>0</v>
      </c>
      <c r="JK5">
        <v>0</v>
      </c>
      <c r="JL5">
        <v>0</v>
      </c>
      <c r="JM5">
        <v>0</v>
      </c>
      <c r="JN5">
        <v>0</v>
      </c>
      <c r="JO5">
        <v>0</v>
      </c>
      <c r="JP5">
        <v>0</v>
      </c>
      <c r="JQ5">
        <v>0</v>
      </c>
      <c r="JR5">
        <v>0</v>
      </c>
      <c r="JS5">
        <v>0</v>
      </c>
      <c r="JT5">
        <v>0</v>
      </c>
      <c r="JU5">
        <v>0</v>
      </c>
      <c r="JV5">
        <v>0</v>
      </c>
      <c r="JW5">
        <v>0</v>
      </c>
      <c r="JX5">
        <v>0</v>
      </c>
      <c r="JY5">
        <v>0</v>
      </c>
      <c r="JZ5">
        <v>0</v>
      </c>
      <c r="KA5">
        <v>0</v>
      </c>
      <c r="KB5">
        <v>0</v>
      </c>
      <c r="KC5">
        <v>0</v>
      </c>
      <c r="KD5">
        <v>0</v>
      </c>
      <c r="KE5">
        <v>0</v>
      </c>
      <c r="KF5">
        <v>0</v>
      </c>
      <c r="KG5">
        <v>0</v>
      </c>
      <c r="KH5">
        <v>0</v>
      </c>
      <c r="KI5">
        <v>0.01</v>
      </c>
      <c r="KJ5">
        <v>0</v>
      </c>
      <c r="KK5">
        <v>0</v>
      </c>
      <c r="KL5">
        <v>0</v>
      </c>
      <c r="KM5">
        <v>0</v>
      </c>
      <c r="KN5">
        <v>0</v>
      </c>
      <c r="KO5">
        <v>0</v>
      </c>
      <c r="KP5">
        <v>0</v>
      </c>
      <c r="KQ5">
        <v>0</v>
      </c>
      <c r="KR5">
        <v>0</v>
      </c>
      <c r="KS5">
        <v>0</v>
      </c>
      <c r="KT5">
        <v>0</v>
      </c>
    </row>
    <row r="6" spans="1:546" x14ac:dyDescent="0.3">
      <c r="B6" t="s">
        <v>22</v>
      </c>
      <c r="D6">
        <v>199</v>
      </c>
      <c r="E6">
        <v>49728</v>
      </c>
      <c r="F6">
        <v>1</v>
      </c>
      <c r="H6">
        <v>2</v>
      </c>
      <c r="I6" s="3">
        <f>AVERAGE(J6:XX6)</f>
        <v>0.01</v>
      </c>
      <c r="J6" s="3">
        <v>0.01</v>
      </c>
      <c r="K6" s="3">
        <v>0.02</v>
      </c>
      <c r="L6" s="3">
        <v>0.01</v>
      </c>
      <c r="M6" s="3">
        <v>0.01</v>
      </c>
      <c r="N6" s="3">
        <v>0.01</v>
      </c>
      <c r="O6" s="3">
        <v>0.01</v>
      </c>
      <c r="P6" s="3">
        <v>0</v>
      </c>
      <c r="Q6" s="3">
        <v>0</v>
      </c>
      <c r="R6" s="3">
        <v>0.01</v>
      </c>
      <c r="S6" s="3">
        <v>0.02</v>
      </c>
      <c r="T6" s="3">
        <v>0.01</v>
      </c>
      <c r="U6" s="3">
        <v>0.01</v>
      </c>
      <c r="V6" s="3">
        <v>0.01</v>
      </c>
      <c r="W6" s="3">
        <v>0.01</v>
      </c>
    </row>
    <row r="7" spans="1:546" x14ac:dyDescent="0.3">
      <c r="B7" t="s">
        <v>23</v>
      </c>
      <c r="D7">
        <v>195</v>
      </c>
      <c r="E7">
        <v>19488</v>
      </c>
      <c r="F7">
        <v>1</v>
      </c>
      <c r="H7">
        <v>3</v>
      </c>
      <c r="I7" s="3">
        <f>AVERAGE(J7:XX7)</f>
        <v>1.9230769230769228E-2</v>
      </c>
      <c r="J7" s="3">
        <v>0.02</v>
      </c>
      <c r="K7" s="3">
        <v>0.01</v>
      </c>
      <c r="L7" s="3">
        <v>0.02</v>
      </c>
      <c r="M7" s="3">
        <v>0.01</v>
      </c>
      <c r="N7" s="3">
        <v>0.01</v>
      </c>
      <c r="O7" s="3">
        <v>0.02</v>
      </c>
      <c r="P7" s="3">
        <v>0.02</v>
      </c>
      <c r="Q7" s="3">
        <v>0.02</v>
      </c>
      <c r="R7" s="3">
        <v>0.02</v>
      </c>
      <c r="S7" s="3">
        <v>0.02</v>
      </c>
      <c r="T7" s="3">
        <v>0.02</v>
      </c>
      <c r="U7" s="3">
        <v>0.04</v>
      </c>
      <c r="V7" s="3">
        <v>0.02</v>
      </c>
    </row>
    <row r="8" spans="1:546" x14ac:dyDescent="0.3">
      <c r="B8" t="s">
        <v>24</v>
      </c>
      <c r="D8">
        <v>190</v>
      </c>
      <c r="E8">
        <v>2592</v>
      </c>
      <c r="F8">
        <v>1</v>
      </c>
      <c r="H8">
        <v>4</v>
      </c>
      <c r="I8" s="3">
        <f>AVERAGE(J8:XX8)</f>
        <v>3.2500000000000001E-2</v>
      </c>
      <c r="J8" s="3">
        <v>0.03</v>
      </c>
      <c r="K8" s="3">
        <v>0.03</v>
      </c>
      <c r="L8" s="3">
        <v>0.02</v>
      </c>
      <c r="M8" s="3">
        <v>0.05</v>
      </c>
    </row>
    <row r="9" spans="1:546" x14ac:dyDescent="0.3">
      <c r="B9" t="s">
        <v>25</v>
      </c>
      <c r="D9">
        <v>185</v>
      </c>
      <c r="E9">
        <v>51216</v>
      </c>
      <c r="F9">
        <v>1</v>
      </c>
      <c r="H9">
        <v>5</v>
      </c>
      <c r="I9" s="3">
        <f>AVERAGE(J9:XX9)</f>
        <v>5.888888888888888E-2</v>
      </c>
      <c r="J9" s="3">
        <v>0.06</v>
      </c>
      <c r="K9" s="3">
        <v>0.06</v>
      </c>
      <c r="L9" s="3">
        <v>0.05</v>
      </c>
      <c r="M9" s="3">
        <v>0.13</v>
      </c>
      <c r="N9" s="3">
        <v>0.03</v>
      </c>
      <c r="O9" s="3">
        <v>0.04</v>
      </c>
      <c r="P9" s="3">
        <v>0.05</v>
      </c>
      <c r="Q9" s="3">
        <v>0.05</v>
      </c>
      <c r="R9" s="3">
        <v>0.06</v>
      </c>
    </row>
    <row r="10" spans="1:546" x14ac:dyDescent="0.3">
      <c r="B10" t="s">
        <v>26</v>
      </c>
      <c r="D10">
        <v>184</v>
      </c>
      <c r="E10">
        <v>56688</v>
      </c>
      <c r="F10">
        <v>1</v>
      </c>
      <c r="H10">
        <v>6</v>
      </c>
      <c r="I10" s="3">
        <f>AVERAGE(J10:XX10)</f>
        <v>4.9999999999999996E-2</v>
      </c>
      <c r="J10" s="3">
        <v>0.06</v>
      </c>
      <c r="K10" s="3">
        <v>0.05</v>
      </c>
      <c r="L10" s="3">
        <v>0.04</v>
      </c>
      <c r="M10" s="3">
        <v>0.04</v>
      </c>
      <c r="N10" s="3">
        <v>0.06</v>
      </c>
      <c r="O10" s="3">
        <v>0.05</v>
      </c>
      <c r="P10" s="3">
        <v>0.05</v>
      </c>
      <c r="Q10" s="3">
        <v>0.05</v>
      </c>
    </row>
    <row r="11" spans="1:546" x14ac:dyDescent="0.3">
      <c r="B11" t="s">
        <v>27</v>
      </c>
      <c r="D11">
        <v>189</v>
      </c>
      <c r="E11">
        <v>62048</v>
      </c>
      <c r="F11">
        <v>1</v>
      </c>
      <c r="H11">
        <v>7</v>
      </c>
      <c r="I11" s="3">
        <f>AVERAGE(J11:XX11)</f>
        <v>7.0000000000000007E-2</v>
      </c>
      <c r="J11" s="3">
        <v>7.0000000000000007E-2</v>
      </c>
      <c r="K11" s="3">
        <v>0.06</v>
      </c>
      <c r="L11" s="3">
        <v>0.08</v>
      </c>
    </row>
    <row r="12" spans="1:546" x14ac:dyDescent="0.3">
      <c r="B12" t="s">
        <v>28</v>
      </c>
      <c r="D12">
        <v>195</v>
      </c>
      <c r="E12">
        <v>13056</v>
      </c>
      <c r="F12">
        <v>1</v>
      </c>
      <c r="H12">
        <v>8</v>
      </c>
      <c r="I12" s="3">
        <f>AVERAGE(J12:XX12)</f>
        <v>7.6666666666666675E-2</v>
      </c>
      <c r="J12" s="3">
        <v>0.05</v>
      </c>
      <c r="K12" s="3">
        <v>0.11</v>
      </c>
      <c r="L12" s="3">
        <v>7.0000000000000007E-2</v>
      </c>
    </row>
    <row r="13" spans="1:546" x14ac:dyDescent="0.3">
      <c r="B13" t="s">
        <v>29</v>
      </c>
      <c r="D13">
        <v>197</v>
      </c>
      <c r="E13">
        <v>21568</v>
      </c>
      <c r="F13">
        <v>1</v>
      </c>
      <c r="H13">
        <v>9</v>
      </c>
      <c r="I13" s="3">
        <f>AVERAGE(J13:XX13)</f>
        <v>7.0000000000000007E-2</v>
      </c>
      <c r="J13" s="3">
        <v>7.0000000000000007E-2</v>
      </c>
    </row>
    <row r="14" spans="1:546" x14ac:dyDescent="0.3">
      <c r="B14" t="s">
        <v>30</v>
      </c>
      <c r="D14">
        <v>202</v>
      </c>
      <c r="E14">
        <v>54976</v>
      </c>
      <c r="F14">
        <v>1</v>
      </c>
      <c r="H14">
        <v>10</v>
      </c>
      <c r="I14" s="3">
        <f>AVERAGE(J14:XX14)</f>
        <v>0.1</v>
      </c>
      <c r="J14" s="3">
        <v>7.0000000000000007E-2</v>
      </c>
      <c r="K14" s="3">
        <v>0.09</v>
      </c>
      <c r="L14" s="3">
        <v>0.09</v>
      </c>
      <c r="M14" s="3">
        <v>0.12</v>
      </c>
      <c r="N14" s="3">
        <v>0.13</v>
      </c>
    </row>
    <row r="15" spans="1:546" x14ac:dyDescent="0.3">
      <c r="B15" t="s">
        <v>31</v>
      </c>
      <c r="D15">
        <v>209</v>
      </c>
      <c r="E15">
        <v>51904</v>
      </c>
      <c r="F15">
        <v>1</v>
      </c>
      <c r="H15">
        <v>11</v>
      </c>
      <c r="I15" s="3">
        <f>AVERAGE(J15:XX15)</f>
        <v>0.13200000000000001</v>
      </c>
      <c r="J15" s="3">
        <v>0.11</v>
      </c>
      <c r="K15" s="3">
        <v>0.21</v>
      </c>
      <c r="L15" s="3">
        <v>0.13</v>
      </c>
      <c r="M15" s="3">
        <v>0.08</v>
      </c>
      <c r="N15" s="3">
        <v>0.13</v>
      </c>
    </row>
    <row r="16" spans="1:546" x14ac:dyDescent="0.3">
      <c r="B16" t="s">
        <v>32</v>
      </c>
      <c r="D16">
        <v>209</v>
      </c>
      <c r="E16">
        <v>29120</v>
      </c>
      <c r="F16">
        <v>1</v>
      </c>
      <c r="H16">
        <v>12</v>
      </c>
      <c r="I16" s="3">
        <f>AVERAGE(J16:XX16)</f>
        <v>0.10500000000000001</v>
      </c>
      <c r="J16" s="3">
        <v>0.1</v>
      </c>
      <c r="K16" s="3">
        <v>0.11</v>
      </c>
    </row>
    <row r="17" spans="2:13" x14ac:dyDescent="0.3">
      <c r="B17" t="s">
        <v>33</v>
      </c>
      <c r="D17">
        <v>212</v>
      </c>
      <c r="E17">
        <v>0</v>
      </c>
      <c r="F17">
        <v>1</v>
      </c>
      <c r="H17">
        <v>13</v>
      </c>
      <c r="I17" s="3">
        <f>AVERAGE(J17:XX17)</f>
        <v>0.14000000000000001</v>
      </c>
      <c r="J17" s="3">
        <v>0.16</v>
      </c>
      <c r="K17" s="3">
        <v>0.1</v>
      </c>
      <c r="L17" s="3">
        <v>0.14000000000000001</v>
      </c>
      <c r="M17" s="3">
        <v>0.16</v>
      </c>
    </row>
    <row r="18" spans="2:13" x14ac:dyDescent="0.3">
      <c r="B18" t="s">
        <v>34</v>
      </c>
      <c r="D18">
        <v>208</v>
      </c>
      <c r="E18">
        <v>19008</v>
      </c>
      <c r="F18">
        <v>1</v>
      </c>
      <c r="H18">
        <v>14</v>
      </c>
      <c r="I18" s="3">
        <f>AVERAGE(J18:XX18)</f>
        <v>0.11333333333333333</v>
      </c>
      <c r="J18" s="3">
        <v>0.11</v>
      </c>
      <c r="K18" s="3">
        <v>0.12</v>
      </c>
      <c r="L18" s="3">
        <v>0.11</v>
      </c>
    </row>
    <row r="19" spans="2:13" x14ac:dyDescent="0.3">
      <c r="B19" t="s">
        <v>35</v>
      </c>
      <c r="D19">
        <v>220</v>
      </c>
      <c r="E19">
        <v>42368</v>
      </c>
      <c r="F19">
        <v>1</v>
      </c>
      <c r="H19">
        <v>15</v>
      </c>
      <c r="I19" s="3">
        <f>AVERAGE(J19:XX19)</f>
        <v>0.19</v>
      </c>
      <c r="J19" s="3">
        <v>0.19</v>
      </c>
    </row>
    <row r="20" spans="2:13" x14ac:dyDescent="0.3">
      <c r="B20" t="s">
        <v>36</v>
      </c>
      <c r="D20">
        <v>226</v>
      </c>
      <c r="E20">
        <v>21632</v>
      </c>
      <c r="F20">
        <v>1</v>
      </c>
      <c r="H20">
        <v>16</v>
      </c>
      <c r="I20" s="3">
        <f>AVERAGE(J20:XX20)</f>
        <v>0.16</v>
      </c>
      <c r="J20" s="3">
        <v>0.16</v>
      </c>
      <c r="K20" s="3">
        <v>0.16</v>
      </c>
    </row>
    <row r="21" spans="2:13" x14ac:dyDescent="0.3">
      <c r="B21" t="s">
        <v>37</v>
      </c>
      <c r="D21">
        <v>227</v>
      </c>
      <c r="E21">
        <v>34432</v>
      </c>
      <c r="F21">
        <v>1</v>
      </c>
      <c r="H21">
        <v>17</v>
      </c>
      <c r="I21" s="3">
        <f>AVERAGE(J21:XX21)</f>
        <v>0.14000000000000001</v>
      </c>
      <c r="J21" s="3">
        <v>0.14000000000000001</v>
      </c>
      <c r="K21" s="3">
        <v>0.14000000000000001</v>
      </c>
    </row>
    <row r="22" spans="2:13" x14ac:dyDescent="0.3">
      <c r="B22" t="s">
        <v>38</v>
      </c>
      <c r="D22">
        <v>227</v>
      </c>
      <c r="E22">
        <v>27520</v>
      </c>
      <c r="F22">
        <v>1</v>
      </c>
      <c r="H22">
        <v>18</v>
      </c>
      <c r="I22" s="3">
        <f>AVERAGE(J22:XX22)</f>
        <v>0.17249999999999999</v>
      </c>
      <c r="J22" s="3">
        <v>0.19</v>
      </c>
      <c r="K22" s="3">
        <v>0.15</v>
      </c>
      <c r="L22" s="3">
        <v>0.13</v>
      </c>
      <c r="M22" s="3">
        <v>0.22</v>
      </c>
    </row>
    <row r="23" spans="2:13" x14ac:dyDescent="0.3">
      <c r="B23" t="s">
        <v>39</v>
      </c>
      <c r="D23">
        <v>224</v>
      </c>
      <c r="E23">
        <v>39040</v>
      </c>
      <c r="F23">
        <v>1</v>
      </c>
      <c r="H23">
        <v>19</v>
      </c>
      <c r="I23" s="3">
        <f>AVERAGE(J23:XX23)</f>
        <v>0.24</v>
      </c>
      <c r="J23" s="3">
        <v>0.24</v>
      </c>
    </row>
    <row r="24" spans="2:13" x14ac:dyDescent="0.3">
      <c r="B24" t="s">
        <v>40</v>
      </c>
      <c r="D24">
        <v>222</v>
      </c>
      <c r="E24">
        <v>53248</v>
      </c>
      <c r="F24">
        <v>1</v>
      </c>
      <c r="H24">
        <v>20</v>
      </c>
      <c r="I24" s="3" t="e">
        <f>AVERAGE(J24:XX24)</f>
        <v>#DIV/0!</v>
      </c>
    </row>
    <row r="25" spans="2:13" x14ac:dyDescent="0.3">
      <c r="B25" t="s">
        <v>41</v>
      </c>
      <c r="D25">
        <v>220</v>
      </c>
      <c r="E25">
        <v>56576</v>
      </c>
      <c r="F25">
        <v>1</v>
      </c>
      <c r="H25">
        <v>21</v>
      </c>
      <c r="I25" s="3">
        <f>AVERAGE(J25:XX25)</f>
        <v>0.19</v>
      </c>
      <c r="J25" s="3">
        <v>0.21</v>
      </c>
      <c r="K25" s="3">
        <v>0.17</v>
      </c>
    </row>
    <row r="26" spans="2:13" x14ac:dyDescent="0.3">
      <c r="B26" t="s">
        <v>42</v>
      </c>
      <c r="D26">
        <v>218</v>
      </c>
      <c r="E26">
        <v>11520</v>
      </c>
      <c r="F26">
        <v>1</v>
      </c>
      <c r="H26">
        <v>22</v>
      </c>
      <c r="I26" s="3" t="e">
        <f>AVERAGE(J26:XX26)</f>
        <v>#DIV/0!</v>
      </c>
    </row>
    <row r="27" spans="2:13" x14ac:dyDescent="0.3">
      <c r="B27" t="s">
        <v>43</v>
      </c>
      <c r="D27">
        <v>217</v>
      </c>
      <c r="E27">
        <v>63424</v>
      </c>
      <c r="F27">
        <v>1</v>
      </c>
      <c r="H27">
        <v>23</v>
      </c>
      <c r="I27" s="3">
        <f>AVERAGE(J27:XX27)</f>
        <v>0.2</v>
      </c>
      <c r="J27" s="3">
        <v>0.2</v>
      </c>
    </row>
    <row r="28" spans="2:13" x14ac:dyDescent="0.3">
      <c r="B28" t="s">
        <v>44</v>
      </c>
      <c r="D28">
        <v>212</v>
      </c>
      <c r="E28">
        <v>36224</v>
      </c>
      <c r="F28">
        <v>1</v>
      </c>
      <c r="H28">
        <v>24</v>
      </c>
      <c r="I28" s="3" t="e">
        <f>AVERAGE(J28:XX28)</f>
        <v>#DIV/0!</v>
      </c>
    </row>
    <row r="29" spans="2:13" x14ac:dyDescent="0.3">
      <c r="B29" t="s">
        <v>45</v>
      </c>
      <c r="D29">
        <v>208</v>
      </c>
      <c r="E29">
        <v>29952</v>
      </c>
      <c r="F29">
        <v>1</v>
      </c>
      <c r="H29">
        <v>25</v>
      </c>
      <c r="I29" s="3">
        <f>AVERAGE(J29:XX29)</f>
        <v>0.19</v>
      </c>
      <c r="J29" s="3">
        <v>0.19</v>
      </c>
    </row>
    <row r="30" spans="2:13" x14ac:dyDescent="0.3">
      <c r="B30" t="s">
        <v>46</v>
      </c>
      <c r="D30">
        <v>207</v>
      </c>
      <c r="E30">
        <v>35456</v>
      </c>
      <c r="F30">
        <v>1</v>
      </c>
      <c r="H30">
        <v>26</v>
      </c>
      <c r="I30" s="3">
        <f>AVERAGE(J30:XX30)</f>
        <v>0.29499999999999998</v>
      </c>
      <c r="J30" s="3">
        <v>0.3</v>
      </c>
      <c r="K30" s="3">
        <v>0.28999999999999998</v>
      </c>
    </row>
    <row r="31" spans="2:13" x14ac:dyDescent="0.3">
      <c r="B31" t="s">
        <v>47</v>
      </c>
      <c r="D31">
        <v>205</v>
      </c>
      <c r="E31">
        <v>17984</v>
      </c>
      <c r="F31">
        <v>1</v>
      </c>
      <c r="H31">
        <v>27</v>
      </c>
      <c r="I31" s="3">
        <f>AVERAGE(J31:XX31)</f>
        <v>0.31</v>
      </c>
      <c r="J31" s="3">
        <v>0.31</v>
      </c>
    </row>
    <row r="32" spans="2:13" x14ac:dyDescent="0.3">
      <c r="B32" t="s">
        <v>48</v>
      </c>
      <c r="D32">
        <v>205</v>
      </c>
      <c r="E32">
        <v>53568</v>
      </c>
      <c r="F32">
        <v>1</v>
      </c>
      <c r="H32">
        <v>28</v>
      </c>
      <c r="I32" s="3">
        <f>AVERAGE(J32:XX32)</f>
        <v>0.30499999999999999</v>
      </c>
      <c r="J32" s="3">
        <v>0.32</v>
      </c>
      <c r="K32" s="3">
        <v>0.28999999999999998</v>
      </c>
    </row>
    <row r="33" spans="2:13" x14ac:dyDescent="0.3">
      <c r="B33" t="s">
        <v>49</v>
      </c>
      <c r="D33">
        <v>203</v>
      </c>
      <c r="E33">
        <v>50016</v>
      </c>
      <c r="F33">
        <v>1</v>
      </c>
      <c r="H33">
        <v>29</v>
      </c>
      <c r="I33" s="3">
        <f>AVERAGE(J33:XX33)</f>
        <v>0.28500000000000003</v>
      </c>
      <c r="J33" s="3">
        <v>0.28999999999999998</v>
      </c>
      <c r="K33" s="3">
        <v>0.28000000000000003</v>
      </c>
    </row>
    <row r="34" spans="2:13" x14ac:dyDescent="0.3">
      <c r="B34" t="s">
        <v>50</v>
      </c>
      <c r="D34">
        <v>198</v>
      </c>
      <c r="E34">
        <v>34144</v>
      </c>
      <c r="F34">
        <v>1</v>
      </c>
      <c r="H34">
        <v>30</v>
      </c>
      <c r="I34" s="3" t="e">
        <f>AVERAGE(J34:XX34)</f>
        <v>#DIV/0!</v>
      </c>
    </row>
    <row r="35" spans="2:13" x14ac:dyDescent="0.3">
      <c r="B35" t="s">
        <v>51</v>
      </c>
      <c r="D35">
        <v>196</v>
      </c>
      <c r="E35">
        <v>12192</v>
      </c>
      <c r="F35">
        <v>1</v>
      </c>
      <c r="H35">
        <v>31</v>
      </c>
      <c r="I35" s="3">
        <f>AVERAGE(J35:XX35)</f>
        <v>0.4325</v>
      </c>
      <c r="J35" s="3">
        <v>0.66</v>
      </c>
      <c r="K35" s="3">
        <v>0.32</v>
      </c>
      <c r="L35" s="3">
        <v>0.35</v>
      </c>
      <c r="M35" s="3">
        <v>0.4</v>
      </c>
    </row>
    <row r="36" spans="2:13" x14ac:dyDescent="0.3">
      <c r="B36" t="s">
        <v>52</v>
      </c>
      <c r="D36">
        <v>202</v>
      </c>
      <c r="E36">
        <v>45760</v>
      </c>
      <c r="F36">
        <v>1</v>
      </c>
      <c r="H36">
        <v>32</v>
      </c>
      <c r="I36" s="3">
        <f>AVERAGE(J36:XX36)</f>
        <v>0.44499999999999995</v>
      </c>
      <c r="J36" s="3">
        <v>0.48</v>
      </c>
      <c r="K36" s="3">
        <v>0.41</v>
      </c>
    </row>
    <row r="37" spans="2:13" x14ac:dyDescent="0.3">
      <c r="B37" t="s">
        <v>53</v>
      </c>
      <c r="D37">
        <v>199</v>
      </c>
      <c r="E37">
        <v>25184</v>
      </c>
      <c r="F37">
        <v>1</v>
      </c>
      <c r="H37">
        <v>33</v>
      </c>
      <c r="I37" s="3">
        <f>AVERAGE(J37:XX37)</f>
        <v>0.25</v>
      </c>
      <c r="J37" s="3">
        <v>0.25</v>
      </c>
    </row>
    <row r="38" spans="2:13" x14ac:dyDescent="0.3">
      <c r="B38" t="s">
        <v>54</v>
      </c>
      <c r="D38">
        <v>196</v>
      </c>
      <c r="E38">
        <v>14720</v>
      </c>
      <c r="F38">
        <v>1</v>
      </c>
      <c r="H38">
        <v>34</v>
      </c>
      <c r="I38" s="3">
        <f>AVERAGE(J38:XX38)</f>
        <v>0.36</v>
      </c>
      <c r="J38" s="3">
        <v>0.36</v>
      </c>
    </row>
    <row r="39" spans="2:13" x14ac:dyDescent="0.3">
      <c r="B39" t="s">
        <v>55</v>
      </c>
      <c r="D39">
        <v>189</v>
      </c>
      <c r="E39">
        <v>55056</v>
      </c>
      <c r="F39">
        <v>1</v>
      </c>
      <c r="H39">
        <v>35</v>
      </c>
      <c r="I39" s="3">
        <f>AVERAGE(J39:XX39)</f>
        <v>0.42</v>
      </c>
      <c r="J39" s="3">
        <v>0.42</v>
      </c>
    </row>
    <row r="40" spans="2:13" x14ac:dyDescent="0.3">
      <c r="B40" t="s">
        <v>56</v>
      </c>
      <c r="D40">
        <v>192</v>
      </c>
      <c r="E40">
        <v>56448</v>
      </c>
      <c r="F40">
        <v>1</v>
      </c>
      <c r="H40">
        <v>36</v>
      </c>
      <c r="I40" s="3">
        <f>AVERAGE(J40:XX40)</f>
        <v>0.28000000000000003</v>
      </c>
      <c r="J40" s="3">
        <v>0.28000000000000003</v>
      </c>
    </row>
    <row r="41" spans="2:13" x14ac:dyDescent="0.3">
      <c r="B41" t="s">
        <v>57</v>
      </c>
      <c r="D41">
        <v>181</v>
      </c>
      <c r="E41">
        <v>43168</v>
      </c>
      <c r="F41">
        <v>1</v>
      </c>
      <c r="H41">
        <v>37</v>
      </c>
      <c r="I41" s="3">
        <f>AVERAGE(J41:XX41)</f>
        <v>0.33</v>
      </c>
      <c r="J41" s="3">
        <v>0.33</v>
      </c>
    </row>
    <row r="42" spans="2:13" x14ac:dyDescent="0.3">
      <c r="B42" t="s">
        <v>58</v>
      </c>
      <c r="D42">
        <v>154</v>
      </c>
      <c r="E42">
        <v>7350</v>
      </c>
      <c r="F42">
        <v>1</v>
      </c>
      <c r="H42">
        <v>38</v>
      </c>
      <c r="I42" s="3">
        <f>AVERAGE(J42:XX42)</f>
        <v>0.42666666666666669</v>
      </c>
      <c r="J42" s="3">
        <v>0.54</v>
      </c>
      <c r="K42" s="3">
        <v>0.42</v>
      </c>
      <c r="L42" s="3">
        <v>0.32</v>
      </c>
    </row>
    <row r="43" spans="2:13" x14ac:dyDescent="0.3">
      <c r="B43" t="s">
        <v>59</v>
      </c>
      <c r="D43">
        <v>154</v>
      </c>
      <c r="E43">
        <v>6888</v>
      </c>
      <c r="F43">
        <v>1</v>
      </c>
      <c r="H43">
        <v>39</v>
      </c>
      <c r="I43" s="3">
        <f>AVERAGE(J43:XX43)</f>
        <v>0.34</v>
      </c>
      <c r="J43" s="3">
        <v>0.34</v>
      </c>
    </row>
    <row r="44" spans="2:13" x14ac:dyDescent="0.3">
      <c r="B44" t="s">
        <v>60</v>
      </c>
      <c r="D44">
        <v>155</v>
      </c>
      <c r="E44">
        <v>10756</v>
      </c>
      <c r="F44">
        <v>1</v>
      </c>
      <c r="H44">
        <v>40</v>
      </c>
      <c r="I44" s="3" t="e">
        <f>AVERAGE(J44:XX44)</f>
        <v>#DIV/0!</v>
      </c>
    </row>
    <row r="45" spans="2:13" x14ac:dyDescent="0.3">
      <c r="B45" t="s">
        <v>61</v>
      </c>
      <c r="D45">
        <v>162</v>
      </c>
      <c r="E45">
        <v>15920</v>
      </c>
      <c r="F45">
        <v>1</v>
      </c>
      <c r="H45">
        <v>41</v>
      </c>
      <c r="I45" s="3">
        <f>AVERAGE(J45:XX45)</f>
        <v>0.41</v>
      </c>
      <c r="J45" s="3">
        <v>0.41</v>
      </c>
    </row>
    <row r="46" spans="2:13" x14ac:dyDescent="0.3">
      <c r="B46" t="s">
        <v>62</v>
      </c>
      <c r="D46">
        <v>170</v>
      </c>
      <c r="E46">
        <v>24920</v>
      </c>
      <c r="F46">
        <v>1</v>
      </c>
      <c r="H46">
        <v>42</v>
      </c>
      <c r="I46" s="3" t="e">
        <f>AVERAGE(J46:XX46)</f>
        <v>#DIV/0!</v>
      </c>
    </row>
    <row r="47" spans="2:13" x14ac:dyDescent="0.3">
      <c r="B47" t="s">
        <v>63</v>
      </c>
      <c r="D47">
        <v>183</v>
      </c>
      <c r="E47">
        <v>40528</v>
      </c>
      <c r="F47">
        <v>1</v>
      </c>
      <c r="H47">
        <v>43</v>
      </c>
      <c r="I47" s="3" t="e">
        <f>AVERAGE(J47:XX47)</f>
        <v>#DIV/0!</v>
      </c>
    </row>
    <row r="48" spans="2:13" x14ac:dyDescent="0.3">
      <c r="B48" t="s">
        <v>64</v>
      </c>
      <c r="D48">
        <v>182</v>
      </c>
      <c r="E48">
        <v>37472</v>
      </c>
      <c r="F48">
        <v>1</v>
      </c>
      <c r="H48">
        <v>44</v>
      </c>
      <c r="I48" s="3">
        <f>AVERAGE(J48:XX48)</f>
        <v>0.42</v>
      </c>
      <c r="J48" s="3">
        <v>0.42</v>
      </c>
    </row>
    <row r="49" spans="2:12" x14ac:dyDescent="0.3">
      <c r="B49" t="s">
        <v>65</v>
      </c>
      <c r="D49">
        <v>179</v>
      </c>
      <c r="E49">
        <v>33632</v>
      </c>
      <c r="F49">
        <v>1</v>
      </c>
      <c r="H49">
        <v>45</v>
      </c>
      <c r="I49" s="3" t="e">
        <f>AVERAGE(J49:XX49)</f>
        <v>#DIV/0!</v>
      </c>
    </row>
    <row r="50" spans="2:12" x14ac:dyDescent="0.3">
      <c r="B50" t="s">
        <v>66</v>
      </c>
      <c r="D50">
        <v>178</v>
      </c>
      <c r="E50">
        <v>36864</v>
      </c>
      <c r="F50">
        <v>1</v>
      </c>
      <c r="H50">
        <v>46</v>
      </c>
      <c r="I50" s="3" t="e">
        <f>AVERAGE(J50:XX50)</f>
        <v>#DIV/0!</v>
      </c>
    </row>
    <row r="51" spans="2:12" x14ac:dyDescent="0.3">
      <c r="B51" t="s">
        <v>67</v>
      </c>
      <c r="D51">
        <v>184</v>
      </c>
      <c r="E51">
        <v>45136</v>
      </c>
      <c r="F51">
        <v>1</v>
      </c>
      <c r="H51">
        <v>47</v>
      </c>
      <c r="I51" s="3" t="e">
        <f>AVERAGE(J51:XX51)</f>
        <v>#DIV/0!</v>
      </c>
    </row>
    <row r="52" spans="2:12" x14ac:dyDescent="0.3">
      <c r="B52" t="s">
        <v>68</v>
      </c>
      <c r="D52">
        <v>186</v>
      </c>
      <c r="E52">
        <v>47408</v>
      </c>
      <c r="F52">
        <v>1</v>
      </c>
      <c r="H52">
        <v>48</v>
      </c>
      <c r="I52" s="3">
        <f>AVERAGE(J52:XX52)</f>
        <v>0.44</v>
      </c>
      <c r="J52" s="3">
        <v>0.44</v>
      </c>
    </row>
    <row r="53" spans="2:12" x14ac:dyDescent="0.3">
      <c r="B53" t="s">
        <v>69</v>
      </c>
      <c r="D53">
        <v>187</v>
      </c>
      <c r="E53">
        <v>50976</v>
      </c>
      <c r="F53">
        <v>1</v>
      </c>
      <c r="H53">
        <v>49</v>
      </c>
      <c r="I53" s="3" t="e">
        <f>AVERAGE(J53:XX53)</f>
        <v>#DIV/0!</v>
      </c>
    </row>
    <row r="54" spans="2:12" x14ac:dyDescent="0.3">
      <c r="B54" t="s">
        <v>70</v>
      </c>
      <c r="D54">
        <v>186</v>
      </c>
      <c r="E54">
        <v>47664</v>
      </c>
      <c r="F54">
        <v>1</v>
      </c>
      <c r="H54">
        <v>50</v>
      </c>
      <c r="I54" s="3" t="e">
        <f>AVERAGE(J54:XX54)</f>
        <v>#DIV/0!</v>
      </c>
    </row>
    <row r="55" spans="2:12" x14ac:dyDescent="0.3">
      <c r="B55" t="s">
        <v>71</v>
      </c>
      <c r="D55">
        <v>186</v>
      </c>
      <c r="E55">
        <v>55120</v>
      </c>
      <c r="F55">
        <v>1</v>
      </c>
      <c r="H55">
        <v>51</v>
      </c>
      <c r="I55" s="3">
        <f>AVERAGE(J55:XX55)</f>
        <v>0.49</v>
      </c>
      <c r="J55" s="3">
        <v>0.41</v>
      </c>
      <c r="K55" s="3">
        <v>0.56999999999999995</v>
      </c>
    </row>
    <row r="56" spans="2:12" x14ac:dyDescent="0.3">
      <c r="B56" t="s">
        <v>72</v>
      </c>
      <c r="D56">
        <v>188</v>
      </c>
      <c r="E56">
        <v>56560</v>
      </c>
      <c r="F56">
        <v>1</v>
      </c>
      <c r="H56">
        <v>52</v>
      </c>
      <c r="I56" s="3">
        <f>AVERAGE(J56:XX56)</f>
        <v>0.57999999999999996</v>
      </c>
      <c r="J56" s="3">
        <v>0.57999999999999996</v>
      </c>
    </row>
    <row r="57" spans="2:12" x14ac:dyDescent="0.3">
      <c r="B57" t="s">
        <v>73</v>
      </c>
      <c r="D57">
        <v>186</v>
      </c>
      <c r="E57">
        <v>45664</v>
      </c>
      <c r="F57">
        <v>1</v>
      </c>
      <c r="H57">
        <v>53</v>
      </c>
      <c r="I57" s="3" t="e">
        <f>AVERAGE(J57:XX57)</f>
        <v>#DIV/0!</v>
      </c>
    </row>
    <row r="58" spans="2:12" x14ac:dyDescent="0.3">
      <c r="B58" t="s">
        <v>74</v>
      </c>
      <c r="D58">
        <v>182</v>
      </c>
      <c r="E58">
        <v>36240</v>
      </c>
      <c r="F58">
        <v>1</v>
      </c>
      <c r="H58">
        <v>54</v>
      </c>
      <c r="I58" s="3" t="e">
        <f>AVERAGE(J58:XX58)</f>
        <v>#DIV/0!</v>
      </c>
    </row>
    <row r="59" spans="2:12" x14ac:dyDescent="0.3">
      <c r="B59" t="s">
        <v>75</v>
      </c>
      <c r="D59">
        <v>173</v>
      </c>
      <c r="E59">
        <v>28344</v>
      </c>
      <c r="F59">
        <v>1</v>
      </c>
      <c r="H59">
        <v>55</v>
      </c>
      <c r="I59" s="3">
        <f>AVERAGE(J59:XX59)</f>
        <v>0.37</v>
      </c>
      <c r="J59" s="3">
        <v>0.37</v>
      </c>
    </row>
    <row r="60" spans="2:12" x14ac:dyDescent="0.3">
      <c r="B60" t="s">
        <v>76</v>
      </c>
      <c r="D60">
        <v>160</v>
      </c>
      <c r="E60">
        <v>12876</v>
      </c>
      <c r="F60">
        <v>1</v>
      </c>
      <c r="H60">
        <v>56</v>
      </c>
      <c r="I60" s="3">
        <f>AVERAGE(J60:XX60)</f>
        <v>0.58666666666666656</v>
      </c>
      <c r="J60" s="3">
        <v>0.5</v>
      </c>
      <c r="K60" s="3">
        <v>0.43</v>
      </c>
      <c r="L60" s="3">
        <v>0.83</v>
      </c>
    </row>
    <row r="61" spans="2:12" x14ac:dyDescent="0.3">
      <c r="B61" t="s">
        <v>77</v>
      </c>
      <c r="D61">
        <v>163</v>
      </c>
      <c r="E61">
        <v>14192</v>
      </c>
      <c r="F61">
        <v>1</v>
      </c>
      <c r="H61">
        <v>57</v>
      </c>
      <c r="I61" s="3" t="e">
        <f>AVERAGE(J61:XX61)</f>
        <v>#DIV/0!</v>
      </c>
    </row>
    <row r="62" spans="2:12" x14ac:dyDescent="0.3">
      <c r="B62" t="s">
        <v>78</v>
      </c>
      <c r="D62">
        <v>157</v>
      </c>
      <c r="E62">
        <v>11380</v>
      </c>
      <c r="F62">
        <v>1</v>
      </c>
      <c r="H62">
        <v>58</v>
      </c>
      <c r="I62" s="3" t="e">
        <f>AVERAGE(J62:XX62)</f>
        <v>#DIV/0!</v>
      </c>
    </row>
    <row r="63" spans="2:12" x14ac:dyDescent="0.3">
      <c r="B63" t="s">
        <v>79</v>
      </c>
      <c r="D63">
        <v>148</v>
      </c>
      <c r="E63">
        <v>5528</v>
      </c>
      <c r="F63">
        <v>1</v>
      </c>
      <c r="H63">
        <v>59</v>
      </c>
      <c r="I63" s="3" t="e">
        <f>AVERAGE(J63:XX63)</f>
        <v>#DIV/0!</v>
      </c>
    </row>
    <row r="64" spans="2:12" x14ac:dyDescent="0.3">
      <c r="B64" t="s">
        <v>80</v>
      </c>
      <c r="D64">
        <v>145</v>
      </c>
      <c r="E64">
        <v>4548</v>
      </c>
      <c r="F64">
        <v>1</v>
      </c>
      <c r="H64">
        <v>60</v>
      </c>
      <c r="I64" s="3">
        <f>AVERAGE(J64:XX64)</f>
        <v>0.53</v>
      </c>
      <c r="J64" s="3">
        <v>0.53</v>
      </c>
      <c r="K64" s="3">
        <v>0.53</v>
      </c>
    </row>
    <row r="65" spans="2:14" x14ac:dyDescent="0.3">
      <c r="B65" t="s">
        <v>81</v>
      </c>
      <c r="D65">
        <v>149</v>
      </c>
      <c r="E65">
        <v>5892</v>
      </c>
      <c r="F65">
        <v>1</v>
      </c>
      <c r="H65">
        <v>61</v>
      </c>
      <c r="I65" s="3">
        <f>AVERAGE(J65:XX65)</f>
        <v>0.6</v>
      </c>
      <c r="J65" s="3">
        <v>0.76</v>
      </c>
      <c r="K65" s="3">
        <v>0.44</v>
      </c>
    </row>
    <row r="66" spans="2:14" x14ac:dyDescent="0.3">
      <c r="B66" t="s">
        <v>82</v>
      </c>
      <c r="D66">
        <v>147</v>
      </c>
      <c r="E66">
        <v>5160</v>
      </c>
      <c r="F66">
        <v>1</v>
      </c>
      <c r="H66">
        <v>62</v>
      </c>
      <c r="I66" s="3" t="e">
        <f>AVERAGE(J66:XX66)</f>
        <v>#DIV/0!</v>
      </c>
    </row>
    <row r="67" spans="2:14" x14ac:dyDescent="0.3">
      <c r="B67" t="s">
        <v>83</v>
      </c>
      <c r="D67">
        <v>141</v>
      </c>
      <c r="E67">
        <v>3686</v>
      </c>
      <c r="F67">
        <v>1</v>
      </c>
      <c r="H67">
        <v>63</v>
      </c>
      <c r="I67" s="3" t="e">
        <f>AVERAGE(J67:XX67)</f>
        <v>#DIV/0!</v>
      </c>
    </row>
    <row r="68" spans="2:14" x14ac:dyDescent="0.3">
      <c r="B68" t="s">
        <v>84</v>
      </c>
      <c r="D68">
        <v>131</v>
      </c>
      <c r="E68">
        <v>2475</v>
      </c>
      <c r="F68">
        <v>1</v>
      </c>
      <c r="H68">
        <v>64</v>
      </c>
      <c r="I68" s="3">
        <f>AVERAGE(J68:XX68)</f>
        <v>0.67</v>
      </c>
      <c r="J68" s="3">
        <v>0.67</v>
      </c>
    </row>
    <row r="69" spans="2:14" x14ac:dyDescent="0.3">
      <c r="B69" t="s">
        <v>85</v>
      </c>
      <c r="D69">
        <v>114</v>
      </c>
      <c r="E69">
        <v>874</v>
      </c>
      <c r="F69">
        <v>1</v>
      </c>
      <c r="H69">
        <v>65</v>
      </c>
      <c r="I69" s="3">
        <f>AVERAGE(J69:XX69)</f>
        <v>0.85</v>
      </c>
      <c r="J69" s="3">
        <v>0.85</v>
      </c>
    </row>
    <row r="70" spans="2:14" x14ac:dyDescent="0.3">
      <c r="B70" t="s">
        <v>86</v>
      </c>
      <c r="D70">
        <v>110</v>
      </c>
      <c r="E70">
        <v>747</v>
      </c>
      <c r="F70">
        <v>1</v>
      </c>
      <c r="H70">
        <v>66</v>
      </c>
      <c r="I70" s="3">
        <f>AVERAGE(J70:XX70)</f>
        <v>0.73</v>
      </c>
      <c r="J70" s="3">
        <v>0.73</v>
      </c>
    </row>
    <row r="71" spans="2:14" x14ac:dyDescent="0.3">
      <c r="B71" t="s">
        <v>87</v>
      </c>
      <c r="D71">
        <v>94</v>
      </c>
      <c r="E71">
        <v>295</v>
      </c>
      <c r="F71">
        <v>1</v>
      </c>
      <c r="H71">
        <v>67</v>
      </c>
      <c r="I71" s="3" t="e">
        <f>AVERAGE(J71:XX71)</f>
        <v>#DIV/0!</v>
      </c>
    </row>
    <row r="72" spans="2:14" x14ac:dyDescent="0.3">
      <c r="B72" t="s">
        <v>88</v>
      </c>
      <c r="D72">
        <v>76</v>
      </c>
      <c r="E72">
        <v>115</v>
      </c>
      <c r="F72">
        <v>1</v>
      </c>
      <c r="H72">
        <v>68</v>
      </c>
      <c r="I72" s="3" t="e">
        <f>AVERAGE(J72:XX72)</f>
        <v>#DIV/0!</v>
      </c>
    </row>
    <row r="73" spans="2:14" x14ac:dyDescent="0.3">
      <c r="B73" t="s">
        <v>89</v>
      </c>
      <c r="D73">
        <v>38</v>
      </c>
      <c r="E73">
        <v>54</v>
      </c>
      <c r="F73">
        <v>1</v>
      </c>
      <c r="H73">
        <v>69</v>
      </c>
      <c r="I73" s="3" t="e">
        <f>AVERAGE(J73:XX73)</f>
        <v>#DIV/0!</v>
      </c>
    </row>
    <row r="74" spans="2:14" x14ac:dyDescent="0.3">
      <c r="B74" t="s">
        <v>90</v>
      </c>
      <c r="D74">
        <v>18</v>
      </c>
      <c r="E74">
        <v>19</v>
      </c>
      <c r="F74">
        <v>1</v>
      </c>
      <c r="H74">
        <v>70</v>
      </c>
      <c r="I74" s="3" t="e">
        <f>AVERAGE(J74:XX74)</f>
        <v>#DIV/0!</v>
      </c>
    </row>
    <row r="75" spans="2:14" x14ac:dyDescent="0.3">
      <c r="B75" t="s">
        <v>16</v>
      </c>
      <c r="D75">
        <v>7</v>
      </c>
      <c r="E75">
        <v>7</v>
      </c>
      <c r="F75">
        <v>1</v>
      </c>
      <c r="H75">
        <v>71</v>
      </c>
      <c r="I75" s="3" t="e">
        <f>AVERAGE(J75:XX75)</f>
        <v>#DIV/0!</v>
      </c>
    </row>
    <row r="76" spans="2:14" x14ac:dyDescent="0.3">
      <c r="B76" t="s">
        <v>17</v>
      </c>
      <c r="D76">
        <v>2</v>
      </c>
      <c r="E76">
        <v>1</v>
      </c>
      <c r="F76">
        <v>1</v>
      </c>
      <c r="H76">
        <v>72</v>
      </c>
      <c r="I76" s="3" t="e">
        <f>AVERAGE(J76:XX76)</f>
        <v>#DIV/0!</v>
      </c>
    </row>
    <row r="77" spans="2:14" x14ac:dyDescent="0.3">
      <c r="B77" t="s">
        <v>18</v>
      </c>
      <c r="D77">
        <v>1</v>
      </c>
      <c r="E77">
        <v>0</v>
      </c>
      <c r="F77">
        <v>1</v>
      </c>
      <c r="H77">
        <v>73</v>
      </c>
      <c r="I77" s="3">
        <f>AVERAGE(J77:XX77)</f>
        <v>0.88</v>
      </c>
      <c r="J77" s="3">
        <v>0.88</v>
      </c>
    </row>
    <row r="78" spans="2:14" x14ac:dyDescent="0.3">
      <c r="B78" t="s">
        <v>18</v>
      </c>
      <c r="D78">
        <v>1</v>
      </c>
      <c r="E78">
        <v>0</v>
      </c>
      <c r="F78">
        <v>1</v>
      </c>
      <c r="H78">
        <v>74</v>
      </c>
      <c r="I78" s="3" t="e">
        <f>AVERAGE(J78:XX78)</f>
        <v>#DIV/0!</v>
      </c>
    </row>
    <row r="79" spans="2:14" x14ac:dyDescent="0.3">
      <c r="B79" t="s">
        <v>11</v>
      </c>
      <c r="D79">
        <v>0</v>
      </c>
      <c r="E79">
        <v>0</v>
      </c>
      <c r="F79">
        <v>1</v>
      </c>
      <c r="H79">
        <v>75</v>
      </c>
      <c r="I79" s="3">
        <f>AVERAGE(J79:XX79)</f>
        <v>0.96199999999999997</v>
      </c>
      <c r="J79" s="3">
        <v>0.72</v>
      </c>
      <c r="K79" s="3">
        <v>1.76</v>
      </c>
      <c r="L79" s="3">
        <v>0.77</v>
      </c>
      <c r="M79" s="3">
        <v>0.8</v>
      </c>
      <c r="N79" s="3">
        <v>0.76</v>
      </c>
    </row>
    <row r="80" spans="2:14" x14ac:dyDescent="0.3">
      <c r="B80" t="s">
        <v>11</v>
      </c>
      <c r="D80">
        <v>0</v>
      </c>
      <c r="E80">
        <v>0</v>
      </c>
      <c r="F80">
        <v>1</v>
      </c>
      <c r="H80">
        <v>76</v>
      </c>
      <c r="I80" s="3">
        <f>AVERAGE(J80:XX80)</f>
        <v>1.1299999999999999</v>
      </c>
      <c r="J80" s="3">
        <v>1.1499999999999999</v>
      </c>
      <c r="K80" s="3">
        <v>1.77</v>
      </c>
      <c r="L80" s="3">
        <v>0.75</v>
      </c>
      <c r="M80" s="3">
        <v>0.76</v>
      </c>
      <c r="N80" s="3">
        <v>1.22</v>
      </c>
    </row>
    <row r="81" spans="2:16" x14ac:dyDescent="0.3">
      <c r="B81" t="s">
        <v>11</v>
      </c>
      <c r="D81">
        <v>0</v>
      </c>
      <c r="E81">
        <v>0</v>
      </c>
      <c r="F81">
        <v>1</v>
      </c>
      <c r="H81">
        <v>77</v>
      </c>
      <c r="I81" s="3">
        <f>AVERAGE(J81:XX81)</f>
        <v>1.1500000000000001</v>
      </c>
      <c r="J81" s="3">
        <v>1.48</v>
      </c>
      <c r="K81" s="3">
        <v>0.81</v>
      </c>
      <c r="L81" s="3">
        <v>1.1599999999999999</v>
      </c>
    </row>
    <row r="82" spans="2:16" x14ac:dyDescent="0.3">
      <c r="B82" t="s">
        <v>11</v>
      </c>
      <c r="D82">
        <v>0</v>
      </c>
      <c r="E82">
        <v>0</v>
      </c>
      <c r="F82">
        <v>1</v>
      </c>
      <c r="H82">
        <v>78</v>
      </c>
      <c r="I82" s="3">
        <f>AVERAGE(J82:XX82)</f>
        <v>0.90500000000000003</v>
      </c>
      <c r="J82" s="3">
        <v>0.71</v>
      </c>
      <c r="K82" s="3">
        <v>1.1000000000000001</v>
      </c>
    </row>
    <row r="83" spans="2:16" x14ac:dyDescent="0.3">
      <c r="B83" t="s">
        <v>11</v>
      </c>
      <c r="D83">
        <v>0</v>
      </c>
      <c r="E83">
        <v>0</v>
      </c>
      <c r="F83">
        <v>1</v>
      </c>
      <c r="H83">
        <v>79</v>
      </c>
      <c r="I83" s="3">
        <f>AVERAGE(J83:XX83)</f>
        <v>0.91999999999999993</v>
      </c>
      <c r="J83" s="3">
        <v>0.84</v>
      </c>
      <c r="K83" s="3">
        <v>1</v>
      </c>
    </row>
    <row r="84" spans="2:16" x14ac:dyDescent="0.3">
      <c r="B84" t="s">
        <v>11</v>
      </c>
      <c r="D84">
        <v>0</v>
      </c>
      <c r="E84">
        <v>0</v>
      </c>
      <c r="F84">
        <v>1</v>
      </c>
      <c r="H84">
        <v>80</v>
      </c>
      <c r="I84" s="3">
        <f>AVERAGE(J84:XX84)</f>
        <v>0.94333333333333325</v>
      </c>
      <c r="J84" s="3">
        <v>1.07</v>
      </c>
      <c r="K84" s="3">
        <v>0.94</v>
      </c>
      <c r="L84" s="3">
        <v>0.82</v>
      </c>
    </row>
    <row r="85" spans="2:16" x14ac:dyDescent="0.3">
      <c r="B85" t="s">
        <v>91</v>
      </c>
      <c r="D85">
        <v>0</v>
      </c>
      <c r="E85">
        <v>28</v>
      </c>
      <c r="F85">
        <v>1</v>
      </c>
      <c r="H85">
        <v>81</v>
      </c>
      <c r="I85" s="3">
        <f>AVERAGE(J85:XX85)</f>
        <v>1</v>
      </c>
      <c r="J85" s="3">
        <v>0.93</v>
      </c>
      <c r="K85" s="3">
        <v>1.07</v>
      </c>
    </row>
    <row r="86" spans="2:16" x14ac:dyDescent="0.3">
      <c r="B86" t="s">
        <v>11</v>
      </c>
      <c r="D86">
        <v>0</v>
      </c>
      <c r="E86">
        <v>0</v>
      </c>
      <c r="F86">
        <v>1</v>
      </c>
      <c r="H86">
        <v>82</v>
      </c>
      <c r="I86" s="3" t="e">
        <f>AVERAGE(J86:XX86)</f>
        <v>#DIV/0!</v>
      </c>
    </row>
    <row r="87" spans="2:16" x14ac:dyDescent="0.3">
      <c r="B87" t="s">
        <v>11</v>
      </c>
      <c r="D87">
        <v>0</v>
      </c>
      <c r="E87">
        <v>0</v>
      </c>
      <c r="F87">
        <v>1</v>
      </c>
      <c r="H87">
        <v>83</v>
      </c>
      <c r="I87" s="3">
        <f>AVERAGE(J87:XX87)</f>
        <v>1.2774999999999999</v>
      </c>
      <c r="J87" s="3">
        <v>0.85</v>
      </c>
      <c r="K87" s="3">
        <v>1.64</v>
      </c>
      <c r="L87" s="3">
        <v>1.04</v>
      </c>
      <c r="M87" s="3">
        <v>1.58</v>
      </c>
    </row>
    <row r="88" spans="2:16" x14ac:dyDescent="0.3">
      <c r="B88" t="s">
        <v>11</v>
      </c>
      <c r="D88">
        <v>0</v>
      </c>
      <c r="E88">
        <v>0</v>
      </c>
      <c r="F88">
        <v>1</v>
      </c>
      <c r="H88">
        <v>84</v>
      </c>
      <c r="I88" s="3">
        <f>AVERAGE(J88:XX88)</f>
        <v>1.2725</v>
      </c>
      <c r="J88" s="3">
        <v>1.1299999999999999</v>
      </c>
      <c r="K88" s="3">
        <v>1.26</v>
      </c>
      <c r="L88" s="3">
        <v>1.41</v>
      </c>
      <c r="M88" s="3">
        <v>1.29</v>
      </c>
    </row>
    <row r="89" spans="2:16" x14ac:dyDescent="0.3">
      <c r="B89" t="s">
        <v>11</v>
      </c>
      <c r="D89">
        <v>0</v>
      </c>
      <c r="E89">
        <v>0</v>
      </c>
      <c r="F89">
        <v>1</v>
      </c>
      <c r="H89">
        <v>85</v>
      </c>
      <c r="I89" s="3">
        <f>AVERAGE(J89:XX89)</f>
        <v>1.665</v>
      </c>
      <c r="J89" s="3">
        <v>1.44</v>
      </c>
      <c r="K89" s="3">
        <v>1.89</v>
      </c>
    </row>
    <row r="90" spans="2:16" x14ac:dyDescent="0.3">
      <c r="B90" t="s">
        <v>11</v>
      </c>
      <c r="D90">
        <v>0</v>
      </c>
      <c r="E90">
        <v>0</v>
      </c>
      <c r="F90">
        <v>1</v>
      </c>
      <c r="H90">
        <v>86</v>
      </c>
      <c r="I90" s="3">
        <f>AVERAGE(J90:XX90)</f>
        <v>1.43</v>
      </c>
      <c r="J90" s="3">
        <v>1.43</v>
      </c>
    </row>
    <row r="91" spans="2:16" x14ac:dyDescent="0.3">
      <c r="B91" t="s">
        <v>11</v>
      </c>
      <c r="D91">
        <v>0</v>
      </c>
      <c r="E91">
        <v>0</v>
      </c>
      <c r="F91">
        <v>1</v>
      </c>
      <c r="H91">
        <v>87</v>
      </c>
      <c r="I91" s="3">
        <f>AVERAGE(J91:XX91)</f>
        <v>2.11</v>
      </c>
      <c r="J91" s="3">
        <v>2.11</v>
      </c>
    </row>
    <row r="92" spans="2:16" x14ac:dyDescent="0.3">
      <c r="B92" t="s">
        <v>11</v>
      </c>
      <c r="D92">
        <v>0</v>
      </c>
      <c r="E92">
        <v>0</v>
      </c>
      <c r="F92">
        <v>1</v>
      </c>
      <c r="H92">
        <v>88</v>
      </c>
      <c r="I92" s="3">
        <f>AVERAGE(J92:XX92)</f>
        <v>1.8333333333333333</v>
      </c>
      <c r="J92" s="3">
        <v>1.94</v>
      </c>
      <c r="K92" s="3">
        <v>1.71</v>
      </c>
      <c r="L92" s="3">
        <v>1.85</v>
      </c>
    </row>
    <row r="93" spans="2:16" x14ac:dyDescent="0.3">
      <c r="B93" t="s">
        <v>11</v>
      </c>
      <c r="D93">
        <v>0</v>
      </c>
      <c r="E93">
        <v>0</v>
      </c>
      <c r="F93">
        <v>1</v>
      </c>
      <c r="H93">
        <v>89</v>
      </c>
      <c r="I93" s="3">
        <f>AVERAGE(J93:XX93)</f>
        <v>1.7549999999999999</v>
      </c>
      <c r="J93" s="3">
        <v>1.73</v>
      </c>
      <c r="K93" s="3">
        <v>1.78</v>
      </c>
    </row>
    <row r="94" spans="2:16" x14ac:dyDescent="0.3">
      <c r="B94" t="s">
        <v>11</v>
      </c>
      <c r="D94">
        <v>0</v>
      </c>
      <c r="E94">
        <v>0</v>
      </c>
      <c r="F94">
        <v>1</v>
      </c>
      <c r="H94">
        <v>90</v>
      </c>
      <c r="I94" s="3">
        <f>AVERAGE(J94:XX94)</f>
        <v>2.4249999999999998</v>
      </c>
      <c r="J94" s="3">
        <v>1.52</v>
      </c>
      <c r="K94" s="3">
        <v>3.33</v>
      </c>
    </row>
    <row r="95" spans="2:16" x14ac:dyDescent="0.3">
      <c r="B95" t="s">
        <v>11</v>
      </c>
      <c r="D95">
        <v>0</v>
      </c>
      <c r="E95">
        <v>0</v>
      </c>
      <c r="F95">
        <v>1</v>
      </c>
      <c r="H95">
        <v>91</v>
      </c>
      <c r="I95" s="3">
        <f>AVERAGE(J95:XX95)</f>
        <v>1.9849999999999999</v>
      </c>
      <c r="J95" s="3">
        <v>2.02</v>
      </c>
      <c r="K95" s="3">
        <v>1.95</v>
      </c>
    </row>
    <row r="96" spans="2:16" x14ac:dyDescent="0.3">
      <c r="B96" t="s">
        <v>11</v>
      </c>
      <c r="D96">
        <v>0</v>
      </c>
      <c r="E96">
        <v>0</v>
      </c>
      <c r="F96">
        <v>1</v>
      </c>
      <c r="H96">
        <v>92</v>
      </c>
      <c r="I96" s="3">
        <f>AVERAGE(J96:XX96)</f>
        <v>1.9471428571428571</v>
      </c>
      <c r="J96" s="3">
        <v>3.94</v>
      </c>
      <c r="K96" s="3">
        <v>1.59</v>
      </c>
      <c r="L96" s="3">
        <v>1.92</v>
      </c>
      <c r="M96" s="3">
        <v>2.4700000000000002</v>
      </c>
      <c r="N96" s="3">
        <v>1.51</v>
      </c>
      <c r="O96" s="3">
        <v>2.2000000000000002</v>
      </c>
      <c r="P96" s="3">
        <v>0</v>
      </c>
    </row>
    <row r="97" spans="2:14" x14ac:dyDescent="0.3">
      <c r="B97" t="s">
        <v>11</v>
      </c>
      <c r="D97">
        <v>0</v>
      </c>
      <c r="E97">
        <v>0</v>
      </c>
      <c r="F97">
        <v>1</v>
      </c>
      <c r="H97">
        <v>93</v>
      </c>
      <c r="I97" s="3">
        <f>AVERAGE(J97:XX97)</f>
        <v>1.83</v>
      </c>
      <c r="J97" s="3">
        <v>1.84</v>
      </c>
      <c r="K97" s="3">
        <v>1.79</v>
      </c>
      <c r="L97" s="3">
        <v>1.86</v>
      </c>
    </row>
    <row r="98" spans="2:14" x14ac:dyDescent="0.3">
      <c r="B98" t="s">
        <v>11</v>
      </c>
      <c r="D98">
        <v>0</v>
      </c>
      <c r="E98">
        <v>0</v>
      </c>
      <c r="F98">
        <v>1</v>
      </c>
      <c r="H98">
        <v>94</v>
      </c>
      <c r="I98" s="3">
        <f>AVERAGE(J98:XX98)</f>
        <v>2.59</v>
      </c>
      <c r="J98" s="3">
        <v>2.95</v>
      </c>
      <c r="K98" s="3">
        <v>3.48</v>
      </c>
      <c r="L98" s="3">
        <v>1.81</v>
      </c>
      <c r="M98" s="3">
        <v>1.91</v>
      </c>
      <c r="N98" s="3">
        <v>2.8</v>
      </c>
    </row>
    <row r="99" spans="2:14" x14ac:dyDescent="0.3">
      <c r="B99" t="s">
        <v>11</v>
      </c>
      <c r="D99">
        <v>0</v>
      </c>
      <c r="E99">
        <v>0</v>
      </c>
      <c r="F99">
        <v>1</v>
      </c>
      <c r="H99">
        <v>95</v>
      </c>
      <c r="I99" s="3">
        <f>AVERAGE(J99:XX99)</f>
        <v>2.9649999999999999</v>
      </c>
      <c r="J99" s="3">
        <v>2.96</v>
      </c>
      <c r="K99" s="3">
        <v>2.97</v>
      </c>
    </row>
    <row r="100" spans="2:14" x14ac:dyDescent="0.3">
      <c r="B100" t="s">
        <v>11</v>
      </c>
      <c r="D100">
        <v>0</v>
      </c>
      <c r="E100">
        <v>0</v>
      </c>
      <c r="F100">
        <v>1</v>
      </c>
      <c r="H100">
        <v>96</v>
      </c>
      <c r="I100" s="3">
        <f>AVERAGE(J100:XX100)</f>
        <v>2.12</v>
      </c>
      <c r="J100" s="3">
        <v>2.12</v>
      </c>
    </row>
    <row r="101" spans="2:14" x14ac:dyDescent="0.3">
      <c r="B101" t="s">
        <v>11</v>
      </c>
      <c r="D101">
        <v>0</v>
      </c>
      <c r="E101">
        <v>0</v>
      </c>
      <c r="F101">
        <v>1</v>
      </c>
      <c r="H101">
        <v>97</v>
      </c>
      <c r="I101" s="3">
        <f>AVERAGE(J101:XX101)</f>
        <v>2.7075</v>
      </c>
      <c r="J101" s="3">
        <v>2.79</v>
      </c>
      <c r="K101" s="3">
        <v>2.8</v>
      </c>
      <c r="L101" s="3">
        <v>2.76</v>
      </c>
      <c r="M101" s="3">
        <v>2.48</v>
      </c>
    </row>
    <row r="102" spans="2:14" x14ac:dyDescent="0.3">
      <c r="B102" t="s">
        <v>11</v>
      </c>
      <c r="D102">
        <v>0</v>
      </c>
      <c r="E102">
        <v>0</v>
      </c>
      <c r="F102">
        <v>1</v>
      </c>
      <c r="H102">
        <v>98</v>
      </c>
      <c r="I102" s="3">
        <f>AVERAGE(J102:XX102)</f>
        <v>2.23</v>
      </c>
      <c r="J102" s="3">
        <v>2.42</v>
      </c>
      <c r="K102" s="3">
        <v>2.04</v>
      </c>
    </row>
    <row r="103" spans="2:14" x14ac:dyDescent="0.3">
      <c r="B103" t="s">
        <v>11</v>
      </c>
      <c r="D103">
        <v>0</v>
      </c>
      <c r="E103">
        <v>0</v>
      </c>
      <c r="F103">
        <v>1</v>
      </c>
      <c r="H103">
        <v>99</v>
      </c>
      <c r="I103" s="3">
        <f>AVERAGE(J103:XX103)</f>
        <v>2.7966666666666669</v>
      </c>
      <c r="J103" s="3">
        <v>2.52</v>
      </c>
      <c r="K103" s="3">
        <v>2.39</v>
      </c>
      <c r="L103" s="3">
        <v>3.48</v>
      </c>
    </row>
    <row r="104" spans="2:14" x14ac:dyDescent="0.3">
      <c r="B104" t="s">
        <v>11</v>
      </c>
      <c r="D104">
        <v>0</v>
      </c>
      <c r="E104">
        <v>0</v>
      </c>
      <c r="F104">
        <v>1</v>
      </c>
      <c r="H104">
        <v>100</v>
      </c>
      <c r="I104" s="3">
        <f>AVERAGE(J104:XX104)</f>
        <v>4.168000000000001</v>
      </c>
      <c r="J104" s="3">
        <v>3.79</v>
      </c>
      <c r="K104" s="3">
        <v>3.2</v>
      </c>
      <c r="L104" s="3">
        <v>2.99</v>
      </c>
      <c r="M104" s="3">
        <v>7.83</v>
      </c>
      <c r="N104" s="3">
        <v>3.03</v>
      </c>
    </row>
    <row r="105" spans="2:14" x14ac:dyDescent="0.3">
      <c r="B105" t="s">
        <v>11</v>
      </c>
      <c r="D105">
        <v>0</v>
      </c>
      <c r="E105">
        <v>0</v>
      </c>
      <c r="F105">
        <v>1</v>
      </c>
      <c r="H105">
        <v>101</v>
      </c>
      <c r="I105" s="3">
        <f>AVERAGE(J105:XX105)</f>
        <v>2.64</v>
      </c>
      <c r="J105" s="3">
        <v>2.64</v>
      </c>
    </row>
    <row r="106" spans="2:14" x14ac:dyDescent="0.3">
      <c r="B106" t="s">
        <v>11</v>
      </c>
      <c r="D106">
        <v>0</v>
      </c>
      <c r="E106">
        <v>0</v>
      </c>
      <c r="F106">
        <v>1</v>
      </c>
      <c r="H106">
        <v>102</v>
      </c>
      <c r="I106" s="3">
        <f>AVERAGE(J106:XX106)</f>
        <v>3.3566666666666669</v>
      </c>
      <c r="J106" s="3">
        <v>2.97</v>
      </c>
      <c r="K106" s="3">
        <v>0</v>
      </c>
      <c r="L106" s="3">
        <v>7.1</v>
      </c>
    </row>
    <row r="107" spans="2:14" x14ac:dyDescent="0.3">
      <c r="B107" t="s">
        <v>11</v>
      </c>
      <c r="D107">
        <v>0</v>
      </c>
      <c r="E107">
        <v>0</v>
      </c>
      <c r="F107">
        <v>1</v>
      </c>
      <c r="H107">
        <v>103</v>
      </c>
      <c r="I107" s="3">
        <f>AVERAGE(J107:XX107)</f>
        <v>4.3099999999999996</v>
      </c>
      <c r="J107" s="3">
        <v>7.12</v>
      </c>
      <c r="K107" s="3">
        <v>3.49</v>
      </c>
      <c r="L107" s="3">
        <v>3.37</v>
      </c>
      <c r="M107" s="3">
        <v>2.72</v>
      </c>
      <c r="N107" s="3">
        <v>4.8499999999999996</v>
      </c>
    </row>
    <row r="108" spans="2:14" x14ac:dyDescent="0.3">
      <c r="B108" t="s">
        <v>11</v>
      </c>
      <c r="D108">
        <v>0</v>
      </c>
      <c r="E108">
        <v>0</v>
      </c>
      <c r="F108">
        <v>1</v>
      </c>
      <c r="H108">
        <v>104</v>
      </c>
      <c r="I108" s="3">
        <f>AVERAGE(J108:XX108)</f>
        <v>3.3600000000000003</v>
      </c>
      <c r="J108" s="3">
        <v>3.27</v>
      </c>
      <c r="K108" s="3">
        <v>3.45</v>
      </c>
    </row>
    <row r="109" spans="2:14" x14ac:dyDescent="0.3">
      <c r="B109" t="s">
        <v>11</v>
      </c>
      <c r="D109">
        <v>0</v>
      </c>
      <c r="E109">
        <v>0</v>
      </c>
      <c r="F109">
        <v>1</v>
      </c>
      <c r="H109">
        <v>105</v>
      </c>
      <c r="I109" s="3">
        <f>AVERAGE(J109:XX109)</f>
        <v>4.3</v>
      </c>
      <c r="J109" s="3">
        <v>4.6399999999999997</v>
      </c>
      <c r="K109" s="3">
        <v>3.96</v>
      </c>
    </row>
    <row r="110" spans="2:14" x14ac:dyDescent="0.3">
      <c r="B110" t="s">
        <v>11</v>
      </c>
      <c r="D110">
        <v>0</v>
      </c>
      <c r="E110">
        <v>0</v>
      </c>
      <c r="F110">
        <v>1</v>
      </c>
      <c r="H110">
        <v>106</v>
      </c>
      <c r="I110" s="3">
        <f>AVERAGE(J110:XX110)</f>
        <v>4.9375</v>
      </c>
      <c r="J110" s="3">
        <v>3.59</v>
      </c>
      <c r="K110" s="3">
        <v>4.12</v>
      </c>
      <c r="L110" s="3">
        <v>4.17</v>
      </c>
      <c r="M110" s="3">
        <v>7.87</v>
      </c>
    </row>
    <row r="111" spans="2:14" x14ac:dyDescent="0.3">
      <c r="B111" t="s">
        <v>11</v>
      </c>
      <c r="D111">
        <v>0</v>
      </c>
      <c r="E111">
        <v>0</v>
      </c>
      <c r="F111">
        <v>1</v>
      </c>
      <c r="H111">
        <v>107</v>
      </c>
      <c r="I111" s="3">
        <f>AVERAGE(J111:XX111)</f>
        <v>4.125</v>
      </c>
      <c r="J111" s="3">
        <v>4.72</v>
      </c>
      <c r="K111" s="3">
        <v>4.05</v>
      </c>
      <c r="L111" s="3">
        <v>3.74</v>
      </c>
      <c r="M111" s="3">
        <v>3.99</v>
      </c>
    </row>
    <row r="112" spans="2:14" x14ac:dyDescent="0.3">
      <c r="B112" t="s">
        <v>11</v>
      </c>
      <c r="D112">
        <v>0</v>
      </c>
      <c r="E112">
        <v>0</v>
      </c>
      <c r="F112">
        <v>1</v>
      </c>
      <c r="H112">
        <v>108</v>
      </c>
      <c r="I112" s="3">
        <f>AVERAGE(J112:XX112)</f>
        <v>5.18</v>
      </c>
      <c r="J112" s="3">
        <v>4.8</v>
      </c>
      <c r="K112" s="3">
        <v>3.92</v>
      </c>
      <c r="L112" s="3">
        <v>8.58</v>
      </c>
      <c r="M112" s="3">
        <v>4.1900000000000004</v>
      </c>
      <c r="N112" s="3">
        <v>4.41</v>
      </c>
    </row>
    <row r="113" spans="2:40" x14ac:dyDescent="0.3">
      <c r="B113" t="s">
        <v>11</v>
      </c>
      <c r="D113">
        <v>0</v>
      </c>
      <c r="E113">
        <v>0</v>
      </c>
      <c r="F113">
        <v>1</v>
      </c>
      <c r="H113">
        <v>109</v>
      </c>
      <c r="I113" s="3">
        <f>AVERAGE(J113:XX113)</f>
        <v>6.0660000000000007</v>
      </c>
      <c r="J113" s="3">
        <v>5.07</v>
      </c>
      <c r="K113" s="3">
        <v>10</v>
      </c>
      <c r="L113" s="3">
        <v>6.38</v>
      </c>
      <c r="M113" s="3">
        <v>4.6500000000000004</v>
      </c>
      <c r="N113" s="3">
        <v>4.2300000000000004</v>
      </c>
    </row>
    <row r="114" spans="2:40" x14ac:dyDescent="0.3">
      <c r="B114" t="s">
        <v>91</v>
      </c>
      <c r="D114">
        <v>0</v>
      </c>
      <c r="E114">
        <v>28</v>
      </c>
      <c r="F114">
        <v>1</v>
      </c>
      <c r="H114">
        <v>110</v>
      </c>
      <c r="I114" s="3">
        <f>AVERAGE(J114:XX114)</f>
        <v>5.1733333333333338</v>
      </c>
      <c r="J114" s="3">
        <v>7.47</v>
      </c>
      <c r="K114" s="3">
        <v>4.3</v>
      </c>
      <c r="L114" s="3">
        <v>4.78</v>
      </c>
      <c r="M114" s="3">
        <v>4.8</v>
      </c>
      <c r="N114" s="3">
        <v>4.71</v>
      </c>
      <c r="O114" s="3">
        <v>4.9800000000000004</v>
      </c>
    </row>
    <row r="115" spans="2:40" x14ac:dyDescent="0.3">
      <c r="B115" t="s">
        <v>11</v>
      </c>
      <c r="D115">
        <v>0</v>
      </c>
      <c r="E115">
        <v>0</v>
      </c>
      <c r="F115">
        <v>1</v>
      </c>
      <c r="H115">
        <v>111</v>
      </c>
      <c r="I115" s="3">
        <f>AVERAGE(J115:XX115)</f>
        <v>5.07</v>
      </c>
      <c r="J115" s="3">
        <v>5.07</v>
      </c>
    </row>
    <row r="116" spans="2:40" x14ac:dyDescent="0.3">
      <c r="B116" t="s">
        <v>11</v>
      </c>
      <c r="D116">
        <v>0</v>
      </c>
      <c r="E116">
        <v>0</v>
      </c>
      <c r="F116">
        <v>1</v>
      </c>
      <c r="H116">
        <v>112</v>
      </c>
      <c r="I116" s="3">
        <f>AVERAGE(J116:XX116)</f>
        <v>6.0222222222222221</v>
      </c>
      <c r="J116" s="3">
        <v>8.49</v>
      </c>
      <c r="K116" s="3">
        <v>6.87</v>
      </c>
      <c r="L116" s="3">
        <v>6.1</v>
      </c>
      <c r="M116" s="3">
        <v>4.9800000000000004</v>
      </c>
      <c r="N116" s="3">
        <v>5.42</v>
      </c>
      <c r="O116" s="3">
        <v>5.97</v>
      </c>
      <c r="P116" s="3">
        <v>6.4</v>
      </c>
      <c r="Q116" s="3">
        <v>6.01</v>
      </c>
      <c r="R116" s="3">
        <v>3.96</v>
      </c>
    </row>
    <row r="117" spans="2:40" x14ac:dyDescent="0.3">
      <c r="B117" t="s">
        <v>11</v>
      </c>
      <c r="D117">
        <v>0</v>
      </c>
      <c r="E117">
        <v>0</v>
      </c>
      <c r="F117">
        <v>1</v>
      </c>
      <c r="H117">
        <v>113</v>
      </c>
      <c r="I117" s="3">
        <f>AVERAGE(J117:XX117)</f>
        <v>5.7974999999999994</v>
      </c>
      <c r="J117" s="3">
        <v>7.09</v>
      </c>
      <c r="K117" s="3">
        <v>5.72</v>
      </c>
      <c r="L117" s="3">
        <v>5.53</v>
      </c>
      <c r="M117" s="3">
        <v>4.8499999999999996</v>
      </c>
    </row>
    <row r="118" spans="2:40" x14ac:dyDescent="0.3">
      <c r="B118" t="s">
        <v>11</v>
      </c>
      <c r="D118">
        <v>0</v>
      </c>
      <c r="E118">
        <v>0</v>
      </c>
      <c r="F118">
        <v>1</v>
      </c>
      <c r="H118">
        <v>114</v>
      </c>
      <c r="I118" s="3">
        <f>AVERAGE(J118:XX118)</f>
        <v>7.1566666666666672</v>
      </c>
      <c r="J118" s="3">
        <v>8.74</v>
      </c>
      <c r="K118" s="3">
        <v>5.54</v>
      </c>
      <c r="L118" s="3">
        <v>7.19</v>
      </c>
    </row>
    <row r="119" spans="2:40" x14ac:dyDescent="0.3">
      <c r="B119" t="s">
        <v>11</v>
      </c>
      <c r="D119">
        <v>0</v>
      </c>
      <c r="E119">
        <v>0</v>
      </c>
      <c r="F119">
        <v>1</v>
      </c>
      <c r="H119">
        <v>115</v>
      </c>
      <c r="I119" s="3">
        <f>AVERAGE(J119:XX119)</f>
        <v>7.24</v>
      </c>
      <c r="J119" s="3">
        <v>6.49</v>
      </c>
      <c r="K119" s="3">
        <v>7.99</v>
      </c>
    </row>
    <row r="120" spans="2:40" x14ac:dyDescent="0.3">
      <c r="B120" t="s">
        <v>11</v>
      </c>
      <c r="D120">
        <v>0</v>
      </c>
      <c r="E120">
        <v>0</v>
      </c>
      <c r="F120">
        <v>1</v>
      </c>
      <c r="H120">
        <v>116</v>
      </c>
      <c r="I120" s="3">
        <f>AVERAGE(J120:XX120)</f>
        <v>10.895</v>
      </c>
      <c r="J120" s="3">
        <v>14.41</v>
      </c>
      <c r="K120" s="3">
        <v>7.38</v>
      </c>
    </row>
    <row r="121" spans="2:40" x14ac:dyDescent="0.3">
      <c r="B121" t="s">
        <v>11</v>
      </c>
      <c r="D121">
        <v>0</v>
      </c>
      <c r="E121">
        <v>0</v>
      </c>
      <c r="F121">
        <v>1</v>
      </c>
      <c r="H121">
        <v>117</v>
      </c>
      <c r="I121" s="3">
        <f>AVERAGE(J121:XX121)</f>
        <v>8.0181249999999995</v>
      </c>
      <c r="J121" s="3">
        <v>6.72</v>
      </c>
      <c r="K121" s="3">
        <v>7.14</v>
      </c>
      <c r="L121" s="3">
        <v>9.17</v>
      </c>
      <c r="M121" s="3">
        <v>8.2100000000000009</v>
      </c>
      <c r="N121" s="3">
        <v>8.34</v>
      </c>
      <c r="O121" s="3">
        <v>8.11</v>
      </c>
      <c r="P121" s="3">
        <v>8.19</v>
      </c>
      <c r="Q121" s="3">
        <v>8.48</v>
      </c>
      <c r="R121" s="3">
        <v>6.38</v>
      </c>
      <c r="S121" s="3">
        <v>8.4600000000000009</v>
      </c>
      <c r="T121" s="3">
        <v>8.34</v>
      </c>
      <c r="U121" s="3">
        <v>7.95</v>
      </c>
      <c r="V121" s="3">
        <v>7.92</v>
      </c>
      <c r="W121" s="3">
        <v>8.1</v>
      </c>
      <c r="X121" s="3">
        <v>8.2899999999999991</v>
      </c>
      <c r="Y121" s="3">
        <v>8.49</v>
      </c>
    </row>
    <row r="122" spans="2:40" x14ac:dyDescent="0.3">
      <c r="B122" t="s">
        <v>11</v>
      </c>
      <c r="D122">
        <v>0</v>
      </c>
      <c r="E122">
        <v>0</v>
      </c>
      <c r="F122">
        <v>1</v>
      </c>
      <c r="H122">
        <v>118</v>
      </c>
      <c r="I122" s="3">
        <f>AVERAGE(J122:XX122)</f>
        <v>8.718</v>
      </c>
      <c r="J122" s="3">
        <v>7.67</v>
      </c>
      <c r="K122" s="3">
        <v>7.37</v>
      </c>
      <c r="L122" s="3">
        <v>10.88</v>
      </c>
      <c r="M122" s="3">
        <v>8.82</v>
      </c>
      <c r="N122" s="3">
        <v>8.85</v>
      </c>
    </row>
    <row r="123" spans="2:40" x14ac:dyDescent="0.3">
      <c r="B123" t="s">
        <v>11</v>
      </c>
      <c r="D123">
        <v>0</v>
      </c>
      <c r="E123">
        <v>0</v>
      </c>
      <c r="F123">
        <v>1</v>
      </c>
      <c r="H123">
        <v>119</v>
      </c>
      <c r="I123" s="3">
        <f>AVERAGE(J123:XX123)</f>
        <v>8.6300000000000008</v>
      </c>
      <c r="J123" s="3">
        <v>7.65</v>
      </c>
      <c r="K123" s="3">
        <v>8.23</v>
      </c>
      <c r="L123" s="3">
        <v>7.57</v>
      </c>
      <c r="M123" s="3">
        <v>9.26</v>
      </c>
      <c r="N123" s="3">
        <v>9.0500000000000007</v>
      </c>
      <c r="O123" s="3">
        <v>9.39</v>
      </c>
      <c r="P123" s="3">
        <v>8.69</v>
      </c>
      <c r="Q123" s="3">
        <v>9.1999999999999993</v>
      </c>
    </row>
    <row r="124" spans="2:40" x14ac:dyDescent="0.3">
      <c r="B124" t="s">
        <v>11</v>
      </c>
      <c r="D124">
        <v>0</v>
      </c>
      <c r="E124">
        <v>0</v>
      </c>
      <c r="F124">
        <v>1</v>
      </c>
      <c r="H124">
        <v>120</v>
      </c>
      <c r="I124" s="3">
        <f>AVERAGE(J124:XX124)</f>
        <v>10.555384615384614</v>
      </c>
      <c r="J124" s="3">
        <v>13.77</v>
      </c>
      <c r="K124" s="3">
        <v>9.3800000000000008</v>
      </c>
      <c r="L124" s="3">
        <v>7.75</v>
      </c>
      <c r="M124" s="3">
        <v>7.67</v>
      </c>
      <c r="N124" s="3">
        <v>14.18</v>
      </c>
      <c r="O124" s="3">
        <v>8.61</v>
      </c>
      <c r="P124" s="3">
        <v>8.8699999999999992</v>
      </c>
      <c r="Q124" s="3">
        <v>15.65</v>
      </c>
      <c r="R124" s="3">
        <v>10.69</v>
      </c>
      <c r="S124" s="3">
        <v>9.6999999999999993</v>
      </c>
      <c r="T124" s="3">
        <v>11.77</v>
      </c>
      <c r="U124" s="3">
        <v>9.66</v>
      </c>
      <c r="V124" s="3">
        <v>9.52</v>
      </c>
    </row>
    <row r="125" spans="2:40" x14ac:dyDescent="0.3">
      <c r="B125" t="s">
        <v>11</v>
      </c>
      <c r="D125">
        <v>0</v>
      </c>
      <c r="E125">
        <v>0</v>
      </c>
      <c r="F125">
        <v>1</v>
      </c>
      <c r="H125">
        <v>121</v>
      </c>
      <c r="I125" s="3">
        <f>AVERAGE(J125:XX125)</f>
        <v>10.14111111111111</v>
      </c>
      <c r="J125" s="3">
        <v>16.79</v>
      </c>
      <c r="K125" s="3">
        <v>9.85</v>
      </c>
      <c r="L125" s="3">
        <v>8.07</v>
      </c>
      <c r="M125" s="3">
        <v>8.07</v>
      </c>
      <c r="N125" s="3">
        <v>9.3000000000000007</v>
      </c>
      <c r="O125" s="3">
        <v>9.15</v>
      </c>
      <c r="P125" s="3">
        <v>10.15</v>
      </c>
      <c r="Q125" s="3">
        <v>10.02</v>
      </c>
      <c r="R125" s="3">
        <v>9.8699999999999992</v>
      </c>
    </row>
    <row r="126" spans="2:40" x14ac:dyDescent="0.3">
      <c r="B126" t="s">
        <v>11</v>
      </c>
      <c r="D126">
        <v>0</v>
      </c>
      <c r="E126">
        <v>0</v>
      </c>
      <c r="F126">
        <v>1</v>
      </c>
      <c r="H126">
        <v>122</v>
      </c>
      <c r="I126" s="3">
        <f>AVERAGE(J126:XX126)</f>
        <v>11.126666666666667</v>
      </c>
      <c r="J126" s="3">
        <v>13.34</v>
      </c>
      <c r="K126" s="3">
        <v>12.73</v>
      </c>
      <c r="L126" s="3">
        <v>10.95</v>
      </c>
      <c r="M126" s="3">
        <v>10.42</v>
      </c>
      <c r="N126" s="3">
        <v>10.26</v>
      </c>
      <c r="O126" s="3">
        <v>13.17</v>
      </c>
      <c r="P126" s="3">
        <v>9.1199999999999992</v>
      </c>
      <c r="Q126" s="3">
        <v>11.95</v>
      </c>
      <c r="R126" s="3">
        <v>12.21</v>
      </c>
      <c r="S126" s="3">
        <v>10.24</v>
      </c>
      <c r="T126" s="3">
        <v>10.44</v>
      </c>
      <c r="U126" s="3">
        <v>10.71</v>
      </c>
      <c r="V126" s="3">
        <v>10.130000000000001</v>
      </c>
      <c r="W126" s="3">
        <v>10.46</v>
      </c>
      <c r="X126" s="3">
        <v>10.77</v>
      </c>
    </row>
    <row r="127" spans="2:40" x14ac:dyDescent="0.3">
      <c r="B127" t="s">
        <v>11</v>
      </c>
      <c r="D127">
        <v>0</v>
      </c>
      <c r="E127">
        <v>0</v>
      </c>
      <c r="F127">
        <v>1</v>
      </c>
      <c r="H127">
        <v>123</v>
      </c>
      <c r="I127" s="3">
        <f>AVERAGE(J127:XX127)</f>
        <v>11.34064516129032</v>
      </c>
      <c r="J127" s="3">
        <v>9.98</v>
      </c>
      <c r="K127" s="3">
        <v>9.6300000000000008</v>
      </c>
      <c r="L127" s="3">
        <v>10.8</v>
      </c>
      <c r="M127" s="3">
        <v>10.98</v>
      </c>
      <c r="N127" s="3">
        <v>11.15</v>
      </c>
      <c r="O127" s="3">
        <v>11.23</v>
      </c>
      <c r="P127" s="3">
        <v>11.33</v>
      </c>
      <c r="Q127" s="3">
        <v>11.44</v>
      </c>
      <c r="R127" s="3">
        <v>11.49</v>
      </c>
      <c r="S127" s="3">
        <v>11.5</v>
      </c>
      <c r="T127" s="3">
        <v>11.46</v>
      </c>
      <c r="U127" s="3">
        <v>11.53</v>
      </c>
      <c r="V127" s="3">
        <v>11.6</v>
      </c>
      <c r="W127" s="3">
        <v>11.6</v>
      </c>
      <c r="X127" s="3">
        <v>11.58</v>
      </c>
      <c r="Y127" s="3">
        <v>11.6</v>
      </c>
      <c r="Z127" s="3">
        <v>11.59</v>
      </c>
      <c r="AA127" s="3">
        <v>11.63</v>
      </c>
      <c r="AB127" s="3">
        <v>11.66</v>
      </c>
      <c r="AC127" s="3">
        <v>11.62</v>
      </c>
      <c r="AD127" s="3">
        <v>9.5399999999999991</v>
      </c>
      <c r="AE127" s="3">
        <v>11.68</v>
      </c>
      <c r="AF127" s="3">
        <v>11.66</v>
      </c>
      <c r="AG127" s="3">
        <v>11.7</v>
      </c>
      <c r="AH127" s="3">
        <v>10.94</v>
      </c>
      <c r="AI127" s="3">
        <v>11.17</v>
      </c>
      <c r="AJ127" s="3">
        <v>11.3</v>
      </c>
      <c r="AK127" s="3">
        <v>13.39</v>
      </c>
      <c r="AL127" s="3">
        <v>11.58</v>
      </c>
      <c r="AM127" s="3">
        <v>11.59</v>
      </c>
      <c r="AN127" s="3">
        <v>11.61</v>
      </c>
    </row>
    <row r="128" spans="2:40" x14ac:dyDescent="0.3">
      <c r="B128" t="s">
        <v>11</v>
      </c>
      <c r="D128">
        <v>0</v>
      </c>
      <c r="E128">
        <v>0</v>
      </c>
      <c r="F128">
        <v>1</v>
      </c>
      <c r="H128">
        <v>124</v>
      </c>
      <c r="I128" s="3">
        <f>AVERAGE(J128:XX128)</f>
        <v>14.494444444444444</v>
      </c>
      <c r="J128" s="3">
        <v>15.44</v>
      </c>
      <c r="K128" s="3">
        <v>10.46</v>
      </c>
      <c r="L128" s="3">
        <v>10.08</v>
      </c>
      <c r="M128" s="3">
        <v>10.76</v>
      </c>
      <c r="N128" s="3">
        <v>10.67</v>
      </c>
      <c r="O128" s="3">
        <v>12.04</v>
      </c>
      <c r="P128" s="3">
        <v>37.75</v>
      </c>
      <c r="Q128" s="3">
        <v>12.02</v>
      </c>
      <c r="R128" s="3">
        <v>11.23</v>
      </c>
    </row>
    <row r="129" spans="2:29" x14ac:dyDescent="0.3">
      <c r="B129" t="s">
        <v>11</v>
      </c>
      <c r="D129">
        <v>0</v>
      </c>
      <c r="E129">
        <v>0</v>
      </c>
      <c r="F129">
        <v>1</v>
      </c>
      <c r="H129">
        <v>125</v>
      </c>
      <c r="I129" s="3">
        <f>AVERAGE(J129:XX129)</f>
        <v>12.887777777777778</v>
      </c>
      <c r="J129" s="3">
        <v>14.57</v>
      </c>
      <c r="K129" s="3">
        <v>10.39</v>
      </c>
      <c r="L129" s="3">
        <v>12.28</v>
      </c>
      <c r="M129" s="3">
        <v>12.29</v>
      </c>
      <c r="N129" s="3">
        <v>12.61</v>
      </c>
      <c r="O129" s="3">
        <v>13.52</v>
      </c>
      <c r="P129" s="3">
        <v>13.68</v>
      </c>
      <c r="Q129" s="3">
        <v>13.32</v>
      </c>
      <c r="R129" s="3">
        <v>13.33</v>
      </c>
    </row>
    <row r="130" spans="2:29" x14ac:dyDescent="0.3">
      <c r="B130" t="s">
        <v>11</v>
      </c>
      <c r="D130">
        <v>0</v>
      </c>
      <c r="E130">
        <v>0</v>
      </c>
      <c r="F130">
        <v>1</v>
      </c>
      <c r="H130">
        <v>126</v>
      </c>
      <c r="I130" s="3">
        <f>AVERAGE(J130:XX130)</f>
        <v>13.488</v>
      </c>
      <c r="J130" s="3">
        <v>12.07</v>
      </c>
      <c r="K130" s="3">
        <v>10.58</v>
      </c>
      <c r="L130" s="3">
        <v>13.5</v>
      </c>
      <c r="M130" s="3">
        <v>13.77</v>
      </c>
      <c r="N130" s="3">
        <v>14.54</v>
      </c>
      <c r="O130" s="3">
        <v>14.54</v>
      </c>
      <c r="P130" s="3">
        <v>13.15</v>
      </c>
      <c r="Q130" s="3">
        <v>14.72</v>
      </c>
      <c r="R130" s="3">
        <v>13.49</v>
      </c>
      <c r="S130" s="3">
        <v>14.52</v>
      </c>
    </row>
    <row r="131" spans="2:29" x14ac:dyDescent="0.3">
      <c r="B131" t="s">
        <v>11</v>
      </c>
      <c r="D131">
        <v>0</v>
      </c>
      <c r="E131">
        <v>0</v>
      </c>
      <c r="F131">
        <v>1</v>
      </c>
      <c r="H131">
        <v>127</v>
      </c>
      <c r="I131" s="3">
        <f>AVERAGE(J131:XX131)</f>
        <v>14.311666666666667</v>
      </c>
      <c r="J131" s="3">
        <v>12.29</v>
      </c>
      <c r="K131" s="3">
        <v>15.43</v>
      </c>
      <c r="L131" s="3">
        <v>14.54</v>
      </c>
      <c r="M131" s="3">
        <v>14.53</v>
      </c>
      <c r="N131" s="3">
        <v>14.52</v>
      </c>
      <c r="O131" s="3">
        <v>14.56</v>
      </c>
    </row>
    <row r="132" spans="2:29" x14ac:dyDescent="0.3">
      <c r="B132" t="s">
        <v>11</v>
      </c>
      <c r="D132">
        <v>0</v>
      </c>
      <c r="E132">
        <v>0</v>
      </c>
      <c r="F132">
        <v>1</v>
      </c>
      <c r="H132">
        <v>128</v>
      </c>
      <c r="I132" s="3">
        <f>AVERAGE(J132:XX132)</f>
        <v>18.628333333333334</v>
      </c>
      <c r="J132" s="3">
        <v>19.93</v>
      </c>
      <c r="K132" s="3">
        <v>15.55</v>
      </c>
      <c r="L132" s="3">
        <v>12.46</v>
      </c>
      <c r="M132" s="3">
        <v>12.34</v>
      </c>
      <c r="N132" s="3">
        <v>12.68</v>
      </c>
      <c r="O132" s="3">
        <v>38.81</v>
      </c>
    </row>
    <row r="133" spans="2:29" x14ac:dyDescent="0.3">
      <c r="B133" t="s">
        <v>11</v>
      </c>
      <c r="D133">
        <v>0</v>
      </c>
      <c r="E133">
        <v>0</v>
      </c>
      <c r="F133">
        <v>1</v>
      </c>
      <c r="H133">
        <v>129</v>
      </c>
      <c r="I133" s="3">
        <f>AVERAGE(J133:XX133)</f>
        <v>16.150000000000002</v>
      </c>
      <c r="J133" s="3">
        <v>18.850000000000001</v>
      </c>
      <c r="K133" s="3">
        <v>16.14</v>
      </c>
      <c r="L133" s="3">
        <v>13.46</v>
      </c>
    </row>
    <row r="134" spans="2:29" x14ac:dyDescent="0.3">
      <c r="B134" t="s">
        <v>11</v>
      </c>
      <c r="D134">
        <v>0</v>
      </c>
      <c r="E134">
        <v>0</v>
      </c>
      <c r="F134">
        <v>1</v>
      </c>
      <c r="H134">
        <v>130</v>
      </c>
      <c r="I134" s="3">
        <f>AVERAGE(J134:XX134)</f>
        <v>18.248571428571427</v>
      </c>
      <c r="J134" s="3">
        <v>17.7</v>
      </c>
      <c r="K134" s="3">
        <v>15.8</v>
      </c>
      <c r="L134" s="3">
        <v>15.47</v>
      </c>
      <c r="M134" s="3">
        <v>21.74</v>
      </c>
      <c r="N134" s="3">
        <v>21.24</v>
      </c>
      <c r="O134" s="3">
        <v>16.850000000000001</v>
      </c>
      <c r="P134" s="3">
        <v>18.940000000000001</v>
      </c>
    </row>
    <row r="135" spans="2:29" x14ac:dyDescent="0.3">
      <c r="B135" t="s">
        <v>11</v>
      </c>
      <c r="D135">
        <v>0</v>
      </c>
      <c r="E135">
        <v>0</v>
      </c>
      <c r="F135">
        <v>1</v>
      </c>
      <c r="H135">
        <v>131</v>
      </c>
      <c r="I135" s="3">
        <f>AVERAGE(J135:XX135)</f>
        <v>22.058</v>
      </c>
      <c r="J135" s="3">
        <v>24.75</v>
      </c>
      <c r="K135" s="3">
        <v>28.38</v>
      </c>
      <c r="L135" s="3">
        <v>19.510000000000002</v>
      </c>
      <c r="M135" s="3">
        <v>18.29</v>
      </c>
      <c r="N135" s="3">
        <v>19.36</v>
      </c>
    </row>
    <row r="136" spans="2:29" x14ac:dyDescent="0.3">
      <c r="B136" t="s">
        <v>11</v>
      </c>
      <c r="D136">
        <v>0</v>
      </c>
      <c r="E136">
        <v>0</v>
      </c>
      <c r="F136">
        <v>1</v>
      </c>
      <c r="H136">
        <v>132</v>
      </c>
      <c r="I136" s="3">
        <f>AVERAGE(J136:XX136)</f>
        <v>21.246666666666666</v>
      </c>
      <c r="J136" s="3">
        <v>23.38</v>
      </c>
      <c r="K136" s="3">
        <v>15.93</v>
      </c>
      <c r="L136" s="3">
        <v>24.43</v>
      </c>
    </row>
    <row r="137" spans="2:29" x14ac:dyDescent="0.3">
      <c r="B137" t="s">
        <v>11</v>
      </c>
      <c r="D137">
        <v>0</v>
      </c>
      <c r="E137">
        <v>0</v>
      </c>
      <c r="F137">
        <v>1</v>
      </c>
      <c r="H137">
        <v>133</v>
      </c>
      <c r="I137" s="3">
        <f>AVERAGE(J137:XX137)</f>
        <v>18.844999999999999</v>
      </c>
      <c r="J137" s="3">
        <v>18.579999999999998</v>
      </c>
      <c r="K137" s="3">
        <v>19.11</v>
      </c>
    </row>
    <row r="138" spans="2:29" x14ac:dyDescent="0.3">
      <c r="B138" t="s">
        <v>11</v>
      </c>
      <c r="D138">
        <v>0</v>
      </c>
      <c r="E138">
        <v>0</v>
      </c>
      <c r="F138">
        <v>1</v>
      </c>
      <c r="H138">
        <v>134</v>
      </c>
      <c r="I138" s="3">
        <f>AVERAGE(J138:XX138)</f>
        <v>20.052727272727275</v>
      </c>
      <c r="J138" s="3">
        <v>22.09</v>
      </c>
      <c r="K138" s="3">
        <v>22.07</v>
      </c>
      <c r="L138" s="3">
        <v>17.46</v>
      </c>
      <c r="M138" s="3">
        <v>18.23</v>
      </c>
      <c r="N138" s="3">
        <v>19.45</v>
      </c>
      <c r="O138" s="3">
        <v>18.52</v>
      </c>
      <c r="P138" s="3">
        <v>20.54</v>
      </c>
      <c r="Q138" s="3">
        <v>19.14</v>
      </c>
      <c r="R138" s="3">
        <v>21.02</v>
      </c>
      <c r="S138" s="3">
        <v>21.47</v>
      </c>
      <c r="T138" s="3">
        <v>20.59</v>
      </c>
    </row>
    <row r="139" spans="2:29" x14ac:dyDescent="0.3">
      <c r="B139" t="s">
        <v>11</v>
      </c>
      <c r="D139">
        <v>0</v>
      </c>
      <c r="E139">
        <v>0</v>
      </c>
      <c r="F139">
        <v>1</v>
      </c>
      <c r="H139">
        <v>135</v>
      </c>
      <c r="I139" s="3">
        <f>AVERAGE(J139:XX139)</f>
        <v>26.204545454545453</v>
      </c>
      <c r="J139" s="3">
        <v>30.9</v>
      </c>
      <c r="K139" s="3">
        <v>27.08</v>
      </c>
      <c r="L139" s="3">
        <v>20.91</v>
      </c>
      <c r="M139" s="3">
        <v>20.57</v>
      </c>
      <c r="N139" s="3">
        <v>18.04</v>
      </c>
      <c r="O139" s="3">
        <v>21.95</v>
      </c>
      <c r="P139" s="3">
        <v>22.37</v>
      </c>
      <c r="Q139" s="3">
        <v>25.09</v>
      </c>
      <c r="R139" s="3">
        <v>20.72</v>
      </c>
      <c r="S139" s="3">
        <v>33.979999999999997</v>
      </c>
      <c r="T139" s="3">
        <v>46.64</v>
      </c>
    </row>
    <row r="140" spans="2:29" x14ac:dyDescent="0.3">
      <c r="B140" t="s">
        <v>11</v>
      </c>
      <c r="D140">
        <v>0</v>
      </c>
      <c r="E140">
        <v>0</v>
      </c>
      <c r="F140">
        <v>1</v>
      </c>
      <c r="H140">
        <v>136</v>
      </c>
      <c r="I140" s="3">
        <f>AVERAGE(J140:XX140)</f>
        <v>24.268000000000001</v>
      </c>
      <c r="J140" s="3">
        <v>25.6</v>
      </c>
      <c r="K140" s="3">
        <v>22.6</v>
      </c>
      <c r="L140" s="3">
        <v>26.42</v>
      </c>
      <c r="M140" s="3">
        <v>21.73</v>
      </c>
      <c r="N140" s="3">
        <v>24.99</v>
      </c>
    </row>
    <row r="141" spans="2:29" x14ac:dyDescent="0.3">
      <c r="B141" t="s">
        <v>11</v>
      </c>
      <c r="D141">
        <v>0</v>
      </c>
      <c r="E141">
        <v>0</v>
      </c>
      <c r="F141">
        <v>1</v>
      </c>
      <c r="H141">
        <v>137</v>
      </c>
      <c r="I141" s="3">
        <f>AVERAGE(J141:XX141)</f>
        <v>24.410000000000004</v>
      </c>
      <c r="J141" s="3">
        <v>23.77</v>
      </c>
      <c r="K141" s="3">
        <v>23.82</v>
      </c>
      <c r="L141" s="3">
        <v>24.18</v>
      </c>
      <c r="M141" s="3">
        <v>25.87</v>
      </c>
    </row>
    <row r="142" spans="2:29" x14ac:dyDescent="0.3">
      <c r="B142" t="s">
        <v>11</v>
      </c>
      <c r="D142">
        <v>0</v>
      </c>
      <c r="E142">
        <v>0</v>
      </c>
      <c r="F142">
        <v>1</v>
      </c>
      <c r="H142">
        <v>138</v>
      </c>
      <c r="I142" s="3">
        <f>AVERAGE(J142:XX142)</f>
        <v>25.502857142857142</v>
      </c>
      <c r="J142" s="3">
        <v>26.8</v>
      </c>
      <c r="K142" s="3">
        <v>24.47</v>
      </c>
      <c r="L142" s="3">
        <v>23.24</v>
      </c>
      <c r="M142" s="3">
        <v>21.82</v>
      </c>
      <c r="N142" s="3">
        <v>28.42</v>
      </c>
      <c r="O142" s="3">
        <v>28.43</v>
      </c>
      <c r="P142" s="3">
        <v>25.34</v>
      </c>
    </row>
    <row r="143" spans="2:29" x14ac:dyDescent="0.3">
      <c r="B143" t="s">
        <v>11</v>
      </c>
      <c r="D143">
        <v>0</v>
      </c>
      <c r="E143">
        <v>0</v>
      </c>
      <c r="F143">
        <v>1</v>
      </c>
      <c r="H143">
        <v>139</v>
      </c>
      <c r="I143" s="3">
        <f>AVERAGE(J143:XX143)</f>
        <v>28.351333333333336</v>
      </c>
      <c r="J143" s="3">
        <v>36.47</v>
      </c>
      <c r="K143" s="3">
        <v>31.78</v>
      </c>
      <c r="L143" s="3">
        <v>27.74</v>
      </c>
      <c r="M143" s="3">
        <v>29.23</v>
      </c>
      <c r="N143" s="3">
        <v>25.34</v>
      </c>
      <c r="O143" s="3">
        <v>25.05</v>
      </c>
      <c r="P143" s="3">
        <v>32.380000000000003</v>
      </c>
      <c r="Q143" s="3">
        <v>29.42</v>
      </c>
      <c r="R143" s="3">
        <v>27.1</v>
      </c>
      <c r="S143" s="3">
        <v>25.89</v>
      </c>
      <c r="T143" s="3">
        <v>26.2</v>
      </c>
      <c r="U143" s="3">
        <v>26.16</v>
      </c>
      <c r="V143" s="3">
        <v>26.29</v>
      </c>
      <c r="W143" s="3">
        <v>25.9</v>
      </c>
      <c r="X143" s="3">
        <v>30.32</v>
      </c>
    </row>
    <row r="144" spans="2:29" x14ac:dyDescent="0.3">
      <c r="B144" t="s">
        <v>11</v>
      </c>
      <c r="D144">
        <v>0</v>
      </c>
      <c r="E144">
        <v>0</v>
      </c>
      <c r="F144">
        <v>1</v>
      </c>
      <c r="H144">
        <v>140</v>
      </c>
      <c r="I144" s="3">
        <f>AVERAGE(J144:XX144)</f>
        <v>29.240499999999997</v>
      </c>
      <c r="J144" s="3">
        <v>46.62</v>
      </c>
      <c r="K144" s="3">
        <v>30.3</v>
      </c>
      <c r="L144" s="3">
        <v>29.64</v>
      </c>
      <c r="M144" s="3">
        <v>35.89</v>
      </c>
      <c r="N144" s="3">
        <v>31.59</v>
      </c>
      <c r="O144" s="3">
        <v>25.56</v>
      </c>
      <c r="P144" s="3">
        <v>28.67</v>
      </c>
      <c r="Q144" s="3">
        <v>25.95</v>
      </c>
      <c r="R144" s="3">
        <v>25.95</v>
      </c>
      <c r="S144" s="3">
        <v>25.66</v>
      </c>
      <c r="T144" s="3">
        <v>28.43</v>
      </c>
      <c r="U144" s="3">
        <v>28.16</v>
      </c>
      <c r="V144" s="3">
        <v>28.54</v>
      </c>
      <c r="W144" s="3">
        <v>28.36</v>
      </c>
      <c r="X144" s="3">
        <v>28.08</v>
      </c>
      <c r="Y144" s="3">
        <v>27.87</v>
      </c>
      <c r="Z144" s="3">
        <v>27.52</v>
      </c>
      <c r="AA144" s="3">
        <v>29.93</v>
      </c>
      <c r="AB144" s="3">
        <v>24.29</v>
      </c>
      <c r="AC144" s="3">
        <v>27.8</v>
      </c>
    </row>
    <row r="145" spans="2:33" x14ac:dyDescent="0.3">
      <c r="B145" t="s">
        <v>11</v>
      </c>
      <c r="D145">
        <v>0</v>
      </c>
      <c r="E145">
        <v>0</v>
      </c>
      <c r="F145">
        <v>1</v>
      </c>
      <c r="H145">
        <v>141</v>
      </c>
      <c r="I145" s="3">
        <f>AVERAGE(J145:XX145)</f>
        <v>32.946666666666665</v>
      </c>
      <c r="J145" s="3">
        <v>36.86</v>
      </c>
      <c r="K145" s="3">
        <v>42.84</v>
      </c>
      <c r="L145" s="3">
        <v>29.14</v>
      </c>
      <c r="M145" s="3">
        <v>33.96</v>
      </c>
      <c r="N145" s="3">
        <v>32.94</v>
      </c>
      <c r="O145" s="3">
        <v>24.99</v>
      </c>
      <c r="P145" s="3">
        <v>26.2</v>
      </c>
      <c r="Q145" s="3">
        <v>33.369999999999997</v>
      </c>
      <c r="R145" s="3">
        <v>36.22</v>
      </c>
    </row>
    <row r="146" spans="2:33" x14ac:dyDescent="0.3">
      <c r="B146" t="s">
        <v>11</v>
      </c>
      <c r="D146">
        <v>0</v>
      </c>
      <c r="E146">
        <v>0</v>
      </c>
      <c r="F146">
        <v>1</v>
      </c>
      <c r="H146">
        <v>142</v>
      </c>
      <c r="I146" s="3">
        <f>AVERAGE(J146:XX146)</f>
        <v>32.379090909090912</v>
      </c>
      <c r="J146" s="3">
        <v>29.14</v>
      </c>
      <c r="K146" s="3">
        <v>31.78</v>
      </c>
      <c r="L146" s="3">
        <v>32.03</v>
      </c>
      <c r="M146" s="3">
        <v>27.47</v>
      </c>
      <c r="N146" s="3">
        <v>28.67</v>
      </c>
      <c r="O146" s="3">
        <v>26.47</v>
      </c>
      <c r="P146" s="3">
        <v>39.659999999999997</v>
      </c>
      <c r="Q146" s="3">
        <v>36.89</v>
      </c>
      <c r="R146" s="3">
        <v>41.18</v>
      </c>
      <c r="S146" s="3">
        <v>32.43</v>
      </c>
      <c r="T146" s="3">
        <v>30.45</v>
      </c>
    </row>
    <row r="147" spans="2:33" x14ac:dyDescent="0.3">
      <c r="B147" t="s">
        <v>11</v>
      </c>
      <c r="D147">
        <v>0</v>
      </c>
      <c r="E147">
        <v>0</v>
      </c>
      <c r="F147">
        <v>1</v>
      </c>
      <c r="H147">
        <v>143</v>
      </c>
      <c r="I147" s="3">
        <f>AVERAGE(J147:XX147)</f>
        <v>33.43</v>
      </c>
      <c r="J147" s="3">
        <v>40.25</v>
      </c>
      <c r="K147" s="3">
        <v>31.09</v>
      </c>
      <c r="L147" s="3">
        <v>32.93</v>
      </c>
      <c r="M147" s="3">
        <v>34.44</v>
      </c>
      <c r="N147" s="3">
        <v>38.26</v>
      </c>
      <c r="O147" s="3">
        <v>29.97</v>
      </c>
      <c r="P147" s="3">
        <v>30.47</v>
      </c>
      <c r="Q147" s="3">
        <v>28.48</v>
      </c>
      <c r="R147" s="3">
        <v>30.75</v>
      </c>
      <c r="S147" s="3">
        <v>34.07</v>
      </c>
      <c r="T147" s="3">
        <v>45.2</v>
      </c>
      <c r="U147" s="3">
        <v>33.71</v>
      </c>
      <c r="V147" s="3">
        <v>32.659999999999997</v>
      </c>
      <c r="W147" s="3">
        <v>32.49</v>
      </c>
      <c r="X147" s="3">
        <v>26.68</v>
      </c>
    </row>
    <row r="148" spans="2:33" x14ac:dyDescent="0.3">
      <c r="B148" t="s">
        <v>91</v>
      </c>
      <c r="D148">
        <v>0</v>
      </c>
      <c r="E148">
        <v>28</v>
      </c>
      <c r="F148">
        <v>1</v>
      </c>
      <c r="H148">
        <v>144</v>
      </c>
      <c r="I148" s="3">
        <f>AVERAGE(J148:XX148)</f>
        <v>34.559285714285714</v>
      </c>
      <c r="J148" s="3">
        <v>34.79</v>
      </c>
      <c r="K148" s="3">
        <v>42.3</v>
      </c>
      <c r="L148" s="3">
        <v>31.46</v>
      </c>
      <c r="M148" s="3">
        <v>30.82</v>
      </c>
      <c r="N148" s="3">
        <v>28.93</v>
      </c>
      <c r="O148" s="3">
        <v>40.4</v>
      </c>
      <c r="P148" s="3">
        <v>34.69</v>
      </c>
      <c r="Q148" s="3">
        <v>34.69</v>
      </c>
      <c r="R148" s="3">
        <v>34.07</v>
      </c>
      <c r="S148" s="3">
        <v>34.270000000000003</v>
      </c>
      <c r="T148" s="3">
        <v>34.159999999999997</v>
      </c>
      <c r="U148" s="3">
        <v>34.17</v>
      </c>
      <c r="V148" s="3">
        <v>34.549999999999997</v>
      </c>
      <c r="W148" s="3">
        <v>34.53</v>
      </c>
    </row>
    <row r="149" spans="2:33" x14ac:dyDescent="0.3">
      <c r="B149" t="s">
        <v>11</v>
      </c>
      <c r="D149">
        <v>0</v>
      </c>
      <c r="E149">
        <v>0</v>
      </c>
      <c r="F149">
        <v>1</v>
      </c>
      <c r="H149">
        <v>145</v>
      </c>
      <c r="I149" s="3">
        <f>AVERAGE(J149:XX149)</f>
        <v>36.302631578947377</v>
      </c>
      <c r="J149" s="3">
        <v>45.48</v>
      </c>
      <c r="K149" s="3">
        <v>35.06</v>
      </c>
      <c r="L149" s="3">
        <v>37.49</v>
      </c>
      <c r="M149" s="3">
        <v>31.8</v>
      </c>
      <c r="N149" s="3">
        <v>27.12</v>
      </c>
      <c r="O149" s="3">
        <v>33.49</v>
      </c>
      <c r="P149" s="3">
        <v>36.6</v>
      </c>
      <c r="Q149" s="3">
        <v>36.11</v>
      </c>
      <c r="R149" s="3">
        <v>35.68</v>
      </c>
      <c r="S149" s="3">
        <v>36.03</v>
      </c>
      <c r="T149" s="3">
        <v>35.33</v>
      </c>
      <c r="U149" s="3">
        <v>37.07</v>
      </c>
      <c r="V149" s="3">
        <v>35.85</v>
      </c>
      <c r="W149" s="3">
        <v>42.06</v>
      </c>
      <c r="X149" s="3">
        <v>39.049999999999997</v>
      </c>
      <c r="Y149" s="3">
        <v>37.630000000000003</v>
      </c>
      <c r="Z149" s="3">
        <v>35.83</v>
      </c>
      <c r="AA149" s="3">
        <v>35.69</v>
      </c>
      <c r="AB149" s="3">
        <v>36.380000000000003</v>
      </c>
    </row>
    <row r="150" spans="2:33" x14ac:dyDescent="0.3">
      <c r="B150" t="s">
        <v>11</v>
      </c>
      <c r="D150">
        <v>0</v>
      </c>
      <c r="E150">
        <v>0</v>
      </c>
      <c r="F150">
        <v>1</v>
      </c>
      <c r="H150">
        <v>146</v>
      </c>
      <c r="I150" s="3">
        <f>AVERAGE(J150:XX150)</f>
        <v>38.957777777777785</v>
      </c>
      <c r="J150" s="3">
        <v>46.38</v>
      </c>
      <c r="K150" s="3">
        <v>37.049999999999997</v>
      </c>
      <c r="L150" s="3">
        <v>42.6</v>
      </c>
      <c r="M150" s="3">
        <v>38.9</v>
      </c>
      <c r="N150" s="3">
        <v>39.32</v>
      </c>
      <c r="O150" s="3">
        <v>37.67</v>
      </c>
      <c r="P150" s="3">
        <v>43.54</v>
      </c>
      <c r="Q150" s="3">
        <v>39.67</v>
      </c>
      <c r="R150" s="3">
        <v>35.78</v>
      </c>
      <c r="S150" s="3">
        <v>35.69</v>
      </c>
      <c r="T150" s="3">
        <v>36.17</v>
      </c>
      <c r="U150" s="3">
        <v>35.21</v>
      </c>
      <c r="V150" s="3">
        <v>32.78</v>
      </c>
      <c r="W150" s="3">
        <v>51.9</v>
      </c>
      <c r="X150" s="3">
        <v>33.21</v>
      </c>
      <c r="Y150" s="3">
        <v>37.29</v>
      </c>
      <c r="Z150" s="3">
        <v>37.46</v>
      </c>
      <c r="AA150" s="3">
        <v>40.619999999999997</v>
      </c>
    </row>
    <row r="151" spans="2:33" x14ac:dyDescent="0.3">
      <c r="B151" t="s">
        <v>18</v>
      </c>
      <c r="D151">
        <v>1</v>
      </c>
      <c r="E151">
        <v>0</v>
      </c>
      <c r="F151">
        <v>1</v>
      </c>
      <c r="H151">
        <v>147</v>
      </c>
      <c r="I151" s="3">
        <f>AVERAGE(J151:XX151)</f>
        <v>41.281999999999996</v>
      </c>
      <c r="J151" s="3">
        <v>51.6</v>
      </c>
      <c r="K151" s="3">
        <v>38.07</v>
      </c>
      <c r="L151" s="3">
        <v>39.380000000000003</v>
      </c>
      <c r="M151" s="3">
        <v>39.17</v>
      </c>
      <c r="N151" s="3">
        <v>40.86</v>
      </c>
      <c r="O151" s="3">
        <v>37.979999999999997</v>
      </c>
      <c r="P151" s="3">
        <v>33.51</v>
      </c>
      <c r="Q151" s="3">
        <v>39.69</v>
      </c>
      <c r="R151" s="3">
        <v>55.54</v>
      </c>
      <c r="S151" s="3">
        <v>31.57</v>
      </c>
      <c r="T151" s="3">
        <v>39.29</v>
      </c>
      <c r="U151" s="3">
        <v>46.28</v>
      </c>
      <c r="V151" s="3">
        <v>38.03</v>
      </c>
      <c r="W151" s="3">
        <v>39.42</v>
      </c>
      <c r="X151" s="3">
        <v>43.2</v>
      </c>
      <c r="Y151" s="3">
        <v>44.92</v>
      </c>
      <c r="Z151" s="3">
        <v>44.14</v>
      </c>
      <c r="AA151" s="3">
        <v>42.44</v>
      </c>
      <c r="AB151" s="3">
        <v>32.85</v>
      </c>
      <c r="AC151" s="3">
        <v>47.7</v>
      </c>
    </row>
    <row r="152" spans="2:33" x14ac:dyDescent="0.3">
      <c r="B152" t="s">
        <v>92</v>
      </c>
      <c r="D152">
        <v>2</v>
      </c>
      <c r="E152">
        <v>2</v>
      </c>
      <c r="F152">
        <v>1</v>
      </c>
      <c r="H152">
        <v>148</v>
      </c>
      <c r="I152" s="3">
        <f>AVERAGE(J152:XX152)</f>
        <v>46.353888888888882</v>
      </c>
      <c r="J152" s="3">
        <v>55.28</v>
      </c>
      <c r="K152" s="3">
        <v>57.24</v>
      </c>
      <c r="L152" s="3">
        <v>39.229999999999997</v>
      </c>
      <c r="M152" s="3">
        <v>46.68</v>
      </c>
      <c r="N152" s="3">
        <v>43.72</v>
      </c>
      <c r="O152" s="3">
        <v>46.42</v>
      </c>
      <c r="P152" s="3">
        <v>42.36</v>
      </c>
      <c r="Q152" s="3">
        <v>44.28</v>
      </c>
      <c r="R152" s="3">
        <v>42.2</v>
      </c>
      <c r="S152" s="3">
        <v>44.74</v>
      </c>
      <c r="T152" s="3">
        <v>51.98</v>
      </c>
      <c r="U152" s="3">
        <v>40.130000000000003</v>
      </c>
      <c r="V152" s="3">
        <v>42.04</v>
      </c>
      <c r="W152" s="3">
        <v>38.97</v>
      </c>
      <c r="X152" s="3">
        <v>47.34</v>
      </c>
      <c r="Y152" s="3">
        <v>50.18</v>
      </c>
      <c r="Z152" s="3">
        <v>51.78</v>
      </c>
      <c r="AA152" s="3">
        <v>49.8</v>
      </c>
    </row>
    <row r="153" spans="2:33" x14ac:dyDescent="0.3">
      <c r="B153" t="s">
        <v>93</v>
      </c>
      <c r="D153">
        <v>5</v>
      </c>
      <c r="E153">
        <v>6</v>
      </c>
      <c r="F153">
        <v>1</v>
      </c>
      <c r="H153">
        <v>149</v>
      </c>
      <c r="I153" s="3">
        <f>AVERAGE(J153:XX153)</f>
        <v>54.324666666666658</v>
      </c>
      <c r="J153" s="3">
        <v>58.92</v>
      </c>
      <c r="K153" s="3">
        <v>99.56</v>
      </c>
      <c r="L153" s="3">
        <v>61.24</v>
      </c>
      <c r="M153" s="3">
        <v>57.18</v>
      </c>
      <c r="N153" s="3">
        <v>64.319999999999993</v>
      </c>
      <c r="O153" s="3">
        <v>39.57</v>
      </c>
      <c r="P153" s="3">
        <v>50.02</v>
      </c>
      <c r="Q153" s="3">
        <v>45</v>
      </c>
      <c r="R153" s="3">
        <v>43.2</v>
      </c>
      <c r="S153" s="3">
        <v>41.16</v>
      </c>
      <c r="T153" s="3">
        <v>43.92</v>
      </c>
      <c r="U153" s="3">
        <v>47.28</v>
      </c>
      <c r="V153" s="3">
        <v>47.16</v>
      </c>
      <c r="W153" s="3">
        <v>63.38</v>
      </c>
      <c r="X153" s="3">
        <v>52.96</v>
      </c>
    </row>
    <row r="154" spans="2:33" x14ac:dyDescent="0.3">
      <c r="B154" t="s">
        <v>94</v>
      </c>
      <c r="D154">
        <v>16</v>
      </c>
      <c r="E154">
        <v>16</v>
      </c>
      <c r="F154">
        <v>1</v>
      </c>
      <c r="H154">
        <v>150</v>
      </c>
      <c r="I154" s="3">
        <f>AVERAGE(J154:XX154)</f>
        <v>50.801176470588238</v>
      </c>
      <c r="J154" s="3">
        <v>3.84</v>
      </c>
      <c r="K154" s="3">
        <v>60.38</v>
      </c>
      <c r="L154" s="3">
        <v>48.5</v>
      </c>
      <c r="M154" s="3">
        <v>62.78</v>
      </c>
      <c r="N154" s="3">
        <v>51.96</v>
      </c>
      <c r="O154" s="3">
        <v>44.64</v>
      </c>
      <c r="P154" s="3">
        <v>52.64</v>
      </c>
      <c r="Q154" s="3">
        <v>52.64</v>
      </c>
      <c r="R154" s="3">
        <v>53.78</v>
      </c>
      <c r="S154" s="3">
        <v>56.02</v>
      </c>
      <c r="T154" s="3">
        <v>51.62</v>
      </c>
      <c r="U154" s="3">
        <v>47.14</v>
      </c>
      <c r="V154" s="3">
        <v>70.08</v>
      </c>
      <c r="W154" s="3">
        <v>55.94</v>
      </c>
      <c r="X154" s="3">
        <v>54.66</v>
      </c>
      <c r="Y154" s="3">
        <v>53.34</v>
      </c>
      <c r="Z154" s="3">
        <v>43.66</v>
      </c>
    </row>
    <row r="155" spans="2:33" x14ac:dyDescent="0.3">
      <c r="B155" t="s">
        <v>95</v>
      </c>
      <c r="D155">
        <v>28</v>
      </c>
      <c r="E155">
        <v>32</v>
      </c>
      <c r="F155">
        <v>1</v>
      </c>
      <c r="H155">
        <v>151</v>
      </c>
      <c r="I155" s="3">
        <f>AVERAGE(J155:XX155)</f>
        <v>53.711250000000007</v>
      </c>
      <c r="J155" s="3">
        <v>51.78</v>
      </c>
      <c r="K155" s="3">
        <v>43.48</v>
      </c>
      <c r="L155" s="3">
        <v>49.32</v>
      </c>
      <c r="M155" s="3">
        <v>53.62</v>
      </c>
      <c r="N155" s="3">
        <v>50.1</v>
      </c>
      <c r="O155" s="3">
        <v>53.78</v>
      </c>
      <c r="P155" s="3">
        <v>52.42</v>
      </c>
      <c r="Q155" s="3">
        <v>49.34</v>
      </c>
      <c r="R155" s="3">
        <v>46.08</v>
      </c>
      <c r="S155" s="3">
        <v>54.34</v>
      </c>
      <c r="T155" s="3">
        <v>54.72</v>
      </c>
      <c r="U155" s="3">
        <v>57.94</v>
      </c>
      <c r="V155" s="3">
        <v>59.7</v>
      </c>
      <c r="W155" s="3">
        <v>62.96</v>
      </c>
      <c r="X155" s="3">
        <v>57.18</v>
      </c>
      <c r="Y155" s="3">
        <v>62.62</v>
      </c>
    </row>
    <row r="156" spans="2:33" x14ac:dyDescent="0.3">
      <c r="B156" t="s">
        <v>96</v>
      </c>
      <c r="D156">
        <v>73</v>
      </c>
      <c r="E156">
        <v>88</v>
      </c>
      <c r="F156">
        <v>1</v>
      </c>
      <c r="H156">
        <v>152</v>
      </c>
      <c r="I156" s="3">
        <f>AVERAGE(J156:XX156)</f>
        <v>56.510526315789477</v>
      </c>
      <c r="J156" s="3">
        <v>52.32</v>
      </c>
      <c r="K156" s="3">
        <v>54.46</v>
      </c>
      <c r="L156" s="3">
        <v>57.46</v>
      </c>
      <c r="M156" s="3">
        <v>48.92</v>
      </c>
      <c r="N156" s="3">
        <v>52.98</v>
      </c>
      <c r="O156" s="3">
        <v>59.84</v>
      </c>
      <c r="P156" s="3">
        <v>59.02</v>
      </c>
      <c r="Q156" s="3">
        <v>53.64</v>
      </c>
      <c r="R156" s="3">
        <v>54.92</v>
      </c>
      <c r="S156" s="3">
        <v>54.36</v>
      </c>
      <c r="T156" s="3">
        <v>54.24</v>
      </c>
      <c r="U156" s="3">
        <v>58.46</v>
      </c>
      <c r="V156" s="3">
        <v>62.9</v>
      </c>
      <c r="W156" s="3">
        <v>59.96</v>
      </c>
      <c r="X156" s="3">
        <v>45.98</v>
      </c>
      <c r="Y156" s="3">
        <v>62.28</v>
      </c>
      <c r="Z156" s="3">
        <v>57.36</v>
      </c>
      <c r="AA156" s="3">
        <v>62.44</v>
      </c>
      <c r="AB156" s="3">
        <v>62.16</v>
      </c>
    </row>
    <row r="157" spans="2:33" x14ac:dyDescent="0.3">
      <c r="B157" t="s">
        <v>97</v>
      </c>
      <c r="D157">
        <v>95</v>
      </c>
      <c r="E157">
        <v>296</v>
      </c>
      <c r="F157">
        <v>1</v>
      </c>
      <c r="H157">
        <v>153</v>
      </c>
      <c r="I157" s="3">
        <f>AVERAGE(J157:XX157)</f>
        <v>58.597999999999999</v>
      </c>
      <c r="J157" s="3">
        <v>69.680000000000007</v>
      </c>
      <c r="K157" s="3">
        <v>50.54</v>
      </c>
      <c r="L157" s="3">
        <v>51.16</v>
      </c>
      <c r="M157" s="3">
        <v>62.78</v>
      </c>
      <c r="N157" s="3">
        <v>54.7</v>
      </c>
      <c r="O157" s="3">
        <v>62.1</v>
      </c>
      <c r="P157" s="3">
        <v>52.18</v>
      </c>
      <c r="Q157" s="3">
        <v>55.24</v>
      </c>
      <c r="R157" s="3">
        <v>50.2</v>
      </c>
      <c r="S157" s="3">
        <v>52.62</v>
      </c>
      <c r="T157" s="3">
        <v>52.58</v>
      </c>
      <c r="U157" s="3">
        <v>60.24</v>
      </c>
      <c r="V157" s="3">
        <v>48.16</v>
      </c>
      <c r="W157" s="3">
        <v>70.86</v>
      </c>
      <c r="X157" s="3">
        <v>64.58</v>
      </c>
      <c r="Y157" s="3">
        <v>67.06</v>
      </c>
      <c r="Z157" s="3">
        <v>63.04</v>
      </c>
      <c r="AA157" s="3">
        <v>61.74</v>
      </c>
      <c r="AB157" s="3">
        <v>61.74</v>
      </c>
      <c r="AC157" s="3">
        <v>60.76</v>
      </c>
    </row>
    <row r="158" spans="2:33" x14ac:dyDescent="0.3">
      <c r="B158" t="s">
        <v>98</v>
      </c>
      <c r="D158">
        <v>109</v>
      </c>
      <c r="E158">
        <v>507</v>
      </c>
      <c r="F158">
        <v>1</v>
      </c>
      <c r="H158">
        <v>154</v>
      </c>
      <c r="I158" s="3">
        <f>AVERAGE(J158:XX158)</f>
        <v>74.306666666666658</v>
      </c>
      <c r="J158" s="3">
        <v>73.5</v>
      </c>
      <c r="K158" s="3">
        <v>68.88</v>
      </c>
      <c r="L158" s="3">
        <v>82.4</v>
      </c>
      <c r="M158" s="3">
        <v>92.16</v>
      </c>
      <c r="N158" s="3">
        <v>53.14</v>
      </c>
      <c r="O158" s="3">
        <v>59.96</v>
      </c>
      <c r="P158" s="3">
        <v>302.95999999999998</v>
      </c>
      <c r="Q158" s="3">
        <v>68.12</v>
      </c>
      <c r="R158" s="3">
        <v>57.9</v>
      </c>
      <c r="S158" s="3">
        <v>59.42</v>
      </c>
      <c r="T158" s="3">
        <v>63.52</v>
      </c>
      <c r="U158" s="3">
        <v>60.72</v>
      </c>
      <c r="V158" s="3">
        <v>57.08</v>
      </c>
      <c r="W158" s="3">
        <v>60.74</v>
      </c>
      <c r="X158" s="3">
        <v>61.52</v>
      </c>
      <c r="Y158" s="3">
        <v>61.74</v>
      </c>
      <c r="Z158" s="3">
        <v>57.98</v>
      </c>
      <c r="AA158" s="3">
        <v>62.82</v>
      </c>
      <c r="AB158" s="3">
        <v>58.56</v>
      </c>
      <c r="AC158" s="3">
        <v>55.4</v>
      </c>
      <c r="AD158" s="3">
        <v>57.4</v>
      </c>
      <c r="AE158" s="3">
        <v>67.36</v>
      </c>
      <c r="AF158" s="3">
        <v>69.2</v>
      </c>
      <c r="AG158" s="3">
        <v>70.88</v>
      </c>
    </row>
    <row r="159" spans="2:33" x14ac:dyDescent="0.3">
      <c r="B159" t="s">
        <v>99</v>
      </c>
      <c r="D159">
        <v>109</v>
      </c>
      <c r="E159">
        <v>1000</v>
      </c>
      <c r="F159">
        <v>1</v>
      </c>
      <c r="H159">
        <v>155</v>
      </c>
      <c r="I159" s="3">
        <f>AVERAGE(J159:XX159)</f>
        <v>73.008235294117654</v>
      </c>
      <c r="J159" s="3">
        <v>107.56</v>
      </c>
      <c r="K159" s="3">
        <v>58.76</v>
      </c>
      <c r="L159" s="3">
        <v>58.96</v>
      </c>
      <c r="M159" s="3">
        <v>193.36</v>
      </c>
      <c r="N159" s="3">
        <v>73.86</v>
      </c>
      <c r="O159" s="3">
        <v>55.2</v>
      </c>
      <c r="P159" s="3">
        <v>56.62</v>
      </c>
      <c r="Q159" s="3">
        <v>64</v>
      </c>
      <c r="R159" s="3">
        <v>61.14</v>
      </c>
      <c r="S159" s="3">
        <v>60.98</v>
      </c>
      <c r="T159" s="3">
        <v>72.180000000000007</v>
      </c>
      <c r="U159" s="3">
        <v>56.62</v>
      </c>
      <c r="V159" s="3">
        <v>58.96</v>
      </c>
      <c r="W159" s="3">
        <v>59.2</v>
      </c>
      <c r="X159" s="3">
        <v>58.92</v>
      </c>
      <c r="Y159" s="3">
        <v>72.599999999999994</v>
      </c>
      <c r="Z159" s="3">
        <v>72.22</v>
      </c>
    </row>
    <row r="160" spans="2:33" x14ac:dyDescent="0.3">
      <c r="B160" t="s">
        <v>100</v>
      </c>
      <c r="D160">
        <v>121</v>
      </c>
      <c r="E160">
        <v>1679</v>
      </c>
      <c r="F160">
        <v>1</v>
      </c>
      <c r="H160">
        <v>156</v>
      </c>
      <c r="I160" s="3">
        <f>AVERAGE(J160:XX160)</f>
        <v>87.278999999999996</v>
      </c>
      <c r="J160" s="3">
        <v>401.28</v>
      </c>
      <c r="K160" s="3">
        <v>68.44</v>
      </c>
      <c r="L160" s="3">
        <v>69.92</v>
      </c>
      <c r="M160" s="3">
        <v>65.459999999999994</v>
      </c>
      <c r="N160" s="3">
        <v>65.02</v>
      </c>
      <c r="O160" s="3">
        <v>59.04</v>
      </c>
      <c r="P160" s="3">
        <v>56.28</v>
      </c>
      <c r="Q160" s="3">
        <v>48.34</v>
      </c>
      <c r="R160" s="3">
        <v>95.56</v>
      </c>
      <c r="S160" s="3">
        <v>69.540000000000006</v>
      </c>
      <c r="T160" s="3">
        <v>56.78</v>
      </c>
      <c r="U160" s="3">
        <v>77.52</v>
      </c>
      <c r="V160" s="3">
        <v>76.58</v>
      </c>
      <c r="W160" s="3">
        <v>80.98</v>
      </c>
      <c r="X160" s="3">
        <v>75.22</v>
      </c>
      <c r="Y160" s="3">
        <v>76.040000000000006</v>
      </c>
      <c r="Z160" s="3">
        <v>76.680000000000007</v>
      </c>
      <c r="AA160" s="3">
        <v>74.14</v>
      </c>
      <c r="AB160" s="3">
        <v>74.16</v>
      </c>
      <c r="AC160" s="3">
        <v>78.599999999999994</v>
      </c>
    </row>
    <row r="161" spans="2:41" x14ac:dyDescent="0.3">
      <c r="B161" t="s">
        <v>101</v>
      </c>
      <c r="D161">
        <v>128</v>
      </c>
      <c r="E161">
        <v>1993</v>
      </c>
      <c r="F161">
        <v>1</v>
      </c>
      <c r="H161">
        <v>157</v>
      </c>
      <c r="I161" s="3">
        <f>AVERAGE(J161:XX161)</f>
        <v>75.056842105263172</v>
      </c>
      <c r="J161" s="3">
        <v>113.8</v>
      </c>
      <c r="K161" s="3">
        <v>85.32</v>
      </c>
      <c r="L161" s="3">
        <v>64.86</v>
      </c>
      <c r="M161" s="3">
        <v>69.16</v>
      </c>
      <c r="N161" s="3">
        <v>76.64</v>
      </c>
      <c r="O161" s="3">
        <v>73.48</v>
      </c>
      <c r="P161" s="3">
        <v>77.12</v>
      </c>
      <c r="Q161" s="3">
        <v>66.48</v>
      </c>
      <c r="R161" s="3">
        <v>67.819999999999993</v>
      </c>
      <c r="S161" s="3">
        <v>61.74</v>
      </c>
      <c r="T161" s="3">
        <v>61.8</v>
      </c>
      <c r="U161" s="3">
        <v>60.06</v>
      </c>
      <c r="V161" s="3">
        <v>60.52</v>
      </c>
      <c r="W161" s="3">
        <v>77.78</v>
      </c>
      <c r="X161" s="3">
        <v>79.400000000000006</v>
      </c>
      <c r="Y161" s="3">
        <v>79.64</v>
      </c>
      <c r="Z161" s="3">
        <v>76.06</v>
      </c>
      <c r="AA161" s="3">
        <v>85.2</v>
      </c>
      <c r="AB161" s="3">
        <v>89.2</v>
      </c>
    </row>
    <row r="162" spans="2:41" x14ac:dyDescent="0.3">
      <c r="B162" t="s">
        <v>102</v>
      </c>
      <c r="D162">
        <v>135</v>
      </c>
      <c r="E162">
        <v>3090</v>
      </c>
      <c r="F162">
        <v>1</v>
      </c>
      <c r="H162">
        <v>158</v>
      </c>
      <c r="I162" s="3">
        <f>AVERAGE(J162:XX162)</f>
        <v>79.269411764705879</v>
      </c>
      <c r="J162" s="3">
        <v>73.2</v>
      </c>
      <c r="K162" s="3">
        <v>68.66</v>
      </c>
      <c r="L162" s="3">
        <v>74.34</v>
      </c>
      <c r="M162" s="3">
        <v>79.42</v>
      </c>
      <c r="N162" s="3">
        <v>73.12</v>
      </c>
      <c r="O162" s="3">
        <v>69.739999999999995</v>
      </c>
      <c r="P162" s="3">
        <v>77.14</v>
      </c>
      <c r="Q162" s="3">
        <v>72.22</v>
      </c>
      <c r="R162" s="3">
        <v>75.28</v>
      </c>
      <c r="S162" s="3">
        <v>100.16</v>
      </c>
      <c r="T162" s="3">
        <v>80.66</v>
      </c>
      <c r="U162" s="3">
        <v>84.28</v>
      </c>
      <c r="V162" s="3">
        <v>85.76</v>
      </c>
      <c r="W162" s="3">
        <v>84.24</v>
      </c>
      <c r="X162" s="3">
        <v>84.2</v>
      </c>
      <c r="Y162" s="3">
        <v>82.72</v>
      </c>
      <c r="Z162" s="3">
        <v>82.44</v>
      </c>
    </row>
    <row r="163" spans="2:41" x14ac:dyDescent="0.3">
      <c r="B163" t="s">
        <v>103</v>
      </c>
      <c r="D163">
        <v>141</v>
      </c>
      <c r="E163">
        <v>4284</v>
      </c>
      <c r="F163">
        <v>1</v>
      </c>
      <c r="H163">
        <v>159</v>
      </c>
      <c r="I163" s="3">
        <f>AVERAGE(J163:XX163)</f>
        <v>81.76965517241382</v>
      </c>
      <c r="J163" s="3">
        <v>101.76</v>
      </c>
      <c r="K163" s="3">
        <v>81.92</v>
      </c>
      <c r="L163" s="3">
        <v>89.04</v>
      </c>
      <c r="M163" s="3">
        <v>70.08</v>
      </c>
      <c r="N163" s="3">
        <v>68.94</v>
      </c>
      <c r="O163" s="3">
        <v>86.12</v>
      </c>
      <c r="P163" s="3">
        <v>64.84</v>
      </c>
      <c r="Q163" s="3">
        <v>73.319999999999993</v>
      </c>
      <c r="R163" s="3">
        <v>64.08</v>
      </c>
      <c r="S163" s="3">
        <v>75.739999999999995</v>
      </c>
      <c r="T163" s="3">
        <v>84.48</v>
      </c>
      <c r="U163" s="3">
        <v>85.84</v>
      </c>
      <c r="V163" s="3">
        <v>73.180000000000007</v>
      </c>
      <c r="W163" s="3">
        <v>78.16</v>
      </c>
      <c r="X163" s="3">
        <v>62.6</v>
      </c>
      <c r="Y163" s="3">
        <v>68.56</v>
      </c>
      <c r="Z163" s="3">
        <v>66.56</v>
      </c>
      <c r="AA163" s="3">
        <v>113.24</v>
      </c>
      <c r="AB163" s="3">
        <v>86.32</v>
      </c>
      <c r="AC163" s="3">
        <v>88.12</v>
      </c>
      <c r="AD163" s="3">
        <v>89.24</v>
      </c>
      <c r="AE163" s="3">
        <v>90.28</v>
      </c>
      <c r="AF163" s="3">
        <v>88.72</v>
      </c>
      <c r="AG163" s="3">
        <v>87.2</v>
      </c>
      <c r="AH163" s="3">
        <v>87.6</v>
      </c>
      <c r="AI163" s="3">
        <v>74.819999999999993</v>
      </c>
      <c r="AJ163" s="3">
        <v>87.28</v>
      </c>
      <c r="AK163" s="3">
        <v>90.76</v>
      </c>
      <c r="AL163" s="3">
        <v>92.52</v>
      </c>
    </row>
    <row r="164" spans="2:41" x14ac:dyDescent="0.3">
      <c r="B164" t="s">
        <v>104</v>
      </c>
      <c r="D164">
        <v>149</v>
      </c>
      <c r="E164">
        <v>9956</v>
      </c>
      <c r="F164">
        <v>1</v>
      </c>
      <c r="H164">
        <v>160</v>
      </c>
      <c r="I164" s="3">
        <f>AVERAGE(J164:XX164)</f>
        <v>115.29684210526318</v>
      </c>
      <c r="J164" s="3">
        <v>128.76</v>
      </c>
      <c r="K164" s="3">
        <v>102.84</v>
      </c>
      <c r="L164" s="3">
        <v>276.48</v>
      </c>
      <c r="M164" s="3">
        <v>84.76</v>
      </c>
      <c r="N164" s="3">
        <v>89.04</v>
      </c>
      <c r="O164" s="3">
        <v>74.34</v>
      </c>
      <c r="P164" s="3">
        <v>96.24</v>
      </c>
      <c r="Q164" s="3">
        <v>356</v>
      </c>
      <c r="R164" s="3">
        <v>79.48</v>
      </c>
      <c r="S164" s="3">
        <v>91.68</v>
      </c>
      <c r="T164" s="3">
        <v>77.16</v>
      </c>
      <c r="U164" s="3">
        <v>76.72</v>
      </c>
      <c r="V164" s="3">
        <v>91.92</v>
      </c>
      <c r="W164" s="3">
        <v>77.42</v>
      </c>
      <c r="X164" s="3">
        <v>100.88</v>
      </c>
      <c r="Y164" s="3">
        <v>97.32</v>
      </c>
      <c r="Z164" s="3">
        <v>93.28</v>
      </c>
      <c r="AA164" s="3">
        <v>96.28</v>
      </c>
      <c r="AB164" s="3">
        <v>100.04</v>
      </c>
    </row>
    <row r="165" spans="2:41" x14ac:dyDescent="0.3">
      <c r="B165" t="s">
        <v>105</v>
      </c>
      <c r="D165">
        <v>161</v>
      </c>
      <c r="E165">
        <v>14212</v>
      </c>
      <c r="F165">
        <v>1</v>
      </c>
      <c r="H165">
        <v>161</v>
      </c>
      <c r="I165" s="3">
        <f>AVERAGE(J165:XX165)</f>
        <v>98.979999999999976</v>
      </c>
      <c r="J165" s="3">
        <v>142.12</v>
      </c>
      <c r="K165" s="3">
        <v>114.32</v>
      </c>
      <c r="L165" s="3">
        <v>118.8</v>
      </c>
      <c r="M165" s="3">
        <v>78.08</v>
      </c>
      <c r="N165" s="3">
        <v>99.04</v>
      </c>
      <c r="O165" s="3">
        <v>94.84</v>
      </c>
      <c r="P165" s="3">
        <v>96.4</v>
      </c>
      <c r="Q165" s="3">
        <v>90.84</v>
      </c>
      <c r="R165" s="3">
        <v>98.32</v>
      </c>
      <c r="S165" s="3">
        <v>110.76</v>
      </c>
      <c r="T165" s="3">
        <v>94.56</v>
      </c>
      <c r="U165" s="3">
        <v>101.52</v>
      </c>
      <c r="V165" s="3">
        <v>86.52</v>
      </c>
      <c r="W165" s="3">
        <v>98.8</v>
      </c>
      <c r="X165" s="3">
        <v>81.34</v>
      </c>
      <c r="Y165" s="3">
        <v>84.12</v>
      </c>
      <c r="Z165" s="3">
        <v>76.84</v>
      </c>
      <c r="AA165" s="3">
        <v>110.4</v>
      </c>
      <c r="AB165" s="3">
        <v>103</v>
      </c>
    </row>
    <row r="166" spans="2:41" x14ac:dyDescent="0.3">
      <c r="B166" t="s">
        <v>106</v>
      </c>
      <c r="D166">
        <v>167</v>
      </c>
      <c r="E166">
        <v>16928</v>
      </c>
      <c r="F166">
        <v>1</v>
      </c>
      <c r="H166">
        <v>162</v>
      </c>
      <c r="I166" s="3">
        <f>AVERAGE(J166:XX166)</f>
        <v>104.95937499999999</v>
      </c>
      <c r="J166" s="3">
        <v>159.19999999999999</v>
      </c>
      <c r="K166" s="3">
        <v>96</v>
      </c>
      <c r="L166" s="3">
        <v>100.64</v>
      </c>
      <c r="M166" s="3">
        <v>113.08</v>
      </c>
      <c r="N166" s="3">
        <v>107.68</v>
      </c>
      <c r="O166" s="3">
        <v>105.64</v>
      </c>
      <c r="P166" s="3">
        <v>108.64</v>
      </c>
      <c r="Q166" s="3">
        <v>102.52</v>
      </c>
      <c r="R166" s="3">
        <v>104.6</v>
      </c>
      <c r="S166" s="3">
        <v>99.32</v>
      </c>
      <c r="T166" s="3">
        <v>111.24</v>
      </c>
      <c r="U166" s="3">
        <v>86.84</v>
      </c>
      <c r="V166" s="3">
        <v>110.08</v>
      </c>
      <c r="W166" s="3">
        <v>84.16</v>
      </c>
      <c r="X166" s="3">
        <v>90.24</v>
      </c>
      <c r="Y166" s="3">
        <v>85</v>
      </c>
      <c r="Z166" s="3">
        <v>98.76</v>
      </c>
      <c r="AA166" s="3">
        <v>84.12</v>
      </c>
      <c r="AB166" s="3">
        <v>86.52</v>
      </c>
      <c r="AC166" s="3">
        <v>66.22</v>
      </c>
      <c r="AD166" s="3">
        <v>111.36</v>
      </c>
      <c r="AE166" s="3">
        <v>75.66</v>
      </c>
      <c r="AF166" s="3">
        <v>95.28</v>
      </c>
      <c r="AG166" s="3">
        <v>64.48</v>
      </c>
      <c r="AH166" s="3">
        <v>85.28</v>
      </c>
      <c r="AI166" s="3">
        <v>307.2</v>
      </c>
      <c r="AJ166" s="3">
        <v>63.86</v>
      </c>
      <c r="AK166" s="3">
        <v>121.76</v>
      </c>
      <c r="AL166" s="3">
        <v>106.24</v>
      </c>
      <c r="AM166" s="3">
        <v>107.76</v>
      </c>
      <c r="AN166" s="3">
        <v>112.16</v>
      </c>
      <c r="AO166" s="3">
        <v>107.16</v>
      </c>
    </row>
    <row r="167" spans="2:41" x14ac:dyDescent="0.3">
      <c r="B167" t="s">
        <v>107</v>
      </c>
      <c r="D167">
        <v>169</v>
      </c>
      <c r="E167">
        <v>20528</v>
      </c>
      <c r="F167">
        <v>1</v>
      </c>
      <c r="H167">
        <v>163</v>
      </c>
      <c r="I167" s="3">
        <f>AVERAGE(J167:XX167)</f>
        <v>109.9848275862069</v>
      </c>
      <c r="J167" s="3">
        <v>141.91999999999999</v>
      </c>
      <c r="K167" s="3">
        <v>130.12</v>
      </c>
      <c r="L167" s="3">
        <v>146.44</v>
      </c>
      <c r="M167" s="3">
        <v>118.16</v>
      </c>
      <c r="N167" s="3">
        <v>114.96</v>
      </c>
      <c r="O167" s="3">
        <v>109.68</v>
      </c>
      <c r="P167" s="3">
        <v>96.24</v>
      </c>
      <c r="Q167" s="3">
        <v>110.52</v>
      </c>
      <c r="R167" s="3">
        <v>104.68</v>
      </c>
      <c r="S167" s="3">
        <v>97.92</v>
      </c>
      <c r="T167" s="3">
        <v>113.04</v>
      </c>
      <c r="U167" s="3">
        <v>80.44</v>
      </c>
      <c r="V167" s="3">
        <v>107.96</v>
      </c>
      <c r="W167" s="3">
        <v>124.92</v>
      </c>
      <c r="X167" s="3">
        <v>132.12</v>
      </c>
      <c r="Y167" s="3">
        <v>81.44</v>
      </c>
      <c r="Z167" s="3">
        <v>126.12</v>
      </c>
      <c r="AA167" s="3">
        <v>89.36</v>
      </c>
      <c r="AB167" s="3">
        <v>80.8</v>
      </c>
      <c r="AC167" s="3">
        <v>88.52</v>
      </c>
      <c r="AD167" s="3">
        <v>121.48</v>
      </c>
      <c r="AE167" s="3">
        <v>74.599999999999994</v>
      </c>
      <c r="AF167" s="3">
        <v>110.68</v>
      </c>
      <c r="AG167" s="3">
        <v>111.28</v>
      </c>
      <c r="AH167" s="3">
        <v>114.08</v>
      </c>
      <c r="AI167" s="3">
        <v>113.8</v>
      </c>
      <c r="AJ167" s="3">
        <v>117.04</v>
      </c>
      <c r="AK167" s="3">
        <v>117.36</v>
      </c>
      <c r="AL167" s="3">
        <v>113.88</v>
      </c>
    </row>
    <row r="168" spans="2:41" x14ac:dyDescent="0.3">
      <c r="B168" t="s">
        <v>108</v>
      </c>
      <c r="D168">
        <v>183</v>
      </c>
      <c r="E168">
        <v>45024</v>
      </c>
      <c r="F168">
        <v>1</v>
      </c>
      <c r="H168">
        <v>164</v>
      </c>
      <c r="I168" s="3">
        <f>AVERAGE(J168:XX168)</f>
        <v>115.99870967741936</v>
      </c>
      <c r="J168" s="3">
        <v>129.4</v>
      </c>
      <c r="K168" s="3">
        <v>126</v>
      </c>
      <c r="L168" s="3">
        <v>122.64</v>
      </c>
      <c r="M168" s="3">
        <v>124.16</v>
      </c>
      <c r="N168" s="3">
        <v>114.4</v>
      </c>
      <c r="O168" s="3">
        <v>121.56</v>
      </c>
      <c r="P168" s="3">
        <v>122.92</v>
      </c>
      <c r="Q168" s="3">
        <v>114.28</v>
      </c>
      <c r="R168" s="3">
        <v>134.36000000000001</v>
      </c>
      <c r="S168" s="3">
        <v>103.44</v>
      </c>
      <c r="T168" s="3">
        <v>125.68</v>
      </c>
      <c r="U168" s="3">
        <v>107.36</v>
      </c>
      <c r="V168" s="3">
        <v>103.24</v>
      </c>
      <c r="W168" s="3">
        <v>110.8</v>
      </c>
      <c r="X168" s="3">
        <v>106.88</v>
      </c>
      <c r="Y168" s="3">
        <v>97.8</v>
      </c>
      <c r="Z168" s="3">
        <v>115.8</v>
      </c>
      <c r="AA168" s="3">
        <v>106.24</v>
      </c>
      <c r="AB168" s="3">
        <v>106.68</v>
      </c>
      <c r="AC168" s="3">
        <v>107.28</v>
      </c>
      <c r="AD168" s="3">
        <v>101.64</v>
      </c>
      <c r="AE168" s="3">
        <v>121.88</v>
      </c>
      <c r="AF168" s="3">
        <v>138.44</v>
      </c>
      <c r="AG168" s="3">
        <v>82.6</v>
      </c>
      <c r="AH168" s="3">
        <v>119.2</v>
      </c>
      <c r="AI168" s="3">
        <v>121.32</v>
      </c>
      <c r="AJ168" s="3">
        <v>122.88</v>
      </c>
      <c r="AK168" s="3">
        <v>123.6</v>
      </c>
      <c r="AL168" s="3">
        <v>122.4</v>
      </c>
      <c r="AM168" s="3">
        <v>121.32</v>
      </c>
      <c r="AN168" s="3">
        <v>119.76</v>
      </c>
    </row>
    <row r="169" spans="2:41" x14ac:dyDescent="0.3">
      <c r="B169" t="s">
        <v>109</v>
      </c>
      <c r="D169">
        <v>183</v>
      </c>
      <c r="E169">
        <v>44464</v>
      </c>
      <c r="F169">
        <v>1</v>
      </c>
      <c r="H169">
        <v>165</v>
      </c>
      <c r="I169" s="3">
        <f>AVERAGE(J169:XX169)</f>
        <v>130.62814814814814</v>
      </c>
      <c r="J169" s="3">
        <v>129.24</v>
      </c>
      <c r="K169" s="3">
        <v>136.88</v>
      </c>
      <c r="L169" s="3">
        <v>131.28</v>
      </c>
      <c r="M169" s="3">
        <v>132.91999999999999</v>
      </c>
      <c r="N169" s="3">
        <v>131.36000000000001</v>
      </c>
      <c r="O169" s="3">
        <v>120.56</v>
      </c>
      <c r="P169" s="3">
        <v>111.52</v>
      </c>
      <c r="Q169" s="3">
        <v>124.76</v>
      </c>
      <c r="R169" s="3">
        <v>111.64</v>
      </c>
      <c r="S169" s="3">
        <v>100.4</v>
      </c>
      <c r="T169" s="3">
        <v>116.32</v>
      </c>
      <c r="U169" s="3">
        <v>112.08</v>
      </c>
      <c r="V169" s="3">
        <v>92.04</v>
      </c>
      <c r="W169" s="3">
        <v>121.48</v>
      </c>
      <c r="X169" s="3">
        <v>104.88</v>
      </c>
      <c r="Y169" s="3">
        <v>112.12</v>
      </c>
      <c r="Z169" s="3">
        <v>84</v>
      </c>
      <c r="AA169" s="3">
        <v>357.92</v>
      </c>
      <c r="AB169" s="3">
        <v>77.08</v>
      </c>
      <c r="AC169" s="3">
        <v>319.12</v>
      </c>
      <c r="AD169" s="3">
        <v>84.2</v>
      </c>
      <c r="AE169" s="3">
        <v>83.64</v>
      </c>
      <c r="AF169" s="3">
        <v>125.48</v>
      </c>
      <c r="AG169" s="3">
        <v>125.44</v>
      </c>
      <c r="AH169" s="3">
        <v>125.52</v>
      </c>
      <c r="AI169" s="3">
        <v>125.92</v>
      </c>
      <c r="AJ169" s="3">
        <v>129.16</v>
      </c>
    </row>
    <row r="170" spans="2:41" x14ac:dyDescent="0.3">
      <c r="B170" t="s">
        <v>110</v>
      </c>
      <c r="D170">
        <v>182</v>
      </c>
      <c r="E170">
        <v>34848</v>
      </c>
      <c r="F170">
        <v>1</v>
      </c>
      <c r="H170">
        <v>166</v>
      </c>
      <c r="I170" s="3">
        <f>AVERAGE(J170:XX170)</f>
        <v>118.11473684210526</v>
      </c>
      <c r="J170" s="3">
        <v>156.44</v>
      </c>
      <c r="K170" s="3">
        <v>182.32</v>
      </c>
      <c r="L170" s="3">
        <v>139.76</v>
      </c>
      <c r="M170" s="3">
        <v>134.63999999999999</v>
      </c>
      <c r="N170" s="3">
        <v>131.80000000000001</v>
      </c>
      <c r="O170" s="3">
        <v>137.63999999999999</v>
      </c>
      <c r="P170" s="3">
        <v>129.04</v>
      </c>
      <c r="Q170" s="3">
        <v>124.08</v>
      </c>
      <c r="R170" s="3">
        <v>103.8</v>
      </c>
      <c r="S170" s="3">
        <v>43.02</v>
      </c>
      <c r="T170" s="3">
        <v>103</v>
      </c>
      <c r="U170" s="3">
        <v>99.68</v>
      </c>
      <c r="V170" s="3">
        <v>130.08000000000001</v>
      </c>
      <c r="W170" s="3">
        <v>110.76</v>
      </c>
      <c r="X170" s="3">
        <v>158.36000000000001</v>
      </c>
      <c r="Y170" s="3">
        <v>108.84</v>
      </c>
      <c r="Z170" s="3">
        <v>108.64</v>
      </c>
      <c r="AA170" s="3">
        <v>70.040000000000006</v>
      </c>
      <c r="AB170" s="3">
        <v>72.239999999999995</v>
      </c>
    </row>
    <row r="171" spans="2:41" x14ac:dyDescent="0.3">
      <c r="B171" t="s">
        <v>111</v>
      </c>
      <c r="D171">
        <v>196</v>
      </c>
      <c r="E171">
        <v>1856</v>
      </c>
      <c r="F171">
        <v>1</v>
      </c>
      <c r="H171">
        <v>167</v>
      </c>
      <c r="I171" s="3">
        <f>AVERAGE(J171:XX171)</f>
        <v>122.74636363636363</v>
      </c>
      <c r="J171" s="3">
        <v>169.28</v>
      </c>
      <c r="K171" s="3">
        <v>154.76</v>
      </c>
      <c r="L171" s="3">
        <v>135.4</v>
      </c>
      <c r="M171" s="3">
        <v>148.24</v>
      </c>
      <c r="N171" s="3">
        <v>130.84</v>
      </c>
      <c r="O171" s="3">
        <v>141.6</v>
      </c>
      <c r="P171" s="3">
        <v>124.08</v>
      </c>
      <c r="Q171" s="3">
        <v>118.16</v>
      </c>
      <c r="R171" s="3">
        <v>141.72</v>
      </c>
      <c r="S171" s="3">
        <v>98.4</v>
      </c>
      <c r="T171" s="3">
        <v>110.96</v>
      </c>
      <c r="U171" s="3">
        <v>89.48</v>
      </c>
      <c r="V171" s="3">
        <v>122.24</v>
      </c>
      <c r="W171" s="3">
        <v>115.16</v>
      </c>
      <c r="X171" s="3">
        <v>126.52</v>
      </c>
      <c r="Y171" s="3">
        <v>164.96</v>
      </c>
      <c r="Z171" s="3">
        <v>155.88</v>
      </c>
      <c r="AA171" s="3">
        <v>115.56</v>
      </c>
      <c r="AB171" s="3">
        <v>105.04</v>
      </c>
      <c r="AC171" s="3">
        <v>82.72</v>
      </c>
      <c r="AD171" s="3">
        <v>79.739999999999995</v>
      </c>
      <c r="AE171" s="3">
        <v>69.680000000000007</v>
      </c>
    </row>
    <row r="172" spans="2:41" x14ac:dyDescent="0.3">
      <c r="B172" t="s">
        <v>112</v>
      </c>
      <c r="D172">
        <v>195</v>
      </c>
      <c r="E172">
        <v>19264</v>
      </c>
      <c r="F172">
        <v>1</v>
      </c>
      <c r="H172">
        <v>168</v>
      </c>
      <c r="I172" s="3">
        <f>AVERAGE(J172:XX172)</f>
        <v>152.25894736842102</v>
      </c>
      <c r="J172" s="3">
        <v>133.52000000000001</v>
      </c>
      <c r="K172" s="3">
        <v>149.6</v>
      </c>
      <c r="L172" s="3">
        <v>149.6</v>
      </c>
      <c r="M172" s="3">
        <v>150.4</v>
      </c>
      <c r="N172" s="3">
        <v>153.80000000000001</v>
      </c>
      <c r="O172" s="3">
        <v>162.96</v>
      </c>
      <c r="P172" s="3">
        <v>165.92</v>
      </c>
      <c r="Q172" s="3">
        <v>130.76</v>
      </c>
      <c r="R172" s="3">
        <v>148.88</v>
      </c>
      <c r="S172" s="3">
        <v>334.72</v>
      </c>
      <c r="T172" s="3">
        <v>230.48</v>
      </c>
      <c r="U172" s="3">
        <v>148.96</v>
      </c>
      <c r="V172" s="3">
        <v>153.08000000000001</v>
      </c>
      <c r="W172" s="3">
        <v>117.48</v>
      </c>
      <c r="X172" s="3">
        <v>112.64</v>
      </c>
      <c r="Y172" s="3">
        <v>131.91999999999999</v>
      </c>
      <c r="Z172" s="3">
        <v>125.16</v>
      </c>
      <c r="AA172" s="3">
        <v>120.56</v>
      </c>
      <c r="AB172" s="3">
        <v>72.48</v>
      </c>
    </row>
    <row r="173" spans="2:41" x14ac:dyDescent="0.3">
      <c r="B173" t="s">
        <v>113</v>
      </c>
      <c r="D173">
        <v>195</v>
      </c>
      <c r="E173">
        <v>23456</v>
      </c>
      <c r="F173">
        <v>1</v>
      </c>
      <c r="H173">
        <v>169</v>
      </c>
      <c r="I173" s="3">
        <f>AVERAGE(J173:XX173)</f>
        <v>156.32923076923078</v>
      </c>
      <c r="J173" s="3">
        <v>205.28</v>
      </c>
      <c r="K173" s="3">
        <v>154.80000000000001</v>
      </c>
      <c r="L173" s="3">
        <v>155.91999999999999</v>
      </c>
      <c r="M173" s="3">
        <v>201.52</v>
      </c>
      <c r="N173" s="3">
        <v>153.08000000000001</v>
      </c>
      <c r="O173" s="3">
        <v>123.12</v>
      </c>
      <c r="P173" s="3">
        <v>319.60000000000002</v>
      </c>
      <c r="Q173" s="3">
        <v>122.2</v>
      </c>
      <c r="R173" s="3">
        <v>123.2</v>
      </c>
      <c r="S173" s="3">
        <v>152.16</v>
      </c>
      <c r="T173" s="3">
        <v>163.72</v>
      </c>
      <c r="U173" s="3">
        <v>84.08</v>
      </c>
      <c r="V173" s="3">
        <v>73.599999999999994</v>
      </c>
    </row>
    <row r="174" spans="2:41" x14ac:dyDescent="0.3">
      <c r="B174" t="s">
        <v>114</v>
      </c>
      <c r="D174">
        <v>195</v>
      </c>
      <c r="E174">
        <v>21056</v>
      </c>
      <c r="F174">
        <v>1</v>
      </c>
      <c r="H174">
        <v>170</v>
      </c>
      <c r="I174" s="3">
        <f>AVERAGE(J174:XX174)</f>
        <v>166.16</v>
      </c>
      <c r="J174" s="3">
        <v>249.2</v>
      </c>
      <c r="K174" s="3">
        <v>166.96</v>
      </c>
      <c r="L174" s="3">
        <v>147</v>
      </c>
      <c r="M174" s="3">
        <v>152.04</v>
      </c>
      <c r="N174" s="3">
        <v>155.19999999999999</v>
      </c>
      <c r="O174" s="3">
        <v>157.96</v>
      </c>
      <c r="P174" s="3">
        <v>119.96</v>
      </c>
      <c r="Q174" s="3">
        <v>138.72</v>
      </c>
      <c r="R174" s="3">
        <v>85.36</v>
      </c>
      <c r="S174" s="3">
        <v>131.16</v>
      </c>
      <c r="T174" s="3">
        <v>143.12</v>
      </c>
      <c r="U174" s="3">
        <v>160</v>
      </c>
      <c r="V174" s="3">
        <v>402.4</v>
      </c>
      <c r="W174" s="3">
        <v>117.16</v>
      </c>
    </row>
    <row r="175" spans="2:41" x14ac:dyDescent="0.3">
      <c r="B175" t="s">
        <v>115</v>
      </c>
      <c r="D175">
        <v>196</v>
      </c>
      <c r="E175">
        <v>24768</v>
      </c>
      <c r="F175">
        <v>1</v>
      </c>
      <c r="H175">
        <v>171</v>
      </c>
      <c r="I175" s="3">
        <f>AVERAGE(J175:XX175)</f>
        <v>168.89333333333329</v>
      </c>
      <c r="J175" s="3">
        <v>192.88</v>
      </c>
      <c r="K175" s="3">
        <v>599.04</v>
      </c>
      <c r="L175" s="3">
        <v>158.08000000000001</v>
      </c>
      <c r="M175" s="3">
        <v>164.64</v>
      </c>
      <c r="N175" s="3">
        <v>175.52</v>
      </c>
      <c r="O175" s="3">
        <v>200.08</v>
      </c>
      <c r="P175" s="3">
        <v>157.72</v>
      </c>
      <c r="Q175" s="3">
        <v>157.28</v>
      </c>
      <c r="R175" s="3">
        <v>161.16</v>
      </c>
      <c r="S175" s="3">
        <v>129.4</v>
      </c>
      <c r="T175" s="3">
        <v>150.68</v>
      </c>
      <c r="U175" s="3">
        <v>125.48</v>
      </c>
      <c r="V175" s="3">
        <v>145.80000000000001</v>
      </c>
      <c r="W175" s="3">
        <v>124.28</v>
      </c>
      <c r="X175" s="3">
        <v>177.04</v>
      </c>
      <c r="Y175" s="3">
        <v>148.80000000000001</v>
      </c>
      <c r="Z175" s="3">
        <v>118.68</v>
      </c>
      <c r="AA175" s="3">
        <v>156.36000000000001</v>
      </c>
      <c r="AB175" s="3">
        <v>134.08000000000001</v>
      </c>
      <c r="AC175" s="3">
        <v>148.6</v>
      </c>
      <c r="AD175" s="3">
        <v>171.92</v>
      </c>
      <c r="AE175" s="3">
        <v>142.4</v>
      </c>
      <c r="AF175" s="3">
        <v>159.72</v>
      </c>
      <c r="AG175" s="3">
        <v>149.56</v>
      </c>
      <c r="AH175" s="3">
        <v>191.44</v>
      </c>
      <c r="AI175" s="3">
        <v>134.47999999999999</v>
      </c>
      <c r="AJ175" s="3">
        <v>85</v>
      </c>
    </row>
    <row r="176" spans="2:41" x14ac:dyDescent="0.3">
      <c r="B176" t="s">
        <v>116</v>
      </c>
      <c r="D176">
        <v>193</v>
      </c>
      <c r="E176">
        <v>19456</v>
      </c>
      <c r="F176">
        <v>1</v>
      </c>
      <c r="H176">
        <v>172</v>
      </c>
      <c r="I176" s="3">
        <f>AVERAGE(J176:XX176)</f>
        <v>170.68068965517244</v>
      </c>
      <c r="J176" s="3">
        <v>218</v>
      </c>
      <c r="K176" s="3">
        <v>177.04</v>
      </c>
      <c r="L176" s="3">
        <v>198.08</v>
      </c>
      <c r="M176" s="3">
        <v>172.96</v>
      </c>
      <c r="N176" s="3">
        <v>187.92</v>
      </c>
      <c r="O176" s="3">
        <v>130.56</v>
      </c>
      <c r="P176" s="3">
        <v>397.76</v>
      </c>
      <c r="Q176" s="3">
        <v>260.64</v>
      </c>
      <c r="R176" s="3">
        <v>148.16</v>
      </c>
      <c r="S176" s="3">
        <v>132.72</v>
      </c>
      <c r="T176" s="3">
        <v>133</v>
      </c>
      <c r="U176" s="3">
        <v>133.96</v>
      </c>
      <c r="V176" s="3">
        <v>124.76</v>
      </c>
      <c r="W176" s="3">
        <v>166.64</v>
      </c>
      <c r="X176" s="3">
        <v>131.63999999999999</v>
      </c>
      <c r="Y176" s="3">
        <v>227.92</v>
      </c>
      <c r="Z176" s="3">
        <v>130.63999999999999</v>
      </c>
      <c r="AA176" s="3">
        <v>171.12</v>
      </c>
      <c r="AB176" s="3">
        <v>166.32</v>
      </c>
      <c r="AC176" s="3">
        <v>151.44</v>
      </c>
      <c r="AD176" s="3">
        <v>165.36</v>
      </c>
      <c r="AE176" s="3">
        <v>159.47999999999999</v>
      </c>
      <c r="AF176" s="3">
        <v>178</v>
      </c>
      <c r="AG176" s="3">
        <v>154.72</v>
      </c>
      <c r="AH176" s="3">
        <v>167.68</v>
      </c>
      <c r="AI176" s="3">
        <v>216.96</v>
      </c>
      <c r="AJ176" s="3">
        <v>189.68</v>
      </c>
      <c r="AK176" s="3">
        <v>80.459999999999994</v>
      </c>
      <c r="AL176" s="3">
        <v>76.12</v>
      </c>
    </row>
    <row r="177" spans="2:44" x14ac:dyDescent="0.3">
      <c r="B177" t="s">
        <v>117</v>
      </c>
      <c r="D177">
        <v>195</v>
      </c>
      <c r="E177">
        <v>29216</v>
      </c>
      <c r="F177">
        <v>1</v>
      </c>
      <c r="H177">
        <v>173</v>
      </c>
      <c r="I177" s="3">
        <f>AVERAGE(J177:XX177)</f>
        <v>189.27238095238096</v>
      </c>
      <c r="J177" s="3">
        <v>283.44</v>
      </c>
      <c r="K177" s="3">
        <v>233.68</v>
      </c>
      <c r="L177" s="3">
        <v>245.2</v>
      </c>
      <c r="M177" s="3">
        <v>247.28</v>
      </c>
      <c r="N177" s="3">
        <v>179.84</v>
      </c>
      <c r="O177" s="3">
        <v>197.52</v>
      </c>
      <c r="P177" s="3">
        <v>210.88</v>
      </c>
      <c r="Q177" s="3">
        <v>166.32</v>
      </c>
      <c r="R177" s="3">
        <v>161.47999999999999</v>
      </c>
      <c r="S177" s="3">
        <v>158.16</v>
      </c>
      <c r="T177" s="3">
        <v>157.28</v>
      </c>
      <c r="U177" s="3">
        <v>132.04</v>
      </c>
      <c r="V177" s="3">
        <v>143.44</v>
      </c>
      <c r="W177" s="3">
        <v>162.56</v>
      </c>
      <c r="X177" s="3">
        <v>212</v>
      </c>
      <c r="Y177" s="3">
        <v>176.88</v>
      </c>
      <c r="Z177" s="3">
        <v>163.08000000000001</v>
      </c>
      <c r="AA177" s="3">
        <v>179.92</v>
      </c>
      <c r="AB177" s="3">
        <v>166.96</v>
      </c>
      <c r="AC177" s="3">
        <v>242.56</v>
      </c>
      <c r="AD177" s="3">
        <v>154.19999999999999</v>
      </c>
    </row>
    <row r="178" spans="2:44" x14ac:dyDescent="0.3">
      <c r="B178" t="s">
        <v>118</v>
      </c>
      <c r="D178">
        <v>197</v>
      </c>
      <c r="E178">
        <v>38272</v>
      </c>
      <c r="F178">
        <v>1</v>
      </c>
      <c r="H178">
        <v>174</v>
      </c>
      <c r="I178" s="3">
        <f>AVERAGE(J178:XX178)</f>
        <v>202.578</v>
      </c>
      <c r="J178" s="3">
        <v>205.92</v>
      </c>
      <c r="K178" s="3">
        <v>256.8</v>
      </c>
      <c r="L178" s="3">
        <v>174.08</v>
      </c>
      <c r="M178" s="3">
        <v>169.76</v>
      </c>
      <c r="N178" s="3">
        <v>176.16</v>
      </c>
      <c r="O178" s="3">
        <v>190.64</v>
      </c>
      <c r="P178" s="3">
        <v>172.24</v>
      </c>
      <c r="Q178" s="3">
        <v>151.24</v>
      </c>
      <c r="R178" s="3">
        <v>169.04</v>
      </c>
      <c r="S178" s="3">
        <v>196.72</v>
      </c>
      <c r="T178" s="3">
        <v>168.96</v>
      </c>
      <c r="U178" s="3">
        <v>187.04</v>
      </c>
      <c r="V178" s="3">
        <v>179.12</v>
      </c>
      <c r="W178" s="3">
        <v>193.68</v>
      </c>
      <c r="X178" s="3">
        <v>175.2</v>
      </c>
      <c r="Y178" s="3">
        <v>227.52</v>
      </c>
      <c r="Z178" s="3">
        <v>187.44</v>
      </c>
      <c r="AA178" s="3">
        <v>416.48</v>
      </c>
      <c r="AB178" s="3">
        <v>226.8</v>
      </c>
      <c r="AC178" s="3">
        <v>226.72</v>
      </c>
    </row>
    <row r="179" spans="2:44" x14ac:dyDescent="0.3">
      <c r="B179" t="s">
        <v>119</v>
      </c>
      <c r="D179">
        <v>203</v>
      </c>
      <c r="E179">
        <v>3968</v>
      </c>
      <c r="F179">
        <v>1</v>
      </c>
      <c r="H179">
        <v>175</v>
      </c>
      <c r="I179" s="3">
        <f>AVERAGE(J179:XX179)</f>
        <v>196.3366666666667</v>
      </c>
      <c r="J179" s="3">
        <v>187.92</v>
      </c>
      <c r="K179" s="3">
        <v>216.16</v>
      </c>
      <c r="L179" s="3">
        <v>219.04</v>
      </c>
      <c r="M179" s="3">
        <v>270.08</v>
      </c>
      <c r="N179" s="3">
        <v>179.92</v>
      </c>
      <c r="O179" s="3">
        <v>150.96</v>
      </c>
      <c r="P179" s="3">
        <v>155.24</v>
      </c>
      <c r="Q179" s="3">
        <v>177.84</v>
      </c>
      <c r="R179" s="3">
        <v>253.28</v>
      </c>
      <c r="S179" s="3">
        <v>171.36</v>
      </c>
      <c r="T179" s="3">
        <v>211.44</v>
      </c>
      <c r="U179" s="3">
        <v>162.80000000000001</v>
      </c>
    </row>
    <row r="180" spans="2:44" x14ac:dyDescent="0.3">
      <c r="B180" t="s">
        <v>120</v>
      </c>
      <c r="D180">
        <v>205</v>
      </c>
      <c r="E180">
        <v>22016</v>
      </c>
      <c r="F180">
        <v>1</v>
      </c>
      <c r="H180">
        <v>176</v>
      </c>
      <c r="I180" s="3">
        <f>AVERAGE(J180:XX180)</f>
        <v>216.69263157894741</v>
      </c>
      <c r="J180" s="3">
        <v>268.8</v>
      </c>
      <c r="K180" s="3">
        <v>101.8</v>
      </c>
      <c r="L180" s="3">
        <v>277.83999999999997</v>
      </c>
      <c r="M180" s="3">
        <v>207.44</v>
      </c>
      <c r="N180" s="3">
        <v>174.72</v>
      </c>
      <c r="O180" s="3">
        <v>179.6</v>
      </c>
      <c r="P180" s="3">
        <v>177.44</v>
      </c>
      <c r="Q180" s="3">
        <v>205.36</v>
      </c>
      <c r="R180" s="3">
        <v>212</v>
      </c>
      <c r="S180" s="3">
        <v>342.24</v>
      </c>
      <c r="T180" s="3">
        <v>204.8</v>
      </c>
      <c r="U180" s="3">
        <v>218.16</v>
      </c>
      <c r="V180" s="3">
        <v>265.36</v>
      </c>
      <c r="W180" s="3">
        <v>212.32</v>
      </c>
      <c r="X180" s="3">
        <v>90.32</v>
      </c>
      <c r="Y180" s="3">
        <v>321.83999999999997</v>
      </c>
      <c r="Z180" s="3">
        <v>232.32</v>
      </c>
      <c r="AA180" s="3">
        <v>248.4</v>
      </c>
      <c r="AB180" s="3">
        <v>176.4</v>
      </c>
    </row>
    <row r="181" spans="2:44" x14ac:dyDescent="0.3">
      <c r="B181" t="s">
        <v>121</v>
      </c>
      <c r="D181">
        <v>205</v>
      </c>
      <c r="E181">
        <v>16256</v>
      </c>
      <c r="F181">
        <v>1</v>
      </c>
      <c r="H181">
        <v>177</v>
      </c>
      <c r="I181" s="3">
        <f>AVERAGE(J181:XX181)</f>
        <v>250.26285714285714</v>
      </c>
      <c r="J181" s="3">
        <v>376.96</v>
      </c>
      <c r="K181" s="3">
        <v>314</v>
      </c>
      <c r="L181" s="3">
        <v>180.64</v>
      </c>
      <c r="M181" s="3">
        <v>217.6</v>
      </c>
      <c r="N181" s="3">
        <v>186.56</v>
      </c>
      <c r="O181" s="3">
        <v>256.08</v>
      </c>
      <c r="P181" s="3">
        <v>220</v>
      </c>
    </row>
    <row r="182" spans="2:44" x14ac:dyDescent="0.3">
      <c r="B182" t="s">
        <v>122</v>
      </c>
      <c r="D182">
        <v>206</v>
      </c>
      <c r="E182">
        <v>26816</v>
      </c>
      <c r="F182">
        <v>1</v>
      </c>
      <c r="H182">
        <v>178</v>
      </c>
      <c r="I182" s="3">
        <f>AVERAGE(J182:XX182)</f>
        <v>269.82857142857148</v>
      </c>
      <c r="J182" s="3">
        <v>368.64</v>
      </c>
      <c r="K182" s="3">
        <v>250.48</v>
      </c>
      <c r="L182" s="3">
        <v>266.64</v>
      </c>
      <c r="M182" s="3">
        <v>199.92</v>
      </c>
      <c r="N182" s="3">
        <v>208.72</v>
      </c>
      <c r="O182" s="3">
        <v>315.76</v>
      </c>
      <c r="P182" s="3">
        <v>278.64</v>
      </c>
    </row>
    <row r="183" spans="2:44" x14ac:dyDescent="0.3">
      <c r="B183" t="s">
        <v>123</v>
      </c>
      <c r="D183">
        <v>207</v>
      </c>
      <c r="E183">
        <v>32320</v>
      </c>
      <c r="F183">
        <v>1</v>
      </c>
      <c r="H183">
        <v>179</v>
      </c>
      <c r="I183" s="3">
        <f>AVERAGE(J183:XX183)</f>
        <v>274.92571428571426</v>
      </c>
      <c r="J183" s="3">
        <v>336.32</v>
      </c>
      <c r="K183" s="3">
        <v>302.88</v>
      </c>
      <c r="L183" s="3">
        <v>267.60000000000002</v>
      </c>
      <c r="M183" s="3">
        <v>256.39999999999998</v>
      </c>
      <c r="N183" s="3">
        <v>269.68</v>
      </c>
      <c r="O183" s="3">
        <v>256.24</v>
      </c>
      <c r="P183" s="3">
        <v>257.83999999999997</v>
      </c>
      <c r="Q183" s="3">
        <v>268.16000000000003</v>
      </c>
      <c r="R183" s="3">
        <v>330.88</v>
      </c>
      <c r="S183" s="3">
        <v>242.88</v>
      </c>
      <c r="T183" s="3">
        <v>291.04000000000002</v>
      </c>
      <c r="U183" s="3">
        <v>209.6</v>
      </c>
      <c r="V183" s="3">
        <v>142.96</v>
      </c>
      <c r="W183" s="3">
        <v>416.48</v>
      </c>
    </row>
    <row r="184" spans="2:44" x14ac:dyDescent="0.3">
      <c r="B184" t="s">
        <v>124</v>
      </c>
      <c r="D184">
        <v>195</v>
      </c>
      <c r="E184">
        <v>42464</v>
      </c>
      <c r="F184">
        <v>1</v>
      </c>
      <c r="H184">
        <v>180</v>
      </c>
      <c r="I184" s="3">
        <f>AVERAGE(J184:XX184)</f>
        <v>306.185</v>
      </c>
      <c r="J184" s="3">
        <v>310.88</v>
      </c>
      <c r="K184" s="3">
        <v>290.88</v>
      </c>
      <c r="L184" s="3">
        <v>384.8</v>
      </c>
      <c r="M184" s="3">
        <v>266.32</v>
      </c>
      <c r="N184" s="3">
        <v>261.04000000000002</v>
      </c>
      <c r="O184" s="3">
        <v>277.83999999999997</v>
      </c>
      <c r="P184" s="3">
        <v>282.32</v>
      </c>
      <c r="Q184" s="3">
        <v>286.88</v>
      </c>
      <c r="R184" s="3">
        <v>351.04</v>
      </c>
      <c r="S184" s="3">
        <v>344.48</v>
      </c>
      <c r="T184" s="3">
        <v>195.92</v>
      </c>
      <c r="U184" s="3">
        <v>295.68</v>
      </c>
      <c r="V184" s="3">
        <v>321.92</v>
      </c>
      <c r="W184" s="3">
        <v>415.04</v>
      </c>
      <c r="X184" s="3">
        <v>315.83999999999997</v>
      </c>
      <c r="Y184" s="3">
        <v>298.08</v>
      </c>
    </row>
    <row r="185" spans="2:44" x14ac:dyDescent="0.3">
      <c r="B185" t="s">
        <v>125</v>
      </c>
      <c r="D185">
        <v>195</v>
      </c>
      <c r="E185">
        <v>25024</v>
      </c>
      <c r="F185">
        <v>1</v>
      </c>
      <c r="H185">
        <v>181</v>
      </c>
      <c r="I185" s="3">
        <f>AVERAGE(J185:XX185)</f>
        <v>278.49999999999994</v>
      </c>
      <c r="J185" s="3">
        <v>431.68</v>
      </c>
      <c r="K185" s="3">
        <v>404.96</v>
      </c>
      <c r="L185" s="3">
        <v>281.44</v>
      </c>
      <c r="M185" s="3">
        <v>273.04000000000002</v>
      </c>
      <c r="N185" s="3">
        <v>317.52</v>
      </c>
      <c r="O185" s="3">
        <v>242.24</v>
      </c>
      <c r="P185" s="3">
        <v>294.32</v>
      </c>
      <c r="Q185" s="3">
        <v>294.32</v>
      </c>
      <c r="R185" s="3">
        <v>177.6</v>
      </c>
      <c r="S185" s="3">
        <v>366.24</v>
      </c>
      <c r="T185" s="3">
        <v>273.68</v>
      </c>
      <c r="U185" s="3">
        <v>295.2</v>
      </c>
      <c r="V185" s="3">
        <v>41.24</v>
      </c>
      <c r="W185" s="3">
        <v>205.52</v>
      </c>
    </row>
    <row r="186" spans="2:44" x14ac:dyDescent="0.3">
      <c r="B186" t="s">
        <v>126</v>
      </c>
      <c r="D186">
        <v>204</v>
      </c>
      <c r="E186">
        <v>704</v>
      </c>
      <c r="F186">
        <v>1</v>
      </c>
      <c r="H186">
        <v>182</v>
      </c>
      <c r="I186" s="3">
        <f>AVERAGE(J186:XX186)</f>
        <v>323.82153846153835</v>
      </c>
      <c r="J186" s="3">
        <v>374.72</v>
      </c>
      <c r="K186" s="3">
        <v>362.4</v>
      </c>
      <c r="L186" s="3">
        <v>348.48</v>
      </c>
      <c r="M186" s="3">
        <v>341.44</v>
      </c>
      <c r="N186" s="3">
        <v>307.76</v>
      </c>
      <c r="O186" s="3">
        <v>312.32</v>
      </c>
      <c r="P186" s="3">
        <v>357.28</v>
      </c>
      <c r="Q186" s="3">
        <v>379.68</v>
      </c>
      <c r="R186" s="3">
        <v>271.12</v>
      </c>
      <c r="S186" s="3">
        <v>226.72</v>
      </c>
      <c r="T186" s="3">
        <v>296.64</v>
      </c>
      <c r="U186" s="3">
        <v>302.64</v>
      </c>
      <c r="V186" s="3">
        <v>328.48</v>
      </c>
    </row>
    <row r="187" spans="2:44" x14ac:dyDescent="0.3">
      <c r="B187" t="s">
        <v>127</v>
      </c>
      <c r="D187">
        <v>210</v>
      </c>
      <c r="E187">
        <v>13056</v>
      </c>
      <c r="F187">
        <v>1</v>
      </c>
      <c r="H187">
        <v>183</v>
      </c>
      <c r="I187" s="3">
        <f>AVERAGE(J187:XX187)</f>
        <v>332.25314285714285</v>
      </c>
      <c r="J187" s="3">
        <v>405.28</v>
      </c>
      <c r="K187" s="3">
        <v>450.24</v>
      </c>
      <c r="L187" s="3">
        <v>444.64</v>
      </c>
      <c r="M187" s="3">
        <v>599.84</v>
      </c>
      <c r="N187" s="3">
        <v>415.04</v>
      </c>
      <c r="O187" s="3">
        <v>191.92</v>
      </c>
      <c r="P187" s="3">
        <v>82.08</v>
      </c>
      <c r="Q187" s="3">
        <v>323.44</v>
      </c>
      <c r="R187" s="3">
        <v>293.44</v>
      </c>
      <c r="S187" s="3">
        <v>284.48</v>
      </c>
      <c r="T187" s="3">
        <v>293.68</v>
      </c>
      <c r="U187" s="3">
        <v>316.88</v>
      </c>
      <c r="V187" s="3">
        <v>331.52</v>
      </c>
      <c r="W187" s="3">
        <v>326.95999999999998</v>
      </c>
      <c r="X187" s="3">
        <v>319.12</v>
      </c>
      <c r="Y187" s="3">
        <v>356.48</v>
      </c>
      <c r="Z187" s="3">
        <v>377.76</v>
      </c>
      <c r="AA187" s="3">
        <v>389.12</v>
      </c>
      <c r="AB187" s="3">
        <v>73.86</v>
      </c>
      <c r="AC187" s="3">
        <v>297.04000000000002</v>
      </c>
      <c r="AD187" s="3">
        <v>290.95999999999998</v>
      </c>
      <c r="AE187" s="3">
        <v>331.36</v>
      </c>
      <c r="AF187" s="3">
        <v>525.44000000000005</v>
      </c>
      <c r="AG187" s="3">
        <v>297.04000000000002</v>
      </c>
      <c r="AH187" s="3">
        <v>380.96</v>
      </c>
      <c r="AI187" s="3">
        <v>322.8</v>
      </c>
      <c r="AJ187" s="3">
        <v>317.12</v>
      </c>
      <c r="AK187" s="3">
        <v>144.6</v>
      </c>
      <c r="AL187" s="3">
        <v>331.2</v>
      </c>
      <c r="AM187" s="3">
        <v>356.8</v>
      </c>
      <c r="AN187" s="3">
        <v>327.84</v>
      </c>
      <c r="AO187" s="3">
        <v>360.48</v>
      </c>
      <c r="AP187" s="3">
        <v>347.36</v>
      </c>
      <c r="AQ187" s="3">
        <v>356</v>
      </c>
      <c r="AR187" s="3">
        <v>366.08</v>
      </c>
    </row>
    <row r="188" spans="2:44" x14ac:dyDescent="0.3">
      <c r="B188" t="s">
        <v>128</v>
      </c>
      <c r="D188">
        <v>202</v>
      </c>
      <c r="E188">
        <v>15104</v>
      </c>
      <c r="F188">
        <v>1</v>
      </c>
      <c r="H188">
        <v>184</v>
      </c>
      <c r="I188" s="3">
        <f>AVERAGE(J188:XX188)</f>
        <v>350.17874999999998</v>
      </c>
      <c r="J188" s="3">
        <v>566.88</v>
      </c>
      <c r="K188" s="3">
        <v>451.36</v>
      </c>
      <c r="L188" s="3">
        <v>391.2</v>
      </c>
      <c r="M188" s="3">
        <v>532.16</v>
      </c>
      <c r="N188" s="3">
        <v>420</v>
      </c>
      <c r="O188" s="3">
        <v>354.24</v>
      </c>
      <c r="P188" s="3">
        <v>337.6</v>
      </c>
      <c r="Q188" s="3">
        <v>351.36</v>
      </c>
      <c r="R188" s="3">
        <v>345.92</v>
      </c>
      <c r="S188" s="3">
        <v>351.52</v>
      </c>
      <c r="T188" s="3">
        <v>193.28</v>
      </c>
      <c r="U188" s="3">
        <v>346.08</v>
      </c>
      <c r="V188" s="3">
        <v>355.52</v>
      </c>
      <c r="W188" s="3">
        <v>359.68</v>
      </c>
      <c r="X188" s="3">
        <v>353.12</v>
      </c>
      <c r="Y188" s="3">
        <v>351.2</v>
      </c>
      <c r="Z188" s="3">
        <v>371.68</v>
      </c>
      <c r="AA188" s="3">
        <v>96.52</v>
      </c>
      <c r="AB188" s="3">
        <v>420</v>
      </c>
      <c r="AC188" s="3">
        <v>299.2</v>
      </c>
      <c r="AD188" s="3">
        <v>313.60000000000002</v>
      </c>
      <c r="AE188" s="3">
        <v>348</v>
      </c>
      <c r="AF188" s="3">
        <v>309.2</v>
      </c>
      <c r="AG188" s="3">
        <v>326.48</v>
      </c>
      <c r="AH188" s="3">
        <v>333.92</v>
      </c>
      <c r="AI188" s="3">
        <v>356.8</v>
      </c>
      <c r="AJ188" s="3">
        <v>169.84</v>
      </c>
      <c r="AK188" s="3">
        <v>357.6</v>
      </c>
      <c r="AL188" s="3">
        <v>413.28</v>
      </c>
      <c r="AM188" s="3">
        <v>381.76</v>
      </c>
      <c r="AN188" s="3">
        <v>396.48</v>
      </c>
      <c r="AO188" s="3">
        <v>250.24</v>
      </c>
    </row>
    <row r="189" spans="2:44" x14ac:dyDescent="0.3">
      <c r="B189" t="s">
        <v>129</v>
      </c>
      <c r="D189">
        <v>205</v>
      </c>
      <c r="E189">
        <v>960</v>
      </c>
      <c r="F189">
        <v>1</v>
      </c>
      <c r="H189">
        <v>185</v>
      </c>
      <c r="I189" s="3">
        <f>AVERAGE(J189:XX189)</f>
        <v>399.44</v>
      </c>
      <c r="J189" s="3">
        <v>512.16</v>
      </c>
      <c r="K189" s="3">
        <v>448.64</v>
      </c>
      <c r="L189" s="3">
        <v>379.2</v>
      </c>
      <c r="M189" s="3">
        <v>380.8</v>
      </c>
      <c r="N189" s="3">
        <v>384.8</v>
      </c>
      <c r="O189" s="3">
        <v>349.76</v>
      </c>
      <c r="P189" s="3">
        <v>357.6</v>
      </c>
      <c r="Q189" s="3">
        <v>324.08</v>
      </c>
      <c r="R189" s="3">
        <v>495.36</v>
      </c>
      <c r="S189" s="3">
        <v>376.96</v>
      </c>
      <c r="T189" s="3">
        <v>354.56</v>
      </c>
      <c r="U189" s="3">
        <v>406.72</v>
      </c>
      <c r="V189" s="3">
        <v>422.08</v>
      </c>
    </row>
    <row r="190" spans="2:44" x14ac:dyDescent="0.3">
      <c r="B190" t="s">
        <v>130</v>
      </c>
      <c r="D190">
        <v>208</v>
      </c>
      <c r="E190">
        <v>62208</v>
      </c>
      <c r="F190">
        <v>1</v>
      </c>
      <c r="H190">
        <v>186</v>
      </c>
      <c r="I190" s="3">
        <f>AVERAGE(J190:XX190)</f>
        <v>412.17647058823536</v>
      </c>
      <c r="J190" s="3">
        <v>474.08</v>
      </c>
      <c r="K190" s="3">
        <v>476.64</v>
      </c>
      <c r="L190" s="3">
        <v>551.20000000000005</v>
      </c>
      <c r="M190" s="3">
        <v>456.64</v>
      </c>
      <c r="N190" s="3">
        <v>449.28</v>
      </c>
      <c r="O190" s="3">
        <v>610.08000000000004</v>
      </c>
      <c r="P190" s="3">
        <v>218.32</v>
      </c>
      <c r="Q190" s="3">
        <v>389.12</v>
      </c>
      <c r="R190" s="3">
        <v>413.92</v>
      </c>
      <c r="S190" s="3">
        <v>474.4</v>
      </c>
      <c r="T190" s="3">
        <v>355.52</v>
      </c>
      <c r="U190" s="3">
        <v>356.32</v>
      </c>
      <c r="V190" s="3">
        <v>369.28</v>
      </c>
      <c r="W190" s="3">
        <v>88.2</v>
      </c>
      <c r="X190" s="3">
        <v>464.64</v>
      </c>
      <c r="Y190" s="3">
        <v>426.56</v>
      </c>
      <c r="Z190" s="3">
        <v>432.8</v>
      </c>
    </row>
    <row r="191" spans="2:44" x14ac:dyDescent="0.3">
      <c r="B191" t="s">
        <v>131</v>
      </c>
      <c r="D191">
        <v>212</v>
      </c>
      <c r="E191">
        <v>44416</v>
      </c>
      <c r="F191">
        <v>1</v>
      </c>
      <c r="H191">
        <v>187</v>
      </c>
      <c r="I191" s="3">
        <f>AVERAGE(J191:XX191)</f>
        <v>423.73818181818183</v>
      </c>
      <c r="J191" s="3">
        <v>509.76</v>
      </c>
      <c r="K191" s="3">
        <v>492.8</v>
      </c>
      <c r="L191" s="3">
        <v>414.24</v>
      </c>
      <c r="M191" s="3">
        <v>395.52</v>
      </c>
      <c r="N191" s="3">
        <v>420</v>
      </c>
      <c r="O191" s="3">
        <v>110.24</v>
      </c>
      <c r="P191" s="3">
        <v>459.84</v>
      </c>
      <c r="Q191" s="3">
        <v>456.64</v>
      </c>
      <c r="R191" s="3">
        <v>480.32</v>
      </c>
      <c r="S191" s="3">
        <v>452.16</v>
      </c>
      <c r="T191" s="3">
        <v>469.6</v>
      </c>
    </row>
    <row r="192" spans="2:44" x14ac:dyDescent="0.3">
      <c r="B192" t="s">
        <v>132</v>
      </c>
      <c r="D192">
        <v>201</v>
      </c>
      <c r="E192">
        <v>3392</v>
      </c>
      <c r="F192">
        <v>1</v>
      </c>
      <c r="H192">
        <v>188</v>
      </c>
      <c r="I192" s="3">
        <f>AVERAGE(J192:XX192)</f>
        <v>470.78000000000003</v>
      </c>
      <c r="J192" s="3">
        <v>565.6</v>
      </c>
      <c r="K192" s="3">
        <v>484.16</v>
      </c>
      <c r="L192" s="3">
        <v>479.36</v>
      </c>
      <c r="M192" s="3">
        <v>613.28</v>
      </c>
      <c r="N192" s="3">
        <v>346.72</v>
      </c>
      <c r="O192" s="3">
        <v>373.6</v>
      </c>
      <c r="P192" s="3">
        <v>483.68</v>
      </c>
      <c r="Q192" s="3">
        <v>508.96</v>
      </c>
      <c r="R192" s="3">
        <v>499.04</v>
      </c>
      <c r="S192" s="3">
        <v>483.68</v>
      </c>
      <c r="T192" s="3">
        <v>498.72</v>
      </c>
      <c r="U192" s="3">
        <v>312.56</v>
      </c>
    </row>
    <row r="193" spans="2:31" x14ac:dyDescent="0.3">
      <c r="B193" t="s">
        <v>133</v>
      </c>
      <c r="D193">
        <v>199</v>
      </c>
      <c r="E193">
        <v>46304</v>
      </c>
      <c r="F193">
        <v>1</v>
      </c>
      <c r="H193">
        <v>189</v>
      </c>
      <c r="I193" s="3">
        <f>AVERAGE(J193:XX193)</f>
        <v>513.15789473684208</v>
      </c>
      <c r="J193" s="3">
        <v>620.48</v>
      </c>
      <c r="K193" s="3">
        <v>550.55999999999995</v>
      </c>
      <c r="L193" s="3">
        <v>475.04</v>
      </c>
      <c r="M193" s="3">
        <v>509.76</v>
      </c>
      <c r="N193" s="3">
        <v>524.79999999999995</v>
      </c>
      <c r="O193" s="3">
        <v>539.04</v>
      </c>
      <c r="P193" s="3">
        <v>603.52</v>
      </c>
      <c r="Q193" s="3">
        <v>599.04</v>
      </c>
      <c r="R193" s="3">
        <v>553.28</v>
      </c>
      <c r="S193" s="3">
        <v>441.28</v>
      </c>
      <c r="T193" s="3">
        <v>177.36</v>
      </c>
      <c r="U193" s="3">
        <v>598.08000000000004</v>
      </c>
      <c r="V193" s="3">
        <v>409.12</v>
      </c>
      <c r="W193" s="3">
        <v>462.56</v>
      </c>
      <c r="X193" s="3">
        <v>494.56</v>
      </c>
      <c r="Y193" s="3">
        <v>496.8</v>
      </c>
      <c r="Z193" s="3">
        <v>648.32000000000005</v>
      </c>
      <c r="AA193" s="3">
        <v>512.32000000000005</v>
      </c>
      <c r="AB193" s="3">
        <v>534.08000000000004</v>
      </c>
    </row>
    <row r="194" spans="2:31" x14ac:dyDescent="0.3">
      <c r="B194" t="s">
        <v>134</v>
      </c>
      <c r="D194">
        <v>198</v>
      </c>
      <c r="E194">
        <v>27424</v>
      </c>
      <c r="F194">
        <v>1</v>
      </c>
      <c r="H194">
        <v>190</v>
      </c>
      <c r="I194" s="3">
        <f>AVERAGE(J194:XX194)</f>
        <v>448.35199999999998</v>
      </c>
      <c r="J194" s="3">
        <v>25.92</v>
      </c>
      <c r="K194" s="3">
        <v>445.44</v>
      </c>
      <c r="L194" s="3">
        <v>570.24</v>
      </c>
      <c r="M194" s="3">
        <v>643.04</v>
      </c>
      <c r="N194" s="3">
        <v>557.12</v>
      </c>
    </row>
    <row r="195" spans="2:31" x14ac:dyDescent="0.3">
      <c r="B195" t="s">
        <v>135</v>
      </c>
      <c r="D195">
        <v>202</v>
      </c>
      <c r="E195">
        <v>2176</v>
      </c>
      <c r="F195">
        <v>1</v>
      </c>
      <c r="H195">
        <v>191</v>
      </c>
      <c r="I195" s="3">
        <f>AVERAGE(J195:XX195)</f>
        <v>483.84266666666667</v>
      </c>
      <c r="J195" s="3">
        <v>574.88</v>
      </c>
      <c r="K195" s="3">
        <v>558.55999999999995</v>
      </c>
      <c r="L195" s="3">
        <v>556</v>
      </c>
      <c r="M195" s="3">
        <v>572.64</v>
      </c>
      <c r="N195" s="3">
        <v>608.79999999999995</v>
      </c>
      <c r="O195" s="3">
        <v>110.52</v>
      </c>
      <c r="P195" s="3">
        <v>455.2</v>
      </c>
      <c r="Q195" s="3">
        <v>454.24</v>
      </c>
      <c r="R195" s="3">
        <v>465.76</v>
      </c>
      <c r="S195" s="3">
        <v>591.52</v>
      </c>
      <c r="T195" s="3">
        <v>268.48</v>
      </c>
      <c r="U195" s="3">
        <v>277.36</v>
      </c>
      <c r="V195" s="3">
        <v>602.55999999999995</v>
      </c>
      <c r="W195" s="3">
        <v>592.48</v>
      </c>
      <c r="X195" s="3">
        <v>568.64</v>
      </c>
    </row>
    <row r="196" spans="2:31" x14ac:dyDescent="0.3">
      <c r="B196" t="s">
        <v>136</v>
      </c>
      <c r="D196">
        <v>214</v>
      </c>
      <c r="E196">
        <v>11776</v>
      </c>
      <c r="F196">
        <v>1</v>
      </c>
      <c r="H196">
        <v>192</v>
      </c>
      <c r="I196" s="3">
        <f>AVERAGE(J196:XX196)</f>
        <v>570.88</v>
      </c>
      <c r="J196" s="3">
        <v>564.48</v>
      </c>
      <c r="K196" s="3">
        <v>592.32000000000005</v>
      </c>
      <c r="L196" s="3">
        <v>641.28</v>
      </c>
      <c r="M196" s="3">
        <v>498.72</v>
      </c>
      <c r="N196" s="3">
        <v>539.52</v>
      </c>
      <c r="O196" s="3">
        <v>588.96</v>
      </c>
    </row>
    <row r="197" spans="2:31" x14ac:dyDescent="0.3">
      <c r="B197" t="s">
        <v>137</v>
      </c>
      <c r="D197">
        <v>214</v>
      </c>
      <c r="E197">
        <v>27648</v>
      </c>
      <c r="F197">
        <v>1</v>
      </c>
      <c r="H197">
        <v>193</v>
      </c>
      <c r="I197" s="3">
        <f>AVERAGE(J197:XX197)</f>
        <v>519.41230769230765</v>
      </c>
      <c r="J197" s="3">
        <v>194.56</v>
      </c>
      <c r="K197" s="3">
        <v>613.76</v>
      </c>
      <c r="L197" s="3">
        <v>148.36000000000001</v>
      </c>
      <c r="M197" s="3">
        <v>470.24</v>
      </c>
      <c r="N197" s="3">
        <v>552.16</v>
      </c>
      <c r="O197" s="3">
        <v>533.6</v>
      </c>
      <c r="P197" s="3">
        <v>484.16</v>
      </c>
      <c r="Q197" s="3">
        <v>640.64</v>
      </c>
      <c r="R197" s="3">
        <v>623.67999999999995</v>
      </c>
      <c r="S197" s="3">
        <v>622.55999999999995</v>
      </c>
      <c r="T197" s="3">
        <v>609.76</v>
      </c>
      <c r="U197" s="3">
        <v>622.55999999999995</v>
      </c>
      <c r="V197" s="3">
        <v>636.32000000000005</v>
      </c>
    </row>
    <row r="198" spans="2:31" x14ac:dyDescent="0.3">
      <c r="B198" t="s">
        <v>138</v>
      </c>
      <c r="D198">
        <v>217</v>
      </c>
      <c r="E198">
        <v>31872</v>
      </c>
      <c r="F198">
        <v>1</v>
      </c>
      <c r="H198">
        <v>194</v>
      </c>
      <c r="I198" s="3">
        <f>AVERAGE(J198:XX198)</f>
        <v>286.24</v>
      </c>
      <c r="J198" s="3">
        <v>68.16</v>
      </c>
      <c r="K198" s="3">
        <v>69.760000000000005</v>
      </c>
      <c r="L198" s="3">
        <v>647.20000000000005</v>
      </c>
      <c r="M198" s="3">
        <v>652.64</v>
      </c>
      <c r="N198" s="3">
        <v>27.2</v>
      </c>
      <c r="O198" s="3">
        <v>230.08</v>
      </c>
      <c r="P198" s="3">
        <v>492.64</v>
      </c>
      <c r="Q198" s="3">
        <v>567.84</v>
      </c>
      <c r="R198" s="3">
        <v>22.4</v>
      </c>
      <c r="S198" s="3">
        <v>0.64</v>
      </c>
      <c r="T198" s="3">
        <v>370.08</v>
      </c>
    </row>
    <row r="199" spans="2:31" x14ac:dyDescent="0.3">
      <c r="B199" t="s">
        <v>139</v>
      </c>
      <c r="D199">
        <v>218</v>
      </c>
      <c r="E199">
        <v>63232</v>
      </c>
      <c r="F199">
        <v>1</v>
      </c>
      <c r="H199">
        <v>195</v>
      </c>
      <c r="I199" s="3">
        <f>AVERAGE(J199:XX199)</f>
        <v>274.0363636363636</v>
      </c>
      <c r="J199" s="3">
        <v>194.88</v>
      </c>
      <c r="K199" s="3">
        <v>130.56</v>
      </c>
      <c r="L199" s="3">
        <v>192.64</v>
      </c>
      <c r="M199" s="3">
        <v>234.56</v>
      </c>
      <c r="N199" s="3">
        <v>210.56</v>
      </c>
      <c r="O199" s="3">
        <v>292.16000000000003</v>
      </c>
      <c r="P199" s="3">
        <v>424.64</v>
      </c>
      <c r="Q199" s="3">
        <v>250.24</v>
      </c>
      <c r="R199" s="3">
        <v>192.32</v>
      </c>
      <c r="S199" s="3">
        <v>103.04</v>
      </c>
      <c r="T199" s="3">
        <v>143.04</v>
      </c>
      <c r="U199" s="3">
        <v>449.92</v>
      </c>
      <c r="V199" s="3">
        <v>541.12</v>
      </c>
      <c r="W199" s="3">
        <v>569.44000000000005</v>
      </c>
      <c r="X199" s="3">
        <v>579.04</v>
      </c>
      <c r="Y199" s="3">
        <v>567.36</v>
      </c>
      <c r="Z199" s="3">
        <v>595.52</v>
      </c>
      <c r="AA199" s="3">
        <v>31.68</v>
      </c>
      <c r="AB199" s="3">
        <v>220.16</v>
      </c>
      <c r="AC199" s="3">
        <v>24.96</v>
      </c>
      <c r="AD199" s="3">
        <v>33.92</v>
      </c>
      <c r="AE199" s="3">
        <v>47.04</v>
      </c>
    </row>
    <row r="200" spans="2:31" x14ac:dyDescent="0.3">
      <c r="B200" t="s">
        <v>140</v>
      </c>
      <c r="D200">
        <v>214</v>
      </c>
      <c r="E200">
        <v>12800</v>
      </c>
      <c r="F200">
        <v>1</v>
      </c>
      <c r="H200">
        <v>196</v>
      </c>
      <c r="I200" s="3">
        <f>AVERAGE(J200:XX200)</f>
        <v>157.96666666666667</v>
      </c>
      <c r="J200" s="3">
        <v>121.92</v>
      </c>
      <c r="K200" s="3">
        <v>147.19999999999999</v>
      </c>
      <c r="L200" s="3">
        <v>18.559999999999999</v>
      </c>
      <c r="M200" s="3">
        <v>247.68</v>
      </c>
      <c r="N200" s="3">
        <v>53.44</v>
      </c>
      <c r="O200" s="3">
        <v>444.8</v>
      </c>
      <c r="P200" s="3">
        <v>147.84</v>
      </c>
      <c r="Q200" s="3">
        <v>119.36</v>
      </c>
      <c r="R200" s="3">
        <v>138.24</v>
      </c>
      <c r="S200" s="3">
        <v>62.4</v>
      </c>
      <c r="T200" s="3">
        <v>90.56</v>
      </c>
      <c r="U200" s="3">
        <v>303.60000000000002</v>
      </c>
    </row>
    <row r="201" spans="2:31" x14ac:dyDescent="0.3">
      <c r="B201" t="s">
        <v>141</v>
      </c>
      <c r="D201">
        <v>217</v>
      </c>
      <c r="E201">
        <v>2432</v>
      </c>
      <c r="F201">
        <v>1</v>
      </c>
      <c r="H201">
        <v>197</v>
      </c>
      <c r="I201" s="3">
        <f>AVERAGE(J201:XX201)</f>
        <v>242.62399999999997</v>
      </c>
      <c r="J201" s="3">
        <v>215.68</v>
      </c>
      <c r="K201" s="3">
        <v>382.72</v>
      </c>
      <c r="L201" s="3">
        <v>206.08</v>
      </c>
      <c r="M201" s="3">
        <v>341.12</v>
      </c>
      <c r="N201" s="3">
        <v>483.52</v>
      </c>
      <c r="O201" s="3">
        <v>133.44</v>
      </c>
      <c r="P201" s="3">
        <v>239.36</v>
      </c>
      <c r="Q201" s="3">
        <v>87.68</v>
      </c>
      <c r="R201" s="3">
        <v>510.4</v>
      </c>
      <c r="S201" s="3">
        <v>186.88</v>
      </c>
      <c r="T201" s="3">
        <v>238.72</v>
      </c>
      <c r="U201" s="3">
        <v>156.47999999999999</v>
      </c>
      <c r="V201" s="3">
        <v>129.6</v>
      </c>
      <c r="W201" s="3">
        <v>142.72</v>
      </c>
      <c r="X201" s="3">
        <v>184.96</v>
      </c>
    </row>
    <row r="202" spans="2:31" x14ac:dyDescent="0.3">
      <c r="B202" t="s">
        <v>142</v>
      </c>
      <c r="D202">
        <v>220</v>
      </c>
      <c r="E202">
        <v>3328</v>
      </c>
      <c r="F202">
        <v>1</v>
      </c>
      <c r="H202">
        <v>198</v>
      </c>
      <c r="I202" s="3">
        <f>AVERAGE(J202:XX202)</f>
        <v>248.26666666666668</v>
      </c>
      <c r="J202" s="3">
        <v>341.44</v>
      </c>
      <c r="K202" s="3">
        <v>274.24</v>
      </c>
      <c r="L202" s="3">
        <v>73.599999999999994</v>
      </c>
      <c r="M202" s="3">
        <v>293.76</v>
      </c>
      <c r="N202" s="3">
        <v>286.08</v>
      </c>
      <c r="O202" s="3">
        <v>220.48</v>
      </c>
    </row>
    <row r="203" spans="2:31" x14ac:dyDescent="0.3">
      <c r="B203" t="s">
        <v>143</v>
      </c>
      <c r="D203">
        <v>213</v>
      </c>
      <c r="E203">
        <v>59648</v>
      </c>
      <c r="F203">
        <v>1</v>
      </c>
      <c r="H203">
        <v>199</v>
      </c>
      <c r="I203" s="3">
        <f>AVERAGE(J203:XX203)</f>
        <v>419.78666666666669</v>
      </c>
      <c r="J203" s="3">
        <v>497.28</v>
      </c>
      <c r="K203" s="3">
        <v>251.84</v>
      </c>
      <c r="L203" s="3">
        <v>463.04</v>
      </c>
      <c r="M203" s="3">
        <v>451.52</v>
      </c>
      <c r="N203" s="3">
        <v>378.56</v>
      </c>
      <c r="O203" s="3">
        <v>605.12</v>
      </c>
      <c r="P203" s="3">
        <v>520</v>
      </c>
      <c r="Q203" s="3">
        <v>495.04</v>
      </c>
      <c r="R203" s="3">
        <v>356.48</v>
      </c>
      <c r="S203" s="3">
        <v>403.2</v>
      </c>
      <c r="T203" s="3">
        <v>299.52</v>
      </c>
      <c r="U203" s="3">
        <v>315.83999999999997</v>
      </c>
    </row>
    <row r="204" spans="2:31" x14ac:dyDescent="0.3">
      <c r="B204" t="s">
        <v>144</v>
      </c>
      <c r="D204">
        <v>211</v>
      </c>
      <c r="E204">
        <v>41536</v>
      </c>
      <c r="F204">
        <v>1</v>
      </c>
      <c r="H204">
        <v>200</v>
      </c>
      <c r="I204" s="3">
        <f>AVERAGE(J204:XX204)</f>
        <v>428.16</v>
      </c>
      <c r="J204" s="3">
        <v>431.68</v>
      </c>
      <c r="K204" s="3">
        <v>453.12</v>
      </c>
      <c r="L204" s="3">
        <v>477.12</v>
      </c>
      <c r="M204" s="3">
        <v>264</v>
      </c>
      <c r="N204" s="3">
        <v>462.08</v>
      </c>
      <c r="O204" s="3">
        <v>480.96</v>
      </c>
    </row>
    <row r="205" spans="2:31" x14ac:dyDescent="0.3">
      <c r="B205" t="s">
        <v>145</v>
      </c>
      <c r="D205">
        <v>208</v>
      </c>
      <c r="E205">
        <v>63488</v>
      </c>
      <c r="F205">
        <v>1</v>
      </c>
      <c r="H205">
        <v>201</v>
      </c>
      <c r="I205" s="3">
        <f>AVERAGE(J205:XX205)</f>
        <v>365.48571428571432</v>
      </c>
      <c r="J205" s="3">
        <v>33.92</v>
      </c>
      <c r="K205" s="3">
        <v>378.24</v>
      </c>
      <c r="L205" s="3">
        <v>415.68</v>
      </c>
      <c r="M205" s="3">
        <v>596.48</v>
      </c>
      <c r="N205" s="3">
        <v>377.28</v>
      </c>
      <c r="O205" s="3">
        <v>391.36</v>
      </c>
      <c r="P205" s="3">
        <v>365.44</v>
      </c>
    </row>
    <row r="206" spans="2:31" x14ac:dyDescent="0.3">
      <c r="B206" t="s">
        <v>146</v>
      </c>
      <c r="D206">
        <v>221</v>
      </c>
      <c r="E206">
        <v>48256</v>
      </c>
      <c r="F206">
        <v>1</v>
      </c>
      <c r="H206">
        <v>202</v>
      </c>
      <c r="I206" s="3">
        <f>AVERAGE(J206:XX206)</f>
        <v>393.80000000000007</v>
      </c>
      <c r="J206" s="3">
        <v>549.76</v>
      </c>
      <c r="K206" s="3">
        <v>457.6</v>
      </c>
      <c r="L206" s="3">
        <v>151.04</v>
      </c>
      <c r="M206" s="3">
        <v>21.76</v>
      </c>
      <c r="N206" s="3">
        <v>477.12</v>
      </c>
      <c r="O206" s="3">
        <v>650.88</v>
      </c>
      <c r="P206" s="3">
        <v>433.92</v>
      </c>
      <c r="Q206" s="3">
        <v>408.32</v>
      </c>
    </row>
    <row r="207" spans="2:31" x14ac:dyDescent="0.3">
      <c r="B207" t="s">
        <v>147</v>
      </c>
      <c r="D207">
        <v>209</v>
      </c>
      <c r="E207">
        <v>768</v>
      </c>
      <c r="F207">
        <v>1</v>
      </c>
      <c r="H207">
        <v>203</v>
      </c>
      <c r="I207" s="3">
        <f>AVERAGE(J207:XX207)</f>
        <v>402.13333333333338</v>
      </c>
      <c r="J207" s="3">
        <v>500.16</v>
      </c>
      <c r="K207" s="3">
        <v>39.68</v>
      </c>
      <c r="L207" s="3">
        <v>512.96</v>
      </c>
      <c r="M207" s="3">
        <v>455.36</v>
      </c>
      <c r="N207" s="3">
        <v>496</v>
      </c>
      <c r="O207" s="3">
        <v>408.64</v>
      </c>
    </row>
    <row r="208" spans="2:31" x14ac:dyDescent="0.3">
      <c r="B208" t="s">
        <v>148</v>
      </c>
      <c r="D208">
        <v>199</v>
      </c>
      <c r="E208">
        <v>45152</v>
      </c>
      <c r="F208">
        <v>1</v>
      </c>
      <c r="H208">
        <v>204</v>
      </c>
      <c r="I208" s="3">
        <f>AVERAGE(J208:XX208)</f>
        <v>327.60888888888894</v>
      </c>
      <c r="J208" s="3">
        <v>7.04</v>
      </c>
      <c r="K208" s="3">
        <v>572.79999999999995</v>
      </c>
      <c r="L208" s="3">
        <v>184.32</v>
      </c>
      <c r="M208" s="3">
        <v>568.32000000000005</v>
      </c>
      <c r="N208" s="3">
        <v>44.8</v>
      </c>
      <c r="O208" s="3">
        <v>527.67999999999995</v>
      </c>
      <c r="P208" s="3">
        <v>469.76</v>
      </c>
      <c r="Q208" s="3">
        <v>59.52</v>
      </c>
      <c r="R208" s="3">
        <v>514.24</v>
      </c>
    </row>
    <row r="209" spans="2:34" x14ac:dyDescent="0.3">
      <c r="B209" t="s">
        <v>149</v>
      </c>
      <c r="D209">
        <v>220</v>
      </c>
      <c r="E209">
        <v>62976</v>
      </c>
      <c r="F209">
        <v>1</v>
      </c>
      <c r="H209">
        <v>205</v>
      </c>
      <c r="I209" s="3">
        <f>AVERAGE(J209:XX209)</f>
        <v>259.24</v>
      </c>
      <c r="J209" s="3">
        <v>179.84</v>
      </c>
      <c r="K209" s="3">
        <v>535.67999999999995</v>
      </c>
      <c r="L209" s="3">
        <v>220.16</v>
      </c>
      <c r="M209" s="3">
        <v>162.56</v>
      </c>
      <c r="N209" s="3">
        <v>9.6</v>
      </c>
      <c r="O209" s="3">
        <v>10.24</v>
      </c>
      <c r="P209" s="3">
        <v>40.96</v>
      </c>
      <c r="Q209" s="3">
        <v>211.2</v>
      </c>
      <c r="R209" s="3">
        <v>101.12</v>
      </c>
      <c r="S209" s="3">
        <v>138.88</v>
      </c>
      <c r="T209" s="3">
        <v>480</v>
      </c>
      <c r="U209" s="3">
        <v>108.8</v>
      </c>
      <c r="V209" s="3">
        <v>558.08000000000004</v>
      </c>
      <c r="W209" s="3">
        <v>313.92</v>
      </c>
      <c r="X209" s="3">
        <v>424.32</v>
      </c>
      <c r="Y209" s="3">
        <v>652.48</v>
      </c>
    </row>
    <row r="210" spans="2:34" x14ac:dyDescent="0.3">
      <c r="B210" t="s">
        <v>150</v>
      </c>
      <c r="D210">
        <v>227</v>
      </c>
      <c r="E210">
        <v>19200</v>
      </c>
      <c r="F210">
        <v>1</v>
      </c>
      <c r="H210">
        <v>206</v>
      </c>
      <c r="I210" s="3">
        <f>AVERAGE(J210:XX210)</f>
        <v>214.32888888888888</v>
      </c>
      <c r="J210" s="3">
        <v>268.16000000000003</v>
      </c>
      <c r="K210" s="3">
        <v>318.72000000000003</v>
      </c>
      <c r="L210" s="3">
        <v>65.92</v>
      </c>
      <c r="M210" s="3">
        <v>463.36</v>
      </c>
      <c r="N210" s="3">
        <v>52.48</v>
      </c>
      <c r="O210" s="3">
        <v>8.32</v>
      </c>
      <c r="P210" s="3">
        <v>67.2</v>
      </c>
      <c r="Q210" s="3">
        <v>85.12</v>
      </c>
      <c r="R210" s="3">
        <v>599.67999999999995</v>
      </c>
    </row>
    <row r="211" spans="2:34" x14ac:dyDescent="0.3">
      <c r="B211" t="s">
        <v>151</v>
      </c>
      <c r="D211">
        <v>223</v>
      </c>
      <c r="E211">
        <v>30720</v>
      </c>
      <c r="F211">
        <v>1</v>
      </c>
      <c r="H211">
        <v>207</v>
      </c>
      <c r="I211" s="3">
        <f>AVERAGE(J211:XX211)</f>
        <v>296.8</v>
      </c>
      <c r="J211" s="3">
        <v>354.56</v>
      </c>
      <c r="K211" s="3">
        <v>323.2</v>
      </c>
      <c r="L211" s="3">
        <v>286.08</v>
      </c>
      <c r="M211" s="3">
        <v>414.08</v>
      </c>
      <c r="N211" s="3">
        <v>48.64</v>
      </c>
      <c r="O211" s="3">
        <v>237.44</v>
      </c>
      <c r="P211" s="3">
        <v>324.8</v>
      </c>
      <c r="Q211" s="3">
        <v>648.32000000000005</v>
      </c>
      <c r="R211" s="3">
        <v>173.44</v>
      </c>
      <c r="S211" s="3">
        <v>157.44</v>
      </c>
    </row>
    <row r="212" spans="2:34" x14ac:dyDescent="0.3">
      <c r="B212" t="s">
        <v>152</v>
      </c>
      <c r="D212">
        <v>213</v>
      </c>
      <c r="E212">
        <v>32640</v>
      </c>
      <c r="F212">
        <v>1</v>
      </c>
      <c r="H212">
        <v>208</v>
      </c>
      <c r="I212" s="3">
        <f>AVERAGE(J212:XX212)</f>
        <v>363.35999999999996</v>
      </c>
      <c r="J212" s="3">
        <v>190.08</v>
      </c>
      <c r="K212" s="3">
        <v>299.52</v>
      </c>
      <c r="L212" s="3">
        <v>622.08000000000004</v>
      </c>
      <c r="M212" s="3">
        <v>634.88</v>
      </c>
      <c r="N212" s="3">
        <v>135.04</v>
      </c>
      <c r="O212" s="3">
        <v>529.28</v>
      </c>
      <c r="P212" s="3">
        <v>208</v>
      </c>
      <c r="Q212" s="3">
        <v>480.64</v>
      </c>
      <c r="R212" s="3">
        <v>389.76</v>
      </c>
      <c r="S212" s="3">
        <v>298.88</v>
      </c>
      <c r="T212" s="3">
        <v>206.72</v>
      </c>
      <c r="U212" s="3">
        <v>365.44</v>
      </c>
    </row>
    <row r="213" spans="2:34" x14ac:dyDescent="0.3">
      <c r="B213" t="s">
        <v>153</v>
      </c>
      <c r="D213">
        <v>212</v>
      </c>
      <c r="E213">
        <v>58176</v>
      </c>
      <c r="F213">
        <v>1</v>
      </c>
      <c r="H213">
        <v>209</v>
      </c>
      <c r="I213" s="3">
        <f>AVERAGE(J213:XX213)</f>
        <v>323.41333333333324</v>
      </c>
      <c r="J213" s="3">
        <v>519.04</v>
      </c>
      <c r="K213" s="3">
        <v>291.2</v>
      </c>
      <c r="L213" s="3">
        <v>7.68</v>
      </c>
      <c r="M213" s="3">
        <v>442.88</v>
      </c>
      <c r="N213" s="3">
        <v>241.28</v>
      </c>
      <c r="O213" s="3">
        <v>96</v>
      </c>
      <c r="P213" s="3">
        <v>396.8</v>
      </c>
      <c r="Q213" s="3">
        <v>388.48</v>
      </c>
      <c r="R213" s="3">
        <v>448</v>
      </c>
      <c r="S213" s="3">
        <v>545.28</v>
      </c>
      <c r="T213" s="3">
        <v>263.04000000000002</v>
      </c>
      <c r="U213" s="3">
        <v>420.48</v>
      </c>
      <c r="V213" s="3">
        <v>284.16000000000003</v>
      </c>
      <c r="W213" s="3">
        <v>237.44</v>
      </c>
      <c r="X213" s="3">
        <v>269.44</v>
      </c>
    </row>
    <row r="214" spans="2:34" x14ac:dyDescent="0.3">
      <c r="B214" t="s">
        <v>154</v>
      </c>
      <c r="D214">
        <v>225</v>
      </c>
      <c r="E214">
        <v>1792</v>
      </c>
      <c r="F214">
        <v>1</v>
      </c>
      <c r="H214">
        <v>210</v>
      </c>
      <c r="I214" s="3">
        <f>AVERAGE(J214:XX214)</f>
        <v>278.84800000000001</v>
      </c>
      <c r="J214" s="3">
        <v>130.56</v>
      </c>
      <c r="K214" s="3">
        <v>428.8</v>
      </c>
      <c r="L214" s="3">
        <v>108.16</v>
      </c>
      <c r="M214" s="3">
        <v>36.479999999999997</v>
      </c>
      <c r="N214" s="3">
        <v>184.96</v>
      </c>
      <c r="O214" s="3">
        <v>495.36</v>
      </c>
      <c r="P214" s="3">
        <v>302.72000000000003</v>
      </c>
      <c r="Q214" s="3">
        <v>576</v>
      </c>
      <c r="R214" s="3">
        <v>323.83999999999997</v>
      </c>
      <c r="S214" s="3">
        <v>201.6</v>
      </c>
    </row>
    <row r="215" spans="2:34" x14ac:dyDescent="0.3">
      <c r="B215" t="s">
        <v>155</v>
      </c>
      <c r="D215">
        <v>208</v>
      </c>
      <c r="E215">
        <v>13504</v>
      </c>
      <c r="F215">
        <v>1</v>
      </c>
      <c r="H215">
        <v>211</v>
      </c>
      <c r="I215" s="3">
        <f>AVERAGE(J215:XX215)</f>
        <v>328.96000000000004</v>
      </c>
      <c r="J215" s="3">
        <v>415.36</v>
      </c>
      <c r="K215" s="3">
        <v>24.96</v>
      </c>
      <c r="L215" s="3">
        <v>408.96</v>
      </c>
      <c r="M215" s="3">
        <v>435.2</v>
      </c>
      <c r="N215" s="3">
        <v>158.08000000000001</v>
      </c>
      <c r="O215" s="3">
        <v>207.36</v>
      </c>
      <c r="P215" s="3">
        <v>81.28</v>
      </c>
      <c r="Q215" s="3">
        <v>412.16</v>
      </c>
      <c r="R215" s="3">
        <v>567.04</v>
      </c>
      <c r="S215" s="3">
        <v>248.32</v>
      </c>
      <c r="T215" s="3">
        <v>323.83999999999997</v>
      </c>
      <c r="U215" s="3">
        <v>639.36</v>
      </c>
      <c r="V215" s="3">
        <v>354.56</v>
      </c>
    </row>
    <row r="216" spans="2:34" x14ac:dyDescent="0.3">
      <c r="B216" t="s">
        <v>156</v>
      </c>
      <c r="D216">
        <v>203</v>
      </c>
      <c r="E216">
        <v>51296</v>
      </c>
      <c r="F216">
        <v>1</v>
      </c>
      <c r="H216">
        <v>212</v>
      </c>
      <c r="I216" s="3">
        <f>AVERAGE(J216:XX216)</f>
        <v>294.74461538461532</v>
      </c>
      <c r="J216" s="3">
        <v>0</v>
      </c>
      <c r="K216" s="3">
        <v>362.24</v>
      </c>
      <c r="L216" s="3">
        <v>444.16</v>
      </c>
      <c r="M216" s="3">
        <v>581.76</v>
      </c>
      <c r="N216" s="3">
        <v>241.92</v>
      </c>
      <c r="O216" s="3">
        <v>501.76</v>
      </c>
      <c r="P216" s="3">
        <v>292.48</v>
      </c>
      <c r="Q216" s="3">
        <v>190.72</v>
      </c>
      <c r="R216" s="3">
        <v>426.24</v>
      </c>
      <c r="S216" s="3">
        <v>414.08</v>
      </c>
      <c r="T216" s="3">
        <v>96</v>
      </c>
      <c r="U216" s="3">
        <v>124.16</v>
      </c>
      <c r="V216" s="3">
        <v>156.16</v>
      </c>
    </row>
    <row r="217" spans="2:34" x14ac:dyDescent="0.3">
      <c r="B217" t="s">
        <v>157</v>
      </c>
      <c r="D217">
        <v>206</v>
      </c>
      <c r="E217">
        <v>31872</v>
      </c>
      <c r="F217">
        <v>1</v>
      </c>
      <c r="H217">
        <v>213</v>
      </c>
      <c r="I217" s="3">
        <f>AVERAGE(J217:XX217)</f>
        <v>333.70666666666671</v>
      </c>
      <c r="J217" s="3">
        <v>596.48</v>
      </c>
      <c r="K217" s="3">
        <v>326.39999999999998</v>
      </c>
      <c r="L217" s="3">
        <v>268.8</v>
      </c>
      <c r="M217" s="3">
        <v>452.48</v>
      </c>
      <c r="N217" s="3">
        <v>396.16</v>
      </c>
      <c r="O217" s="3">
        <v>574.72</v>
      </c>
      <c r="P217" s="3">
        <v>64</v>
      </c>
      <c r="Q217" s="3">
        <v>71.680000000000007</v>
      </c>
      <c r="R217" s="3">
        <v>515.20000000000005</v>
      </c>
      <c r="S217" s="3">
        <v>296.32</v>
      </c>
      <c r="T217" s="3">
        <v>372.48</v>
      </c>
      <c r="U217" s="3">
        <v>69.760000000000005</v>
      </c>
    </row>
    <row r="218" spans="2:34" x14ac:dyDescent="0.3">
      <c r="B218" t="s">
        <v>158</v>
      </c>
      <c r="D218">
        <v>221</v>
      </c>
      <c r="E218">
        <v>48896</v>
      </c>
      <c r="F218">
        <v>1</v>
      </c>
      <c r="H218">
        <v>214</v>
      </c>
      <c r="I218" s="3">
        <f>AVERAGE(J218:XX218)</f>
        <v>320.13714285714286</v>
      </c>
      <c r="J218" s="3">
        <v>243.2</v>
      </c>
      <c r="K218" s="3">
        <v>117.76</v>
      </c>
      <c r="L218" s="3">
        <v>276.48</v>
      </c>
      <c r="M218" s="3">
        <v>128</v>
      </c>
      <c r="N218" s="3">
        <v>330.24</v>
      </c>
      <c r="O218" s="3">
        <v>520.32000000000005</v>
      </c>
      <c r="P218" s="3">
        <v>51.2</v>
      </c>
      <c r="Q218" s="3">
        <v>229.76</v>
      </c>
      <c r="R218" s="3">
        <v>401.28</v>
      </c>
      <c r="S218" s="3">
        <v>467.2</v>
      </c>
      <c r="T218" s="3">
        <v>606.08000000000004</v>
      </c>
      <c r="U218" s="3">
        <v>8.9600000000000009</v>
      </c>
      <c r="V218" s="3">
        <v>532.48</v>
      </c>
      <c r="W218" s="3">
        <v>568.96</v>
      </c>
    </row>
    <row r="219" spans="2:34" x14ac:dyDescent="0.3">
      <c r="B219" t="s">
        <v>159</v>
      </c>
      <c r="D219">
        <v>221</v>
      </c>
      <c r="E219">
        <v>28672</v>
      </c>
      <c r="F219">
        <v>1</v>
      </c>
      <c r="H219">
        <v>215</v>
      </c>
      <c r="I219" s="3">
        <f>AVERAGE(J219:XX219)</f>
        <v>355.83999999999992</v>
      </c>
      <c r="J219" s="3">
        <v>342.4</v>
      </c>
      <c r="K219" s="3">
        <v>298.88</v>
      </c>
      <c r="L219" s="3">
        <v>397.44</v>
      </c>
      <c r="M219" s="3">
        <v>611.84</v>
      </c>
      <c r="N219" s="3">
        <v>34.56</v>
      </c>
      <c r="O219" s="3">
        <v>589.44000000000005</v>
      </c>
      <c r="P219" s="3">
        <v>115.2</v>
      </c>
      <c r="Q219" s="3">
        <v>446.08</v>
      </c>
      <c r="R219" s="3">
        <v>428.16</v>
      </c>
      <c r="S219" s="3">
        <v>162.56</v>
      </c>
      <c r="T219" s="3">
        <v>487.68</v>
      </c>
    </row>
    <row r="220" spans="2:34" x14ac:dyDescent="0.3">
      <c r="B220" t="s">
        <v>160</v>
      </c>
      <c r="D220">
        <v>222</v>
      </c>
      <c r="E220">
        <v>54400</v>
      </c>
      <c r="F220">
        <v>1</v>
      </c>
      <c r="H220">
        <v>216</v>
      </c>
      <c r="I220" s="3">
        <f>AVERAGE(J220:XX220)</f>
        <v>385.81333333333328</v>
      </c>
      <c r="J220" s="3">
        <v>413.44</v>
      </c>
      <c r="K220" s="3">
        <v>312.32</v>
      </c>
      <c r="L220" s="3">
        <v>352</v>
      </c>
      <c r="M220" s="3">
        <v>352</v>
      </c>
      <c r="N220" s="3">
        <v>325.76</v>
      </c>
      <c r="O220" s="3">
        <v>24.32</v>
      </c>
      <c r="P220" s="3">
        <v>556.16</v>
      </c>
      <c r="Q220" s="3">
        <v>139.52000000000001</v>
      </c>
      <c r="R220" s="3">
        <v>585.6</v>
      </c>
      <c r="S220" s="3">
        <v>532.48</v>
      </c>
      <c r="T220" s="3">
        <v>25.6</v>
      </c>
      <c r="U220" s="3">
        <v>495.36</v>
      </c>
      <c r="V220" s="3">
        <v>451.2</v>
      </c>
      <c r="W220" s="3">
        <v>643.20000000000005</v>
      </c>
      <c r="X220" s="3">
        <v>599.04</v>
      </c>
      <c r="Y220" s="3">
        <v>362.24</v>
      </c>
      <c r="Z220" s="3">
        <v>438.4</v>
      </c>
      <c r="AA220" s="3">
        <v>336</v>
      </c>
    </row>
    <row r="221" spans="2:34" x14ac:dyDescent="0.3">
      <c r="B221" t="s">
        <v>161</v>
      </c>
      <c r="D221">
        <v>232</v>
      </c>
      <c r="E221">
        <v>20352</v>
      </c>
      <c r="F221">
        <v>1</v>
      </c>
      <c r="H221">
        <v>217</v>
      </c>
      <c r="I221" s="3">
        <f>AVERAGE(J221:XX221)</f>
        <v>313.73714285714283</v>
      </c>
      <c r="J221" s="3">
        <v>634.24</v>
      </c>
      <c r="K221" s="3">
        <v>318.72000000000003</v>
      </c>
      <c r="L221" s="3">
        <v>24.32</v>
      </c>
      <c r="M221" s="3">
        <v>39.68</v>
      </c>
      <c r="N221" s="3">
        <v>84.48</v>
      </c>
      <c r="O221" s="3">
        <v>391.68</v>
      </c>
      <c r="P221" s="3">
        <v>46.08</v>
      </c>
      <c r="Q221" s="3">
        <v>252.16</v>
      </c>
      <c r="R221" s="3">
        <v>627.84</v>
      </c>
      <c r="S221" s="3">
        <v>647.67999999999995</v>
      </c>
      <c r="T221" s="3">
        <v>417.28</v>
      </c>
      <c r="U221" s="3">
        <v>581.76</v>
      </c>
      <c r="V221" s="3">
        <v>229.12</v>
      </c>
      <c r="W221" s="3">
        <v>97.28</v>
      </c>
    </row>
    <row r="222" spans="2:34" x14ac:dyDescent="0.3">
      <c r="B222" t="s">
        <v>162</v>
      </c>
      <c r="D222">
        <v>235</v>
      </c>
      <c r="E222">
        <v>8960</v>
      </c>
      <c r="F222">
        <v>1</v>
      </c>
      <c r="H222">
        <v>218</v>
      </c>
      <c r="I222" s="3">
        <f>AVERAGE(J222:XX222)</f>
        <v>367.84</v>
      </c>
      <c r="J222" s="3">
        <v>115.2</v>
      </c>
      <c r="K222" s="3">
        <v>632.32000000000005</v>
      </c>
      <c r="L222" s="3">
        <v>314.88</v>
      </c>
      <c r="M222" s="3">
        <v>499.2</v>
      </c>
      <c r="N222" s="3">
        <v>522.24</v>
      </c>
      <c r="O222" s="3">
        <v>567.67999999999995</v>
      </c>
      <c r="P222" s="3">
        <v>142.08000000000001</v>
      </c>
      <c r="Q222" s="3">
        <v>302.72000000000003</v>
      </c>
      <c r="R222" s="3">
        <v>587.52</v>
      </c>
      <c r="S222" s="3">
        <v>107.52</v>
      </c>
      <c r="T222" s="3">
        <v>271.36</v>
      </c>
      <c r="U222" s="3">
        <v>245.76</v>
      </c>
      <c r="V222" s="3">
        <v>594.55999999999995</v>
      </c>
      <c r="W222" s="3">
        <v>512.64</v>
      </c>
      <c r="X222" s="3">
        <v>60.16</v>
      </c>
      <c r="Y222" s="3">
        <v>409.6</v>
      </c>
    </row>
    <row r="223" spans="2:34" x14ac:dyDescent="0.3">
      <c r="B223" t="s">
        <v>163</v>
      </c>
      <c r="D223">
        <v>218</v>
      </c>
      <c r="E223">
        <v>31488</v>
      </c>
      <c r="F223">
        <v>1</v>
      </c>
      <c r="H223">
        <v>219</v>
      </c>
      <c r="I223" s="3">
        <f>AVERAGE(J223:XX223)</f>
        <v>318.69333333333333</v>
      </c>
      <c r="J223" s="3">
        <v>350.72</v>
      </c>
      <c r="K223" s="3">
        <v>35.840000000000003</v>
      </c>
      <c r="L223" s="3">
        <v>400.64</v>
      </c>
      <c r="M223" s="3">
        <v>583.67999999999995</v>
      </c>
      <c r="N223" s="3">
        <v>390.4</v>
      </c>
      <c r="O223" s="3">
        <v>412.16</v>
      </c>
      <c r="P223" s="3">
        <v>264.95999999999998</v>
      </c>
      <c r="Q223" s="3">
        <v>37.119999999999997</v>
      </c>
      <c r="R223" s="3">
        <v>518.4</v>
      </c>
      <c r="S223" s="3">
        <v>499.2</v>
      </c>
      <c r="T223" s="3">
        <v>24.32</v>
      </c>
      <c r="U223" s="3">
        <v>90.88</v>
      </c>
      <c r="V223" s="3">
        <v>221.44</v>
      </c>
      <c r="W223" s="3">
        <v>590.08000000000004</v>
      </c>
      <c r="X223" s="3">
        <v>509.44</v>
      </c>
      <c r="Y223" s="3">
        <v>11.52</v>
      </c>
      <c r="Z223" s="3">
        <v>198.4</v>
      </c>
      <c r="AA223" s="3">
        <v>580.48</v>
      </c>
      <c r="AB223" s="3">
        <v>550.4</v>
      </c>
      <c r="AC223" s="3">
        <v>40.96</v>
      </c>
      <c r="AD223" s="3">
        <v>177.92</v>
      </c>
      <c r="AE223" s="3">
        <v>523.52</v>
      </c>
      <c r="AF223" s="3">
        <v>180.48</v>
      </c>
      <c r="AG223" s="3">
        <v>455.68</v>
      </c>
    </row>
    <row r="224" spans="2:34" x14ac:dyDescent="0.3">
      <c r="B224" t="s">
        <v>164</v>
      </c>
      <c r="D224">
        <v>219</v>
      </c>
      <c r="E224">
        <v>35072</v>
      </c>
      <c r="F224">
        <v>1</v>
      </c>
      <c r="H224">
        <v>220</v>
      </c>
      <c r="I224" s="3">
        <f>AVERAGE(J224:XX224)</f>
        <v>396.03200000000004</v>
      </c>
      <c r="J224" s="3">
        <v>423.68</v>
      </c>
      <c r="K224" s="3">
        <v>565.76</v>
      </c>
      <c r="L224" s="3">
        <v>33.28</v>
      </c>
      <c r="M224" s="3">
        <v>629.76</v>
      </c>
      <c r="N224" s="3">
        <v>618.24</v>
      </c>
      <c r="O224" s="3">
        <v>330.24</v>
      </c>
      <c r="P224" s="3">
        <v>353.28</v>
      </c>
      <c r="Q224" s="3">
        <v>229.12</v>
      </c>
      <c r="R224" s="3">
        <v>162.56</v>
      </c>
      <c r="S224" s="3">
        <v>504.32</v>
      </c>
      <c r="T224" s="3">
        <v>537.6</v>
      </c>
      <c r="U224" s="3">
        <v>563.20000000000005</v>
      </c>
      <c r="V224" s="3">
        <v>604.16</v>
      </c>
      <c r="W224" s="3">
        <v>565.76</v>
      </c>
      <c r="X224" s="3">
        <v>111.36</v>
      </c>
      <c r="Y224" s="3">
        <v>430.08</v>
      </c>
      <c r="Z224" s="3">
        <v>451.84</v>
      </c>
      <c r="AA224" s="3">
        <v>523.52</v>
      </c>
      <c r="AB224" s="3">
        <v>412.16</v>
      </c>
      <c r="AC224" s="3">
        <v>358.4</v>
      </c>
      <c r="AD224" s="3">
        <v>508.16</v>
      </c>
      <c r="AE224" s="3">
        <v>133.12</v>
      </c>
      <c r="AF224" s="3">
        <v>183.04</v>
      </c>
      <c r="AG224" s="3">
        <v>280.32</v>
      </c>
      <c r="AH224" s="3">
        <v>387.84</v>
      </c>
    </row>
    <row r="225" spans="2:36" x14ac:dyDescent="0.3">
      <c r="B225" t="s">
        <v>165</v>
      </c>
      <c r="D225">
        <v>219</v>
      </c>
      <c r="E225">
        <v>3584</v>
      </c>
      <c r="F225">
        <v>1</v>
      </c>
      <c r="H225">
        <v>221</v>
      </c>
      <c r="I225" s="3">
        <f>AVERAGE(J225:XX225)</f>
        <v>359.45411764705887</v>
      </c>
      <c r="J225" s="3">
        <v>482.56</v>
      </c>
      <c r="K225" s="3">
        <v>488.96</v>
      </c>
      <c r="L225" s="3">
        <v>286.72000000000003</v>
      </c>
      <c r="M225" s="3">
        <v>302.08</v>
      </c>
      <c r="N225" s="3">
        <v>545.28</v>
      </c>
      <c r="O225" s="3">
        <v>314.88</v>
      </c>
      <c r="P225" s="3">
        <v>147.19999999999999</v>
      </c>
      <c r="Q225" s="3">
        <v>80.64</v>
      </c>
      <c r="R225" s="3">
        <v>642.55999999999995</v>
      </c>
      <c r="S225" s="3">
        <v>500.48</v>
      </c>
      <c r="T225" s="3">
        <v>262.39999999999998</v>
      </c>
      <c r="U225" s="3">
        <v>422.4</v>
      </c>
      <c r="V225" s="3">
        <v>48.64</v>
      </c>
      <c r="W225" s="3">
        <v>92.16</v>
      </c>
      <c r="X225" s="3">
        <v>550.4</v>
      </c>
      <c r="Y225" s="3">
        <v>505.6</v>
      </c>
      <c r="Z225" s="3">
        <v>437.76</v>
      </c>
    </row>
    <row r="226" spans="2:36" x14ac:dyDescent="0.3">
      <c r="B226" t="s">
        <v>166</v>
      </c>
      <c r="D226">
        <v>223</v>
      </c>
      <c r="E226">
        <v>58112</v>
      </c>
      <c r="F226">
        <v>1</v>
      </c>
      <c r="H226">
        <v>222</v>
      </c>
      <c r="I226" s="3">
        <f>AVERAGE(J226:XX226)</f>
        <v>278.69538461538457</v>
      </c>
      <c r="J226" s="3">
        <v>532.48</v>
      </c>
      <c r="K226" s="3">
        <v>544</v>
      </c>
      <c r="L226" s="3">
        <v>115.2</v>
      </c>
      <c r="M226" s="3">
        <v>634.88</v>
      </c>
      <c r="N226" s="3">
        <v>12.8</v>
      </c>
      <c r="O226" s="3">
        <v>171.52</v>
      </c>
      <c r="P226" s="3">
        <v>121.6</v>
      </c>
      <c r="Q226" s="3">
        <v>90.88</v>
      </c>
      <c r="R226" s="3">
        <v>42.24</v>
      </c>
      <c r="S226" s="3">
        <v>637.44000000000005</v>
      </c>
      <c r="T226" s="3">
        <v>422.4</v>
      </c>
      <c r="U226" s="3">
        <v>209.92</v>
      </c>
      <c r="V226" s="3">
        <v>455.68</v>
      </c>
      <c r="W226" s="3">
        <v>184.32</v>
      </c>
      <c r="X226" s="3">
        <v>360.96</v>
      </c>
      <c r="Y226" s="3">
        <v>121.6</v>
      </c>
      <c r="Z226" s="3">
        <v>184.32</v>
      </c>
      <c r="AA226" s="3">
        <v>62.72</v>
      </c>
      <c r="AB226" s="3">
        <v>46.08</v>
      </c>
      <c r="AC226" s="3">
        <v>184.32</v>
      </c>
      <c r="AD226" s="3">
        <v>262.39999999999998</v>
      </c>
      <c r="AE226" s="3">
        <v>206.08</v>
      </c>
      <c r="AF226" s="3">
        <v>651.52</v>
      </c>
      <c r="AG226" s="3">
        <v>70.400000000000006</v>
      </c>
      <c r="AH226" s="3">
        <v>440.32</v>
      </c>
      <c r="AI226" s="3">
        <v>480</v>
      </c>
    </row>
    <row r="227" spans="2:36" x14ac:dyDescent="0.3">
      <c r="B227" t="s">
        <v>167</v>
      </c>
      <c r="D227">
        <v>219</v>
      </c>
      <c r="E227">
        <v>40064</v>
      </c>
      <c r="F227">
        <v>1</v>
      </c>
      <c r="H227">
        <v>223</v>
      </c>
      <c r="I227" s="3">
        <f>AVERAGE(J227:XX227)</f>
        <v>339.24740740740748</v>
      </c>
      <c r="J227" s="3">
        <v>307.2</v>
      </c>
      <c r="K227" s="3">
        <v>581.12</v>
      </c>
      <c r="L227" s="3">
        <v>266.24</v>
      </c>
      <c r="M227" s="3">
        <v>245.76</v>
      </c>
      <c r="N227" s="3">
        <v>506.88</v>
      </c>
      <c r="O227" s="3">
        <v>332.8</v>
      </c>
      <c r="P227" s="3">
        <v>513.28</v>
      </c>
      <c r="Q227" s="3">
        <v>199.68</v>
      </c>
      <c r="R227" s="3">
        <v>320</v>
      </c>
      <c r="S227" s="3">
        <v>197.12</v>
      </c>
      <c r="T227" s="3">
        <v>171.52</v>
      </c>
      <c r="U227" s="3">
        <v>436.48</v>
      </c>
      <c r="V227" s="3">
        <v>128</v>
      </c>
      <c r="W227" s="3">
        <v>569.6</v>
      </c>
      <c r="X227" s="3">
        <v>384</v>
      </c>
      <c r="Y227" s="3">
        <v>313.60000000000002</v>
      </c>
      <c r="Z227" s="3">
        <v>208.64</v>
      </c>
      <c r="AA227" s="3">
        <v>244.48</v>
      </c>
      <c r="AB227" s="3">
        <v>473.6</v>
      </c>
      <c r="AC227" s="3">
        <v>308.48</v>
      </c>
      <c r="AD227" s="3">
        <v>462.08</v>
      </c>
      <c r="AE227" s="3">
        <v>529.91999999999996</v>
      </c>
      <c r="AF227" s="3">
        <v>145.91999999999999</v>
      </c>
      <c r="AG227" s="3">
        <v>71.680000000000007</v>
      </c>
      <c r="AH227" s="3">
        <v>197.12</v>
      </c>
      <c r="AI227" s="3">
        <v>486.4</v>
      </c>
      <c r="AJ227" s="3">
        <v>558.08000000000004</v>
      </c>
    </row>
    <row r="228" spans="2:36" x14ac:dyDescent="0.3">
      <c r="B228" t="s">
        <v>168</v>
      </c>
      <c r="D228">
        <v>214</v>
      </c>
      <c r="E228">
        <v>33024</v>
      </c>
      <c r="F228">
        <v>1</v>
      </c>
      <c r="H228">
        <v>224</v>
      </c>
      <c r="I228" s="3">
        <f>AVERAGE(J228:XX228)</f>
        <v>322.62736842105261</v>
      </c>
      <c r="J228" s="3">
        <v>390.4</v>
      </c>
      <c r="K228" s="3">
        <v>424.96</v>
      </c>
      <c r="L228" s="3">
        <v>481.28</v>
      </c>
      <c r="M228" s="3">
        <v>163.84</v>
      </c>
      <c r="N228" s="3">
        <v>486.4</v>
      </c>
      <c r="O228" s="3">
        <v>322.56</v>
      </c>
      <c r="P228" s="3">
        <v>189.44</v>
      </c>
      <c r="Q228" s="3">
        <v>181.76</v>
      </c>
      <c r="R228" s="3">
        <v>74.239999999999995</v>
      </c>
      <c r="S228" s="3">
        <v>152.32</v>
      </c>
      <c r="T228" s="3">
        <v>216.32</v>
      </c>
      <c r="U228" s="3">
        <v>465.92</v>
      </c>
      <c r="V228" s="3">
        <v>166.4</v>
      </c>
      <c r="W228" s="3">
        <v>152.32</v>
      </c>
      <c r="X228" s="3">
        <v>284.16000000000003</v>
      </c>
      <c r="Y228" s="3">
        <v>448</v>
      </c>
      <c r="Z228" s="3">
        <v>349.44</v>
      </c>
      <c r="AA228" s="3">
        <v>645.12</v>
      </c>
      <c r="AB228" s="3">
        <v>535.04</v>
      </c>
    </row>
    <row r="229" spans="2:36" x14ac:dyDescent="0.3">
      <c r="B229" t="s">
        <v>169</v>
      </c>
      <c r="D229">
        <v>222</v>
      </c>
      <c r="E229">
        <v>11520</v>
      </c>
      <c r="F229">
        <v>1</v>
      </c>
      <c r="H229">
        <v>225</v>
      </c>
      <c r="I229" s="3">
        <f>AVERAGE(J229:XX229)</f>
        <v>285.93230769230769</v>
      </c>
      <c r="J229" s="3">
        <v>307.2</v>
      </c>
      <c r="K229" s="3">
        <v>17.920000000000002</v>
      </c>
      <c r="L229" s="3">
        <v>573.44000000000005</v>
      </c>
      <c r="M229" s="3">
        <v>61.44</v>
      </c>
      <c r="N229" s="3">
        <v>427.52</v>
      </c>
      <c r="O229" s="3">
        <v>2.56</v>
      </c>
      <c r="P229" s="3">
        <v>215.04</v>
      </c>
      <c r="Q229" s="3">
        <v>408.32</v>
      </c>
      <c r="R229" s="3">
        <v>200.96</v>
      </c>
      <c r="S229" s="3">
        <v>410.88</v>
      </c>
      <c r="T229" s="3">
        <v>235.52</v>
      </c>
      <c r="U229" s="3">
        <v>358.4</v>
      </c>
      <c r="V229" s="3">
        <v>153.6</v>
      </c>
      <c r="W229" s="3">
        <v>377.6</v>
      </c>
      <c r="X229" s="3">
        <v>2.56</v>
      </c>
      <c r="Y229" s="3">
        <v>110.08</v>
      </c>
      <c r="Z229" s="3">
        <v>632.32000000000005</v>
      </c>
      <c r="AA229" s="3">
        <v>399.36</v>
      </c>
      <c r="AB229" s="3">
        <v>568.32000000000005</v>
      </c>
      <c r="AC229" s="3">
        <v>44.8</v>
      </c>
      <c r="AD229" s="3">
        <v>633.6</v>
      </c>
      <c r="AE229" s="3">
        <v>410.88</v>
      </c>
      <c r="AF229" s="3">
        <v>494.08</v>
      </c>
      <c r="AG229" s="3">
        <v>184.32</v>
      </c>
      <c r="AH229" s="3">
        <v>163.84</v>
      </c>
      <c r="AI229" s="3">
        <v>39.68</v>
      </c>
    </row>
    <row r="230" spans="2:36" x14ac:dyDescent="0.3">
      <c r="B230" t="s">
        <v>170</v>
      </c>
      <c r="D230">
        <v>225</v>
      </c>
      <c r="E230">
        <v>57344</v>
      </c>
      <c r="F230">
        <v>1</v>
      </c>
      <c r="H230">
        <v>226</v>
      </c>
      <c r="I230" s="3">
        <f>AVERAGE(J230:XX230)</f>
        <v>352.22260869565218</v>
      </c>
      <c r="J230" s="3">
        <v>216.32</v>
      </c>
      <c r="K230" s="3">
        <v>245.76</v>
      </c>
      <c r="L230" s="3">
        <v>435.2</v>
      </c>
      <c r="M230" s="3">
        <v>74.239999999999995</v>
      </c>
      <c r="N230" s="3">
        <v>409.6</v>
      </c>
      <c r="O230" s="3">
        <v>491.52</v>
      </c>
      <c r="P230" s="3">
        <v>517.12</v>
      </c>
      <c r="Q230" s="3">
        <v>424.96</v>
      </c>
      <c r="R230" s="3">
        <v>211.2</v>
      </c>
      <c r="S230" s="3">
        <v>600.32000000000005</v>
      </c>
      <c r="T230" s="3">
        <v>446.72</v>
      </c>
      <c r="U230" s="3">
        <v>216.32</v>
      </c>
      <c r="V230" s="3">
        <v>17.920000000000002</v>
      </c>
      <c r="W230" s="3">
        <v>153.6</v>
      </c>
      <c r="X230" s="3">
        <v>64</v>
      </c>
      <c r="Y230" s="3">
        <v>628.48</v>
      </c>
      <c r="Z230" s="3">
        <v>336.64</v>
      </c>
      <c r="AA230" s="3">
        <v>650.24</v>
      </c>
      <c r="AB230" s="3">
        <v>307.2</v>
      </c>
      <c r="AC230" s="3">
        <v>481.28</v>
      </c>
      <c r="AD230" s="3">
        <v>352</v>
      </c>
      <c r="AE230" s="3">
        <v>465.92</v>
      </c>
      <c r="AF230" s="3">
        <v>354.56</v>
      </c>
    </row>
    <row r="231" spans="2:36" x14ac:dyDescent="0.3">
      <c r="B231" t="s">
        <v>171</v>
      </c>
      <c r="D231">
        <v>226</v>
      </c>
      <c r="E231">
        <v>24576</v>
      </c>
      <c r="F231">
        <v>1</v>
      </c>
      <c r="H231">
        <v>227</v>
      </c>
      <c r="I231" s="3">
        <f>AVERAGE(J231:XX231)</f>
        <v>315.89052631578949</v>
      </c>
      <c r="J231" s="3">
        <v>344.32</v>
      </c>
      <c r="K231" s="3">
        <v>275.2</v>
      </c>
      <c r="L231" s="3">
        <v>192</v>
      </c>
      <c r="M231" s="3">
        <v>243.2</v>
      </c>
      <c r="N231" s="3">
        <v>380.16</v>
      </c>
      <c r="O231" s="3">
        <v>596.48</v>
      </c>
      <c r="P231" s="3">
        <v>432.64</v>
      </c>
      <c r="Q231" s="3">
        <v>309.76</v>
      </c>
      <c r="R231" s="3">
        <v>94.72</v>
      </c>
      <c r="S231" s="3">
        <v>504.32</v>
      </c>
      <c r="T231" s="3">
        <v>272.64</v>
      </c>
      <c r="U231" s="3">
        <v>323.83999999999997</v>
      </c>
      <c r="V231" s="3">
        <v>488.96</v>
      </c>
      <c r="W231" s="3">
        <v>646.4</v>
      </c>
      <c r="X231" s="3">
        <v>496.64</v>
      </c>
      <c r="Y231" s="3">
        <v>34.56</v>
      </c>
      <c r="Z231" s="3">
        <v>34.56</v>
      </c>
      <c r="AA231" s="3">
        <v>65.28</v>
      </c>
      <c r="AB231" s="3">
        <v>266.24</v>
      </c>
    </row>
    <row r="232" spans="2:36" x14ac:dyDescent="0.3">
      <c r="B232" t="s">
        <v>172</v>
      </c>
      <c r="D232">
        <v>235</v>
      </c>
      <c r="E232">
        <v>34816</v>
      </c>
      <c r="F232">
        <v>1</v>
      </c>
      <c r="H232">
        <v>228</v>
      </c>
      <c r="I232" s="3">
        <f>AVERAGE(J232:XX232)</f>
        <v>258.34666666666664</v>
      </c>
      <c r="J232" s="3">
        <v>209.92</v>
      </c>
      <c r="K232" s="3">
        <v>307.2</v>
      </c>
      <c r="L232" s="3">
        <v>10.24</v>
      </c>
      <c r="M232" s="3">
        <v>369.92</v>
      </c>
      <c r="N232" s="3">
        <v>591.36</v>
      </c>
      <c r="O232" s="3">
        <v>239.36</v>
      </c>
      <c r="P232" s="3">
        <v>23.04</v>
      </c>
      <c r="Q232" s="3">
        <v>519.67999999999995</v>
      </c>
      <c r="R232" s="3">
        <v>48.64</v>
      </c>
      <c r="S232" s="3">
        <v>209.92</v>
      </c>
      <c r="T232" s="3">
        <v>291.83999999999997</v>
      </c>
      <c r="U232" s="3">
        <v>279.04000000000002</v>
      </c>
    </row>
    <row r="233" spans="2:36" x14ac:dyDescent="0.3">
      <c r="B233" t="s">
        <v>173</v>
      </c>
      <c r="D233">
        <v>237</v>
      </c>
      <c r="E233">
        <v>34816</v>
      </c>
      <c r="F233">
        <v>1</v>
      </c>
      <c r="H233">
        <v>229</v>
      </c>
      <c r="I233" s="3">
        <f>AVERAGE(J233:XX233)</f>
        <v>246.52800000000002</v>
      </c>
      <c r="J233" s="3">
        <v>634.88</v>
      </c>
      <c r="K233" s="3">
        <v>20.48</v>
      </c>
      <c r="L233" s="3">
        <v>177.92</v>
      </c>
      <c r="M233" s="3">
        <v>76.8</v>
      </c>
      <c r="N233" s="3">
        <v>435.2</v>
      </c>
      <c r="O233" s="3">
        <v>256</v>
      </c>
      <c r="P233" s="3">
        <v>135.68</v>
      </c>
      <c r="Q233" s="3">
        <v>258.56</v>
      </c>
      <c r="R233" s="3">
        <v>352</v>
      </c>
      <c r="S233" s="3">
        <v>117.76</v>
      </c>
    </row>
    <row r="234" spans="2:36" x14ac:dyDescent="0.3">
      <c r="B234" t="s">
        <v>174</v>
      </c>
      <c r="D234">
        <v>236</v>
      </c>
      <c r="E234">
        <v>6144</v>
      </c>
      <c r="F234">
        <v>1</v>
      </c>
      <c r="H234">
        <v>230</v>
      </c>
      <c r="I234" s="3">
        <f>AVERAGE(J234:XX234)</f>
        <v>329.34399999999999</v>
      </c>
      <c r="J234" s="3">
        <v>634.88</v>
      </c>
      <c r="K234" s="3">
        <v>478.72</v>
      </c>
      <c r="L234" s="3">
        <v>257.27999999999997</v>
      </c>
      <c r="M234" s="3">
        <v>496.64</v>
      </c>
      <c r="N234" s="3">
        <v>241.92</v>
      </c>
      <c r="O234" s="3">
        <v>503.04</v>
      </c>
      <c r="P234" s="3">
        <v>654.08000000000004</v>
      </c>
      <c r="Q234" s="3">
        <v>133.12</v>
      </c>
      <c r="R234" s="3">
        <v>30.72</v>
      </c>
      <c r="S234" s="3">
        <v>10.24</v>
      </c>
      <c r="T234" s="3">
        <v>46.08</v>
      </c>
      <c r="U234" s="3">
        <v>0</v>
      </c>
      <c r="V234" s="3">
        <v>286.72000000000003</v>
      </c>
      <c r="W234" s="3">
        <v>418.56</v>
      </c>
      <c r="X234" s="3">
        <v>321.27999999999997</v>
      </c>
      <c r="Y234" s="3">
        <v>501.76</v>
      </c>
      <c r="Z234" s="3">
        <v>462.08</v>
      </c>
      <c r="AA234" s="3">
        <v>103.68</v>
      </c>
      <c r="AB234" s="3">
        <v>604.16</v>
      </c>
      <c r="AC234" s="3">
        <v>401.92</v>
      </c>
    </row>
    <row r="235" spans="2:36" x14ac:dyDescent="0.3">
      <c r="B235" t="s">
        <v>175</v>
      </c>
      <c r="D235">
        <v>223</v>
      </c>
      <c r="E235">
        <v>26624</v>
      </c>
      <c r="F235">
        <v>1</v>
      </c>
      <c r="H235">
        <v>231</v>
      </c>
      <c r="I235" s="3">
        <f>AVERAGE(J235:XX235)</f>
        <v>364.91636363636366</v>
      </c>
      <c r="J235" s="3">
        <v>271.36</v>
      </c>
      <c r="K235" s="3">
        <v>514.55999999999995</v>
      </c>
      <c r="L235" s="3">
        <v>194.56</v>
      </c>
      <c r="M235" s="3">
        <v>465.92</v>
      </c>
      <c r="N235" s="3">
        <v>520.96</v>
      </c>
      <c r="O235" s="3">
        <v>243.2</v>
      </c>
      <c r="P235" s="3">
        <v>583.67999999999995</v>
      </c>
      <c r="Q235" s="3">
        <v>245.76</v>
      </c>
      <c r="R235" s="3">
        <v>410.88</v>
      </c>
      <c r="S235" s="3">
        <v>284.16000000000003</v>
      </c>
      <c r="T235" s="3">
        <v>279.04000000000002</v>
      </c>
    </row>
    <row r="236" spans="2:36" x14ac:dyDescent="0.3">
      <c r="B236" t="s">
        <v>176</v>
      </c>
      <c r="D236">
        <v>222</v>
      </c>
      <c r="E236">
        <v>63488</v>
      </c>
      <c r="F236">
        <v>1</v>
      </c>
      <c r="H236">
        <v>232</v>
      </c>
      <c r="I236" s="3">
        <f>AVERAGE(J236:XX236)</f>
        <v>277.04888888888888</v>
      </c>
      <c r="J236" s="3">
        <v>203.52</v>
      </c>
      <c r="K236" s="3">
        <v>143.36000000000001</v>
      </c>
      <c r="L236" s="3">
        <v>225.28</v>
      </c>
      <c r="M236" s="3">
        <v>634.88</v>
      </c>
      <c r="N236" s="3">
        <v>394.24</v>
      </c>
      <c r="O236" s="3">
        <v>250.88</v>
      </c>
      <c r="P236" s="3">
        <v>353.28</v>
      </c>
      <c r="Q236" s="3">
        <v>485.12</v>
      </c>
      <c r="R236" s="3">
        <v>363.52</v>
      </c>
      <c r="S236" s="3">
        <v>64</v>
      </c>
      <c r="T236" s="3">
        <v>294.39999999999998</v>
      </c>
      <c r="U236" s="3">
        <v>33.28</v>
      </c>
      <c r="V236" s="3">
        <v>189.44</v>
      </c>
      <c r="W236" s="3">
        <v>337.92</v>
      </c>
      <c r="X236" s="3">
        <v>519.67999999999995</v>
      </c>
      <c r="Y236" s="3">
        <v>468.48</v>
      </c>
      <c r="Z236" s="3">
        <v>163.84</v>
      </c>
      <c r="AA236" s="3">
        <v>422.4</v>
      </c>
      <c r="AB236" s="3">
        <v>335.36</v>
      </c>
      <c r="AC236" s="3">
        <v>327.68</v>
      </c>
      <c r="AD236" s="3">
        <v>314.88</v>
      </c>
      <c r="AE236" s="3">
        <v>230.4</v>
      </c>
      <c r="AF236" s="3">
        <v>99.84</v>
      </c>
      <c r="AG236" s="3">
        <v>230.4</v>
      </c>
      <c r="AH236" s="3">
        <v>5.12</v>
      </c>
      <c r="AI236" s="3">
        <v>330.24</v>
      </c>
      <c r="AJ236" s="3">
        <v>58.88</v>
      </c>
    </row>
    <row r="237" spans="2:36" x14ac:dyDescent="0.3">
      <c r="B237" t="s">
        <v>177</v>
      </c>
      <c r="D237">
        <v>234</v>
      </c>
      <c r="E237">
        <v>30720</v>
      </c>
      <c r="F237">
        <v>1</v>
      </c>
      <c r="H237">
        <v>233</v>
      </c>
      <c r="I237" s="3">
        <f>AVERAGE(J237:XX237)</f>
        <v>305.60000000000002</v>
      </c>
      <c r="J237" s="3">
        <v>634.88</v>
      </c>
      <c r="K237" s="3">
        <v>368.64</v>
      </c>
      <c r="L237" s="3">
        <v>634.88</v>
      </c>
      <c r="M237" s="3">
        <v>179.2</v>
      </c>
      <c r="N237" s="3">
        <v>58.88</v>
      </c>
      <c r="O237" s="3">
        <v>71.680000000000007</v>
      </c>
      <c r="P237" s="3">
        <v>30.72</v>
      </c>
      <c r="Q237" s="3">
        <v>455.68</v>
      </c>
      <c r="R237" s="3">
        <v>112.64</v>
      </c>
      <c r="S237" s="3">
        <v>240.64</v>
      </c>
      <c r="T237" s="3">
        <v>445.44</v>
      </c>
      <c r="U237" s="3">
        <v>433.92</v>
      </c>
    </row>
    <row r="238" spans="2:36" x14ac:dyDescent="0.3">
      <c r="B238" t="s">
        <v>178</v>
      </c>
      <c r="D238">
        <v>232</v>
      </c>
      <c r="E238">
        <v>14336</v>
      </c>
      <c r="F238">
        <v>1</v>
      </c>
      <c r="H238">
        <v>234</v>
      </c>
      <c r="I238" s="3">
        <f>AVERAGE(J238:XX238)</f>
        <v>262.89230769230767</v>
      </c>
      <c r="J238" s="3">
        <v>307.2</v>
      </c>
      <c r="K238" s="3">
        <v>593.91999999999996</v>
      </c>
      <c r="L238" s="3">
        <v>378.88</v>
      </c>
      <c r="M238" s="3">
        <v>89.6</v>
      </c>
      <c r="N238" s="3">
        <v>422.4</v>
      </c>
      <c r="O238" s="3">
        <v>171.52</v>
      </c>
      <c r="P238" s="3">
        <v>212.48</v>
      </c>
      <c r="Q238" s="3">
        <v>545.28</v>
      </c>
      <c r="R238" s="3">
        <v>235.52</v>
      </c>
      <c r="S238" s="3">
        <v>125.44</v>
      </c>
      <c r="T238" s="3">
        <v>61.44</v>
      </c>
      <c r="U238" s="3">
        <v>212.48</v>
      </c>
      <c r="V238" s="3">
        <v>61.44</v>
      </c>
    </row>
    <row r="239" spans="2:36" x14ac:dyDescent="0.3">
      <c r="B239" t="s">
        <v>179</v>
      </c>
      <c r="D239">
        <v>232</v>
      </c>
      <c r="E239">
        <v>22528</v>
      </c>
      <c r="F239">
        <v>1</v>
      </c>
      <c r="H239">
        <v>235</v>
      </c>
      <c r="I239" s="3">
        <f>AVERAGE(J239:XX239)</f>
        <v>175.36</v>
      </c>
      <c r="J239" s="3">
        <v>89.6</v>
      </c>
      <c r="K239" s="3">
        <v>348.16</v>
      </c>
      <c r="L239" s="3">
        <v>122.88</v>
      </c>
      <c r="M239" s="3">
        <v>215.04</v>
      </c>
      <c r="N239" s="3">
        <v>184.32</v>
      </c>
      <c r="O239" s="3">
        <v>92.16</v>
      </c>
    </row>
    <row r="240" spans="2:36" x14ac:dyDescent="0.3">
      <c r="B240" t="s">
        <v>180</v>
      </c>
      <c r="D240">
        <v>225</v>
      </c>
      <c r="E240">
        <v>6144</v>
      </c>
      <c r="F240">
        <v>1</v>
      </c>
      <c r="H240">
        <v>236</v>
      </c>
      <c r="I240" s="3">
        <f>AVERAGE(J240:XX240)</f>
        <v>232.67555555555555</v>
      </c>
      <c r="J240" s="3">
        <v>61.44</v>
      </c>
      <c r="K240" s="3">
        <v>25.6</v>
      </c>
      <c r="L240" s="3">
        <v>529.91999999999996</v>
      </c>
      <c r="M240" s="3">
        <v>153.6</v>
      </c>
      <c r="N240" s="3">
        <v>465.92</v>
      </c>
      <c r="O240" s="3">
        <v>368.64</v>
      </c>
      <c r="P240" s="3">
        <v>51.2</v>
      </c>
      <c r="Q240" s="3">
        <v>192</v>
      </c>
      <c r="R240" s="3">
        <v>245.76</v>
      </c>
    </row>
    <row r="241" spans="2:20" x14ac:dyDescent="0.3">
      <c r="B241" t="s">
        <v>181</v>
      </c>
      <c r="D241">
        <v>233</v>
      </c>
      <c r="E241">
        <v>63488</v>
      </c>
      <c r="F241">
        <v>1</v>
      </c>
      <c r="H241">
        <v>237</v>
      </c>
      <c r="I241" s="3">
        <f>AVERAGE(J241:XX241)</f>
        <v>269.22666666666669</v>
      </c>
      <c r="J241" s="3">
        <v>348.16</v>
      </c>
      <c r="K241" s="3">
        <v>327.68</v>
      </c>
      <c r="L241" s="3">
        <v>17.920000000000002</v>
      </c>
      <c r="M241" s="3">
        <v>258.56</v>
      </c>
      <c r="N241" s="3">
        <v>253.44</v>
      </c>
      <c r="O241" s="3">
        <v>409.6</v>
      </c>
    </row>
    <row r="242" spans="2:20" x14ac:dyDescent="0.3">
      <c r="B242" t="s">
        <v>182</v>
      </c>
      <c r="D242">
        <v>235</v>
      </c>
      <c r="E242">
        <v>12288</v>
      </c>
      <c r="F242">
        <v>1</v>
      </c>
      <c r="H242">
        <v>238</v>
      </c>
      <c r="I242" s="3">
        <f>AVERAGE(J242:XX242)</f>
        <v>420.69333333333333</v>
      </c>
      <c r="J242" s="3">
        <v>581.12</v>
      </c>
      <c r="K242" s="3">
        <v>350.72</v>
      </c>
      <c r="L242" s="3">
        <v>330.24</v>
      </c>
    </row>
    <row r="243" spans="2:20" x14ac:dyDescent="0.3">
      <c r="B243" t="s">
        <v>183</v>
      </c>
      <c r="D243">
        <v>241</v>
      </c>
      <c r="E243">
        <v>63488</v>
      </c>
      <c r="F243">
        <v>1</v>
      </c>
      <c r="H243">
        <v>239</v>
      </c>
      <c r="I243" s="3">
        <f>AVERAGE(J243:XX243)</f>
        <v>158.72</v>
      </c>
      <c r="J243" s="3">
        <v>158.72</v>
      </c>
    </row>
    <row r="244" spans="2:20" x14ac:dyDescent="0.3">
      <c r="B244" t="s">
        <v>184</v>
      </c>
      <c r="D244">
        <v>233</v>
      </c>
      <c r="E244">
        <v>36864</v>
      </c>
      <c r="F244">
        <v>1</v>
      </c>
      <c r="H244">
        <v>240</v>
      </c>
      <c r="I244" s="3">
        <f>AVERAGE(J244:XX244)</f>
        <v>320.64000000000004</v>
      </c>
      <c r="J244" s="3">
        <v>637.44000000000005</v>
      </c>
      <c r="K244" s="3">
        <v>51.2</v>
      </c>
      <c r="L244" s="3">
        <v>363.52</v>
      </c>
      <c r="M244" s="3">
        <v>230.4</v>
      </c>
    </row>
    <row r="245" spans="2:20" x14ac:dyDescent="0.3">
      <c r="B245" t="s">
        <v>185</v>
      </c>
      <c r="D245">
        <v>229</v>
      </c>
      <c r="E245">
        <v>63488</v>
      </c>
      <c r="F245">
        <v>1</v>
      </c>
      <c r="H245">
        <v>241</v>
      </c>
      <c r="I245" s="3">
        <f>AVERAGE(J245:XX245)</f>
        <v>403.84000000000003</v>
      </c>
      <c r="J245" s="3">
        <v>634.88</v>
      </c>
      <c r="K245" s="3">
        <v>634.88</v>
      </c>
      <c r="L245" s="3">
        <v>28.16</v>
      </c>
      <c r="M245" s="3">
        <v>317.44</v>
      </c>
    </row>
    <row r="246" spans="2:20" x14ac:dyDescent="0.3">
      <c r="B246" t="s">
        <v>186</v>
      </c>
      <c r="D246">
        <v>231</v>
      </c>
      <c r="E246">
        <v>27136</v>
      </c>
      <c r="F246">
        <v>1</v>
      </c>
      <c r="H246">
        <v>242</v>
      </c>
      <c r="I246" s="3" t="e">
        <f>AVERAGE(J246:XX246)</f>
        <v>#DIV/0!</v>
      </c>
    </row>
    <row r="247" spans="2:20" x14ac:dyDescent="0.3">
      <c r="B247" t="s">
        <v>187</v>
      </c>
      <c r="D247">
        <v>232</v>
      </c>
      <c r="E247">
        <v>63488</v>
      </c>
      <c r="F247">
        <v>1</v>
      </c>
      <c r="H247">
        <v>243</v>
      </c>
      <c r="I247" s="3">
        <f>AVERAGE(J247:XX247)</f>
        <v>356.77090909090907</v>
      </c>
      <c r="J247" s="3">
        <v>419.84</v>
      </c>
      <c r="K247" s="3">
        <v>168.96</v>
      </c>
      <c r="L247" s="3">
        <v>168.96</v>
      </c>
      <c r="M247" s="3">
        <v>583.67999999999995</v>
      </c>
      <c r="N247" s="3">
        <v>560.64</v>
      </c>
      <c r="O247" s="3">
        <v>588.79999999999995</v>
      </c>
      <c r="P247" s="3">
        <v>360.96</v>
      </c>
      <c r="Q247" s="3">
        <v>138.24</v>
      </c>
      <c r="R247" s="3">
        <v>529.91999999999996</v>
      </c>
      <c r="S247" s="3">
        <v>235.52</v>
      </c>
      <c r="T247" s="3">
        <v>168.96</v>
      </c>
    </row>
    <row r="248" spans="2:20" x14ac:dyDescent="0.3">
      <c r="B248" t="s">
        <v>188</v>
      </c>
      <c r="D248">
        <v>223</v>
      </c>
      <c r="E248">
        <v>24576</v>
      </c>
      <c r="F248">
        <v>1</v>
      </c>
      <c r="H248">
        <v>244</v>
      </c>
      <c r="I248" s="3">
        <f>AVERAGE(J248:XX248)</f>
        <v>261.54666666666662</v>
      </c>
      <c r="J248" s="3">
        <v>207.36</v>
      </c>
      <c r="K248" s="3">
        <v>445.44</v>
      </c>
      <c r="L248" s="3">
        <v>102.4</v>
      </c>
      <c r="M248" s="3">
        <v>76.8</v>
      </c>
      <c r="N248" s="3">
        <v>143.36000000000001</v>
      </c>
      <c r="O248" s="3">
        <v>593.91999999999996</v>
      </c>
    </row>
    <row r="249" spans="2:20" x14ac:dyDescent="0.3">
      <c r="B249" t="s">
        <v>189</v>
      </c>
      <c r="D249">
        <v>229</v>
      </c>
      <c r="E249">
        <v>2048</v>
      </c>
      <c r="F249">
        <v>1</v>
      </c>
      <c r="H249">
        <v>245</v>
      </c>
      <c r="I249" s="3">
        <f>AVERAGE(J249:XX249)</f>
        <v>351.57333333333332</v>
      </c>
      <c r="J249" s="3">
        <v>307.2</v>
      </c>
      <c r="K249" s="3">
        <v>460.8</v>
      </c>
      <c r="L249" s="3">
        <v>286.72000000000003</v>
      </c>
    </row>
    <row r="250" spans="2:20" x14ac:dyDescent="0.3">
      <c r="B250" t="s">
        <v>183</v>
      </c>
      <c r="D250">
        <v>241</v>
      </c>
      <c r="E250">
        <v>63488</v>
      </c>
      <c r="F250">
        <v>1</v>
      </c>
      <c r="H250">
        <v>246</v>
      </c>
      <c r="I250" s="3">
        <f>AVERAGE(J250:XX250)</f>
        <v>250.36799999999999</v>
      </c>
      <c r="J250" s="3">
        <v>20.48</v>
      </c>
      <c r="K250" s="3">
        <v>20.48</v>
      </c>
      <c r="L250" s="3">
        <v>540.16</v>
      </c>
      <c r="M250" s="3">
        <v>486.4</v>
      </c>
      <c r="N250" s="3">
        <v>184.32</v>
      </c>
    </row>
    <row r="251" spans="2:20" x14ac:dyDescent="0.3">
      <c r="B251" t="s">
        <v>181</v>
      </c>
      <c r="D251">
        <v>233</v>
      </c>
      <c r="E251">
        <v>63488</v>
      </c>
      <c r="F251">
        <v>1</v>
      </c>
      <c r="H251">
        <v>247</v>
      </c>
      <c r="I251" s="3" t="e">
        <f>AVERAGE(J251:XX251)</f>
        <v>#DIV/0!</v>
      </c>
    </row>
    <row r="252" spans="2:20" x14ac:dyDescent="0.3">
      <c r="B252" t="s">
        <v>190</v>
      </c>
      <c r="D252">
        <v>245</v>
      </c>
      <c r="E252">
        <v>30720</v>
      </c>
      <c r="F252">
        <v>1</v>
      </c>
      <c r="H252">
        <v>248</v>
      </c>
      <c r="I252" s="3" t="e">
        <f>AVERAGE(J252:XX252)</f>
        <v>#DIV/0!</v>
      </c>
    </row>
    <row r="253" spans="2:20" x14ac:dyDescent="0.3">
      <c r="B253" t="s">
        <v>191</v>
      </c>
      <c r="D253">
        <v>230</v>
      </c>
      <c r="E253">
        <v>63488</v>
      </c>
      <c r="F253">
        <v>1</v>
      </c>
      <c r="H253">
        <v>249</v>
      </c>
      <c r="I253" s="3" t="e">
        <f>AVERAGE(J253:XX253)</f>
        <v>#DIV/0!</v>
      </c>
    </row>
    <row r="254" spans="2:20" x14ac:dyDescent="0.3">
      <c r="B254" t="s">
        <v>192</v>
      </c>
      <c r="D254">
        <v>226</v>
      </c>
      <c r="E254">
        <v>43520</v>
      </c>
      <c r="F254">
        <v>1</v>
      </c>
      <c r="H254">
        <v>250</v>
      </c>
      <c r="I254" s="3" t="e">
        <f>AVERAGE(J254:XX254)</f>
        <v>#DIV/0!</v>
      </c>
    </row>
    <row r="255" spans="2:20" x14ac:dyDescent="0.3">
      <c r="B255" t="s">
        <v>193</v>
      </c>
      <c r="D255">
        <v>226</v>
      </c>
      <c r="E255">
        <v>7424</v>
      </c>
      <c r="F255">
        <v>1</v>
      </c>
      <c r="H255">
        <v>251</v>
      </c>
      <c r="I255" s="3" t="e">
        <f>AVERAGE(J255:XX255)</f>
        <v>#DIV/0!</v>
      </c>
    </row>
    <row r="256" spans="2:20" x14ac:dyDescent="0.3">
      <c r="B256" t="s">
        <v>194</v>
      </c>
      <c r="D256">
        <v>230</v>
      </c>
      <c r="E256">
        <v>47872</v>
      </c>
      <c r="F256">
        <v>1</v>
      </c>
      <c r="H256">
        <v>252</v>
      </c>
      <c r="I256" s="3" t="e">
        <f>AVERAGE(J256:XX256)</f>
        <v>#DIV/0!</v>
      </c>
    </row>
    <row r="257" spans="2:69" x14ac:dyDescent="0.3">
      <c r="B257" t="s">
        <v>195</v>
      </c>
      <c r="D257">
        <v>233</v>
      </c>
      <c r="E257">
        <v>17920</v>
      </c>
      <c r="F257">
        <v>1</v>
      </c>
      <c r="H257">
        <v>253</v>
      </c>
      <c r="I257" s="3" t="e">
        <f>AVERAGE(J257:XX257)</f>
        <v>#DIV/0!</v>
      </c>
    </row>
    <row r="258" spans="2:69" x14ac:dyDescent="0.3">
      <c r="B258" t="s">
        <v>196</v>
      </c>
      <c r="D258">
        <v>230</v>
      </c>
      <c r="E258">
        <v>25728</v>
      </c>
      <c r="F258">
        <v>1</v>
      </c>
      <c r="H258">
        <v>254</v>
      </c>
      <c r="I258" s="3" t="e">
        <f>AVERAGE(J258:XX258)</f>
        <v>#DIV/0!</v>
      </c>
    </row>
    <row r="259" spans="2:69" x14ac:dyDescent="0.3">
      <c r="B259" t="s">
        <v>197</v>
      </c>
      <c r="D259">
        <v>218</v>
      </c>
      <c r="E259">
        <v>49920</v>
      </c>
      <c r="F259">
        <v>1</v>
      </c>
      <c r="H259">
        <v>255</v>
      </c>
      <c r="I259" s="3">
        <f>AVERAGE(J259:XX259)</f>
        <v>338.75200000000007</v>
      </c>
      <c r="J259" s="3">
        <v>460.8</v>
      </c>
      <c r="K259" s="3">
        <v>348.16</v>
      </c>
      <c r="L259" s="3">
        <v>76.8</v>
      </c>
      <c r="M259" s="3">
        <v>391.68</v>
      </c>
      <c r="N259" s="3">
        <v>591.36</v>
      </c>
      <c r="O259" s="3">
        <v>532.48</v>
      </c>
      <c r="P259" s="3">
        <v>286.72000000000003</v>
      </c>
      <c r="Q259" s="3">
        <v>532.48</v>
      </c>
      <c r="R259" s="3">
        <v>307.2</v>
      </c>
      <c r="S259" s="3">
        <v>614.4</v>
      </c>
      <c r="T259" s="3">
        <v>491.52</v>
      </c>
      <c r="U259" s="3">
        <v>532.48</v>
      </c>
      <c r="V259" s="3">
        <v>245.76</v>
      </c>
      <c r="W259" s="3">
        <v>327.68</v>
      </c>
      <c r="X259" s="3">
        <v>307.2</v>
      </c>
      <c r="Y259" s="3">
        <v>552.96</v>
      </c>
      <c r="Z259" s="3">
        <v>348.16</v>
      </c>
      <c r="AA259" s="3">
        <v>368.64</v>
      </c>
      <c r="AB259" s="3">
        <v>61.44</v>
      </c>
      <c r="AC259" s="3">
        <v>266.24</v>
      </c>
      <c r="AD259" s="3">
        <v>184.32</v>
      </c>
      <c r="AE259" s="3">
        <v>102.4</v>
      </c>
      <c r="AF259" s="3">
        <v>593.91999999999996</v>
      </c>
      <c r="AG259" s="3">
        <v>634.88</v>
      </c>
      <c r="AH259" s="3">
        <v>20.48</v>
      </c>
      <c r="AI259" s="3">
        <v>163.84</v>
      </c>
      <c r="AJ259" s="3">
        <v>327.68</v>
      </c>
      <c r="AK259" s="3">
        <v>163.84</v>
      </c>
      <c r="AL259" s="3">
        <v>552.96</v>
      </c>
      <c r="AM259" s="3">
        <v>184.32</v>
      </c>
      <c r="AN259" s="3">
        <v>225.28</v>
      </c>
      <c r="AO259" s="3">
        <v>517.12</v>
      </c>
      <c r="AP259" s="3">
        <v>243.2</v>
      </c>
      <c r="AQ259" s="3">
        <v>417.28</v>
      </c>
      <c r="AR259" s="3">
        <v>430.08</v>
      </c>
      <c r="AS259" s="3">
        <v>143.36000000000001</v>
      </c>
      <c r="AT259" s="3">
        <v>491.52</v>
      </c>
      <c r="AU259" s="3">
        <v>430.08</v>
      </c>
      <c r="AV259" s="3">
        <v>184.32</v>
      </c>
      <c r="AW259" s="3">
        <v>266.24</v>
      </c>
      <c r="AX259" s="3">
        <v>645.12</v>
      </c>
      <c r="AY259" s="3">
        <v>512</v>
      </c>
      <c r="AZ259" s="3">
        <v>81.92</v>
      </c>
      <c r="BA259" s="3">
        <v>143.36000000000001</v>
      </c>
      <c r="BB259" s="3">
        <v>143.36000000000001</v>
      </c>
      <c r="BC259" s="3">
        <v>0</v>
      </c>
      <c r="BD259" s="3">
        <v>552.96</v>
      </c>
      <c r="BE259" s="3">
        <v>512</v>
      </c>
      <c r="BF259" s="3">
        <v>430.08</v>
      </c>
      <c r="BG259" s="3">
        <v>286.72000000000003</v>
      </c>
      <c r="BH259" s="3">
        <v>0</v>
      </c>
      <c r="BI259" s="3">
        <v>573.44000000000005</v>
      </c>
      <c r="BJ259" s="3">
        <v>204.8</v>
      </c>
      <c r="BK259" s="3">
        <v>204.8</v>
      </c>
      <c r="BL259" s="3">
        <v>389.12</v>
      </c>
      <c r="BM259" s="3">
        <v>225.28</v>
      </c>
      <c r="BN259" s="3">
        <v>599.04</v>
      </c>
      <c r="BO259" s="3">
        <v>163.84</v>
      </c>
      <c r="BP259" s="3">
        <v>491.52</v>
      </c>
      <c r="BQ259" s="3">
        <v>244.48</v>
      </c>
    </row>
    <row r="260" spans="2:69" x14ac:dyDescent="0.3">
      <c r="B260" t="s">
        <v>198</v>
      </c>
      <c r="D260">
        <v>238</v>
      </c>
      <c r="E260">
        <v>58112</v>
      </c>
      <c r="F260">
        <v>1</v>
      </c>
    </row>
    <row r="261" spans="2:69" x14ac:dyDescent="0.3">
      <c r="B261" t="s">
        <v>199</v>
      </c>
      <c r="D261">
        <v>230</v>
      </c>
      <c r="E261">
        <v>49664</v>
      </c>
      <c r="F261">
        <v>1</v>
      </c>
    </row>
    <row r="262" spans="2:69" x14ac:dyDescent="0.3">
      <c r="B262" t="s">
        <v>200</v>
      </c>
      <c r="D262">
        <v>224</v>
      </c>
      <c r="E262">
        <v>42496</v>
      </c>
      <c r="F262">
        <v>1</v>
      </c>
    </row>
    <row r="263" spans="2:69" x14ac:dyDescent="0.3">
      <c r="B263" t="s">
        <v>201</v>
      </c>
      <c r="D263">
        <v>233</v>
      </c>
      <c r="E263">
        <v>5888</v>
      </c>
      <c r="F263">
        <v>1</v>
      </c>
    </row>
    <row r="264" spans="2:69" x14ac:dyDescent="0.3">
      <c r="B264" t="s">
        <v>202</v>
      </c>
      <c r="D264">
        <v>225</v>
      </c>
      <c r="E264">
        <v>42752</v>
      </c>
      <c r="F264">
        <v>1</v>
      </c>
    </row>
    <row r="265" spans="2:69" x14ac:dyDescent="0.3">
      <c r="B265" t="s">
        <v>203</v>
      </c>
      <c r="D265">
        <v>223</v>
      </c>
      <c r="E265">
        <v>50688</v>
      </c>
      <c r="F265">
        <v>1</v>
      </c>
    </row>
    <row r="266" spans="2:69" x14ac:dyDescent="0.3">
      <c r="B266" t="s">
        <v>204</v>
      </c>
      <c r="D266">
        <v>223</v>
      </c>
      <c r="E266">
        <v>33280</v>
      </c>
      <c r="F266">
        <v>1</v>
      </c>
    </row>
    <row r="267" spans="2:69" x14ac:dyDescent="0.3">
      <c r="B267" t="s">
        <v>205</v>
      </c>
      <c r="D267">
        <v>226</v>
      </c>
      <c r="E267">
        <v>40960</v>
      </c>
      <c r="F267">
        <v>1</v>
      </c>
    </row>
    <row r="268" spans="2:69" x14ac:dyDescent="0.3">
      <c r="B268" t="s">
        <v>206</v>
      </c>
      <c r="D268">
        <v>201</v>
      </c>
      <c r="E268">
        <v>37824</v>
      </c>
      <c r="F268">
        <v>1</v>
      </c>
    </row>
    <row r="269" spans="2:69" x14ac:dyDescent="0.3">
      <c r="B269" t="s">
        <v>207</v>
      </c>
      <c r="D269">
        <v>221</v>
      </c>
      <c r="E269">
        <v>30208</v>
      </c>
      <c r="F269">
        <v>1</v>
      </c>
    </row>
    <row r="270" spans="2:69" x14ac:dyDescent="0.3">
      <c r="B270" t="s">
        <v>208</v>
      </c>
      <c r="D270">
        <v>232</v>
      </c>
      <c r="E270">
        <v>39424</v>
      </c>
      <c r="F270">
        <v>1</v>
      </c>
    </row>
    <row r="271" spans="2:69" x14ac:dyDescent="0.3">
      <c r="B271" t="s">
        <v>209</v>
      </c>
      <c r="D271">
        <v>223</v>
      </c>
      <c r="E271">
        <v>51328</v>
      </c>
      <c r="F271">
        <v>1</v>
      </c>
    </row>
    <row r="272" spans="2:69" x14ac:dyDescent="0.3">
      <c r="B272" t="s">
        <v>210</v>
      </c>
      <c r="D272">
        <v>229</v>
      </c>
      <c r="E272">
        <v>17792</v>
      </c>
      <c r="F272">
        <v>1</v>
      </c>
    </row>
    <row r="273" spans="2:6" x14ac:dyDescent="0.3">
      <c r="B273" t="s">
        <v>211</v>
      </c>
      <c r="D273">
        <v>228</v>
      </c>
      <c r="E273">
        <v>20992</v>
      </c>
      <c r="F273">
        <v>1</v>
      </c>
    </row>
    <row r="274" spans="2:6" x14ac:dyDescent="0.3">
      <c r="B274" t="s">
        <v>212</v>
      </c>
      <c r="D274">
        <v>222</v>
      </c>
      <c r="E274">
        <v>1280</v>
      </c>
      <c r="F274">
        <v>1</v>
      </c>
    </row>
    <row r="275" spans="2:6" x14ac:dyDescent="0.3">
      <c r="B275" t="s">
        <v>213</v>
      </c>
      <c r="D275">
        <v>226</v>
      </c>
      <c r="E275">
        <v>49152</v>
      </c>
      <c r="F275">
        <v>1</v>
      </c>
    </row>
    <row r="276" spans="2:6" x14ac:dyDescent="0.3">
      <c r="B276" t="s">
        <v>214</v>
      </c>
      <c r="D276">
        <v>235</v>
      </c>
      <c r="E276">
        <v>21504</v>
      </c>
      <c r="F276">
        <v>1</v>
      </c>
    </row>
    <row r="277" spans="2:6" x14ac:dyDescent="0.3">
      <c r="B277" t="s">
        <v>215</v>
      </c>
      <c r="D277">
        <v>227</v>
      </c>
      <c r="E277">
        <v>24320</v>
      </c>
      <c r="F277">
        <v>1</v>
      </c>
    </row>
    <row r="278" spans="2:6" x14ac:dyDescent="0.3">
      <c r="B278" t="s">
        <v>216</v>
      </c>
      <c r="D278">
        <v>226</v>
      </c>
      <c r="E278">
        <v>51712</v>
      </c>
      <c r="F278">
        <v>1</v>
      </c>
    </row>
    <row r="279" spans="2:6" x14ac:dyDescent="0.3">
      <c r="B279" t="s">
        <v>217</v>
      </c>
      <c r="D279">
        <v>232</v>
      </c>
      <c r="E279">
        <v>25088</v>
      </c>
      <c r="F279">
        <v>1</v>
      </c>
    </row>
    <row r="280" spans="2:6" x14ac:dyDescent="0.3">
      <c r="B280" t="s">
        <v>218</v>
      </c>
      <c r="D280">
        <v>218</v>
      </c>
      <c r="E280">
        <v>52224</v>
      </c>
      <c r="F280">
        <v>1</v>
      </c>
    </row>
    <row r="281" spans="2:6" x14ac:dyDescent="0.3">
      <c r="B281" t="s">
        <v>219</v>
      </c>
      <c r="D281">
        <v>206</v>
      </c>
      <c r="E281">
        <v>6592</v>
      </c>
      <c r="F281">
        <v>1</v>
      </c>
    </row>
    <row r="282" spans="2:6" x14ac:dyDescent="0.3">
      <c r="B282" t="s">
        <v>220</v>
      </c>
      <c r="D282">
        <v>205</v>
      </c>
      <c r="E282">
        <v>1024</v>
      </c>
      <c r="F282">
        <v>1</v>
      </c>
    </row>
    <row r="283" spans="2:6" x14ac:dyDescent="0.3">
      <c r="B283" t="s">
        <v>221</v>
      </c>
      <c r="D283">
        <v>209</v>
      </c>
      <c r="E283">
        <v>44288</v>
      </c>
      <c r="F283">
        <v>1</v>
      </c>
    </row>
    <row r="284" spans="2:6" x14ac:dyDescent="0.3">
      <c r="B284" t="s">
        <v>222</v>
      </c>
      <c r="D284">
        <v>211</v>
      </c>
      <c r="E284">
        <v>2496</v>
      </c>
      <c r="F284">
        <v>1</v>
      </c>
    </row>
    <row r="285" spans="2:6" x14ac:dyDescent="0.3">
      <c r="B285" t="s">
        <v>223</v>
      </c>
      <c r="D285">
        <v>217</v>
      </c>
      <c r="E285">
        <v>3968</v>
      </c>
      <c r="F285">
        <v>1</v>
      </c>
    </row>
    <row r="286" spans="2:6" x14ac:dyDescent="0.3">
      <c r="B286" t="s">
        <v>224</v>
      </c>
      <c r="D286">
        <v>217</v>
      </c>
      <c r="E286">
        <v>8448</v>
      </c>
      <c r="F286">
        <v>1</v>
      </c>
    </row>
    <row r="287" spans="2:6" x14ac:dyDescent="0.3">
      <c r="B287" t="s">
        <v>225</v>
      </c>
      <c r="D287">
        <v>220</v>
      </c>
      <c r="E287">
        <v>61824</v>
      </c>
      <c r="F287">
        <v>1</v>
      </c>
    </row>
    <row r="288" spans="2:6" x14ac:dyDescent="0.3">
      <c r="B288" t="s">
        <v>226</v>
      </c>
      <c r="D288">
        <v>216</v>
      </c>
      <c r="E288">
        <v>41344</v>
      </c>
      <c r="F288">
        <v>1</v>
      </c>
    </row>
    <row r="289" spans="2:6" x14ac:dyDescent="0.3">
      <c r="B289" t="s">
        <v>227</v>
      </c>
      <c r="D289">
        <v>210</v>
      </c>
      <c r="E289">
        <v>42880</v>
      </c>
      <c r="F289">
        <v>1</v>
      </c>
    </row>
    <row r="290" spans="2:6" x14ac:dyDescent="0.3">
      <c r="B290" t="s">
        <v>228</v>
      </c>
      <c r="D290">
        <v>209</v>
      </c>
      <c r="E290">
        <v>24128</v>
      </c>
      <c r="F290">
        <v>1</v>
      </c>
    </row>
    <row r="291" spans="2:6" x14ac:dyDescent="0.3">
      <c r="B291" t="s">
        <v>229</v>
      </c>
      <c r="D291">
        <v>223</v>
      </c>
      <c r="E291">
        <v>19968</v>
      </c>
      <c r="F291">
        <v>1</v>
      </c>
    </row>
    <row r="292" spans="2:6" x14ac:dyDescent="0.3">
      <c r="B292" t="s">
        <v>230</v>
      </c>
      <c r="D292">
        <v>220</v>
      </c>
      <c r="E292">
        <v>33024</v>
      </c>
      <c r="F292">
        <v>1</v>
      </c>
    </row>
    <row r="293" spans="2:6" x14ac:dyDescent="0.3">
      <c r="B293" t="s">
        <v>231</v>
      </c>
      <c r="D293">
        <v>207</v>
      </c>
      <c r="E293">
        <v>28608</v>
      </c>
      <c r="F293">
        <v>1</v>
      </c>
    </row>
    <row r="294" spans="2:6" x14ac:dyDescent="0.3">
      <c r="B294" t="s">
        <v>232</v>
      </c>
      <c r="D294">
        <v>204</v>
      </c>
      <c r="E294">
        <v>57280</v>
      </c>
      <c r="F294">
        <v>1</v>
      </c>
    </row>
    <row r="295" spans="2:6" x14ac:dyDescent="0.3">
      <c r="B295" t="s">
        <v>233</v>
      </c>
      <c r="D295">
        <v>213</v>
      </c>
      <c r="E295">
        <v>26880</v>
      </c>
      <c r="F295">
        <v>1</v>
      </c>
    </row>
    <row r="296" spans="2:6" x14ac:dyDescent="0.3">
      <c r="B296" t="s">
        <v>234</v>
      </c>
      <c r="D296">
        <v>222</v>
      </c>
      <c r="E296">
        <v>17152</v>
      </c>
      <c r="F296">
        <v>1</v>
      </c>
    </row>
    <row r="297" spans="2:6" x14ac:dyDescent="0.3">
      <c r="B297" t="s">
        <v>235</v>
      </c>
      <c r="D297">
        <v>213</v>
      </c>
      <c r="E297">
        <v>45248</v>
      </c>
      <c r="F297">
        <v>1</v>
      </c>
    </row>
    <row r="298" spans="2:6" x14ac:dyDescent="0.3">
      <c r="B298" t="s">
        <v>236</v>
      </c>
      <c r="D298">
        <v>213</v>
      </c>
      <c r="E298">
        <v>39616</v>
      </c>
      <c r="F298">
        <v>1</v>
      </c>
    </row>
    <row r="299" spans="2:6" x14ac:dyDescent="0.3">
      <c r="B299" t="s">
        <v>237</v>
      </c>
      <c r="D299">
        <v>213</v>
      </c>
      <c r="E299">
        <v>57472</v>
      </c>
      <c r="F299">
        <v>1</v>
      </c>
    </row>
    <row r="300" spans="2:6" x14ac:dyDescent="0.3">
      <c r="B300" t="s">
        <v>238</v>
      </c>
      <c r="D300">
        <v>219</v>
      </c>
      <c r="E300">
        <v>58368</v>
      </c>
      <c r="F300">
        <v>1</v>
      </c>
    </row>
    <row r="301" spans="2:6" x14ac:dyDescent="0.3">
      <c r="B301" t="s">
        <v>239</v>
      </c>
      <c r="D301">
        <v>214</v>
      </c>
      <c r="E301">
        <v>52032</v>
      </c>
      <c r="F301">
        <v>1</v>
      </c>
    </row>
    <row r="302" spans="2:6" x14ac:dyDescent="0.3">
      <c r="B302" t="s">
        <v>240</v>
      </c>
      <c r="D302">
        <v>214</v>
      </c>
      <c r="E302">
        <v>5120</v>
      </c>
      <c r="F302">
        <v>1</v>
      </c>
    </row>
    <row r="303" spans="2:6" x14ac:dyDescent="0.3">
      <c r="B303" t="s">
        <v>241</v>
      </c>
      <c r="D303">
        <v>205</v>
      </c>
      <c r="E303">
        <v>4096</v>
      </c>
      <c r="F303">
        <v>1</v>
      </c>
    </row>
    <row r="304" spans="2:6" x14ac:dyDescent="0.3">
      <c r="B304" t="s">
        <v>242</v>
      </c>
      <c r="D304">
        <v>210</v>
      </c>
      <c r="E304">
        <v>10816</v>
      </c>
      <c r="F304">
        <v>1</v>
      </c>
    </row>
    <row r="305" spans="2:6" x14ac:dyDescent="0.3">
      <c r="B305" t="s">
        <v>243</v>
      </c>
      <c r="D305">
        <v>215</v>
      </c>
      <c r="E305">
        <v>34240</v>
      </c>
      <c r="F305">
        <v>1</v>
      </c>
    </row>
    <row r="306" spans="2:6" x14ac:dyDescent="0.3">
      <c r="B306" t="s">
        <v>244</v>
      </c>
      <c r="D306">
        <v>207</v>
      </c>
      <c r="E306">
        <v>41408</v>
      </c>
      <c r="F306">
        <v>1</v>
      </c>
    </row>
    <row r="307" spans="2:6" x14ac:dyDescent="0.3">
      <c r="B307" t="s">
        <v>245</v>
      </c>
      <c r="D307">
        <v>217</v>
      </c>
      <c r="E307">
        <v>39168</v>
      </c>
      <c r="F307">
        <v>1</v>
      </c>
    </row>
    <row r="308" spans="2:6" x14ac:dyDescent="0.3">
      <c r="B308" t="s">
        <v>246</v>
      </c>
      <c r="D308">
        <v>198</v>
      </c>
      <c r="E308">
        <v>7360</v>
      </c>
      <c r="F308">
        <v>1</v>
      </c>
    </row>
    <row r="309" spans="2:6" x14ac:dyDescent="0.3">
      <c r="B309" t="s">
        <v>247</v>
      </c>
      <c r="D309">
        <v>200</v>
      </c>
      <c r="E309">
        <v>43168</v>
      </c>
      <c r="F309">
        <v>1</v>
      </c>
    </row>
    <row r="310" spans="2:6" x14ac:dyDescent="0.3">
      <c r="B310" t="s">
        <v>248</v>
      </c>
      <c r="D310">
        <v>194</v>
      </c>
      <c r="E310">
        <v>6816</v>
      </c>
      <c r="F310">
        <v>1</v>
      </c>
    </row>
    <row r="311" spans="2:6" x14ac:dyDescent="0.3">
      <c r="B311" t="s">
        <v>249</v>
      </c>
      <c r="D311">
        <v>194</v>
      </c>
      <c r="E311">
        <v>6976</v>
      </c>
      <c r="F311">
        <v>1</v>
      </c>
    </row>
    <row r="312" spans="2:6" x14ac:dyDescent="0.3">
      <c r="B312" t="s">
        <v>250</v>
      </c>
      <c r="D312">
        <v>196</v>
      </c>
      <c r="E312">
        <v>5344</v>
      </c>
      <c r="F312">
        <v>1</v>
      </c>
    </row>
    <row r="313" spans="2:6" x14ac:dyDescent="0.3">
      <c r="B313" t="s">
        <v>251</v>
      </c>
      <c r="D313">
        <v>194</v>
      </c>
      <c r="E313">
        <v>64720</v>
      </c>
      <c r="F313">
        <v>1</v>
      </c>
    </row>
    <row r="314" spans="2:6" x14ac:dyDescent="0.3">
      <c r="B314" t="s">
        <v>252</v>
      </c>
      <c r="D314">
        <v>194</v>
      </c>
      <c r="E314">
        <v>65264</v>
      </c>
      <c r="F314">
        <v>1</v>
      </c>
    </row>
    <row r="315" spans="2:6" x14ac:dyDescent="0.3">
      <c r="B315" t="s">
        <v>253</v>
      </c>
      <c r="D315">
        <v>194</v>
      </c>
      <c r="E315">
        <v>2720</v>
      </c>
      <c r="F315">
        <v>1</v>
      </c>
    </row>
    <row r="316" spans="2:6" x14ac:dyDescent="0.3">
      <c r="B316" t="s">
        <v>254</v>
      </c>
      <c r="D316">
        <v>193</v>
      </c>
      <c r="E316">
        <v>61376</v>
      </c>
      <c r="F316">
        <v>1</v>
      </c>
    </row>
    <row r="317" spans="2:6" x14ac:dyDescent="0.3">
      <c r="B317" t="s">
        <v>255</v>
      </c>
      <c r="D317">
        <v>192</v>
      </c>
      <c r="E317">
        <v>59232</v>
      </c>
      <c r="F317">
        <v>1</v>
      </c>
    </row>
    <row r="318" spans="2:6" x14ac:dyDescent="0.3">
      <c r="B318" t="s">
        <v>256</v>
      </c>
      <c r="D318">
        <v>191</v>
      </c>
      <c r="E318">
        <v>57488</v>
      </c>
      <c r="F318">
        <v>1</v>
      </c>
    </row>
    <row r="319" spans="2:6" x14ac:dyDescent="0.3">
      <c r="B319" t="s">
        <v>257</v>
      </c>
      <c r="D319">
        <v>191</v>
      </c>
      <c r="E319">
        <v>55856</v>
      </c>
      <c r="F319">
        <v>1</v>
      </c>
    </row>
    <row r="320" spans="2:6" x14ac:dyDescent="0.3">
      <c r="B320" t="s">
        <v>258</v>
      </c>
      <c r="D320">
        <v>191</v>
      </c>
      <c r="E320">
        <v>55600</v>
      </c>
      <c r="F320">
        <v>1</v>
      </c>
    </row>
    <row r="321" spans="2:6" x14ac:dyDescent="0.3">
      <c r="B321" t="s">
        <v>321</v>
      </c>
      <c r="D321">
        <v>189</v>
      </c>
      <c r="E321">
        <v>47504</v>
      </c>
      <c r="F321">
        <v>1</v>
      </c>
    </row>
    <row r="322" spans="2:6" x14ac:dyDescent="0.3">
      <c r="B322" t="s">
        <v>322</v>
      </c>
      <c r="D322">
        <v>189</v>
      </c>
      <c r="E322">
        <v>50976</v>
      </c>
      <c r="F322">
        <v>1</v>
      </c>
    </row>
    <row r="323" spans="2:6" x14ac:dyDescent="0.3">
      <c r="B323" t="s">
        <v>323</v>
      </c>
      <c r="D323">
        <v>188</v>
      </c>
      <c r="E323">
        <v>48416</v>
      </c>
      <c r="F323">
        <v>1</v>
      </c>
    </row>
    <row r="324" spans="2:6" x14ac:dyDescent="0.3">
      <c r="B324" t="s">
        <v>324</v>
      </c>
      <c r="D324">
        <v>188</v>
      </c>
      <c r="E324">
        <v>47936</v>
      </c>
      <c r="F324">
        <v>1</v>
      </c>
    </row>
    <row r="325" spans="2:6" x14ac:dyDescent="0.3">
      <c r="B325" t="s">
        <v>325</v>
      </c>
      <c r="D325">
        <v>186</v>
      </c>
      <c r="E325">
        <v>44928</v>
      </c>
      <c r="F325">
        <v>1</v>
      </c>
    </row>
    <row r="326" spans="2:6" x14ac:dyDescent="0.3">
      <c r="B326" t="s">
        <v>326</v>
      </c>
      <c r="D326">
        <v>184</v>
      </c>
      <c r="E326">
        <v>39120</v>
      </c>
      <c r="F326">
        <v>1</v>
      </c>
    </row>
    <row r="327" spans="2:6" x14ac:dyDescent="0.3">
      <c r="B327" t="s">
        <v>327</v>
      </c>
      <c r="D327">
        <v>182</v>
      </c>
      <c r="E327">
        <v>34144</v>
      </c>
      <c r="F327">
        <v>1</v>
      </c>
    </row>
    <row r="328" spans="2:6" x14ac:dyDescent="0.3">
      <c r="B328" t="s">
        <v>328</v>
      </c>
      <c r="D328">
        <v>180</v>
      </c>
      <c r="E328">
        <v>31088</v>
      </c>
      <c r="F328">
        <v>1</v>
      </c>
    </row>
    <row r="329" spans="2:6" x14ac:dyDescent="0.3">
      <c r="B329" t="s">
        <v>329</v>
      </c>
      <c r="D329">
        <v>176</v>
      </c>
      <c r="E329">
        <v>26880</v>
      </c>
      <c r="F329">
        <v>1</v>
      </c>
    </row>
    <row r="330" spans="2:6" x14ac:dyDescent="0.3">
      <c r="B330" t="s">
        <v>330</v>
      </c>
      <c r="D330">
        <v>173</v>
      </c>
      <c r="E330">
        <v>23368</v>
      </c>
      <c r="F330">
        <v>1</v>
      </c>
    </row>
    <row r="331" spans="2:6" x14ac:dyDescent="0.3">
      <c r="B331" t="s">
        <v>331</v>
      </c>
      <c r="D331">
        <v>171</v>
      </c>
      <c r="E331">
        <v>19288</v>
      </c>
      <c r="F331">
        <v>1</v>
      </c>
    </row>
    <row r="332" spans="2:6" x14ac:dyDescent="0.3">
      <c r="B332" t="s">
        <v>332</v>
      </c>
      <c r="D332">
        <v>166</v>
      </c>
      <c r="E332">
        <v>15644</v>
      </c>
      <c r="F332">
        <v>1</v>
      </c>
    </row>
    <row r="333" spans="2:6" x14ac:dyDescent="0.3">
      <c r="B333" t="s">
        <v>333</v>
      </c>
      <c r="D333">
        <v>163</v>
      </c>
      <c r="E333">
        <v>13012</v>
      </c>
      <c r="F333">
        <v>1</v>
      </c>
    </row>
    <row r="334" spans="2:6" x14ac:dyDescent="0.3">
      <c r="B334" t="s">
        <v>334</v>
      </c>
      <c r="D334">
        <v>161</v>
      </c>
      <c r="E334">
        <v>11432</v>
      </c>
      <c r="F334">
        <v>1</v>
      </c>
    </row>
    <row r="335" spans="2:6" x14ac:dyDescent="0.3">
      <c r="B335" t="s">
        <v>335</v>
      </c>
      <c r="D335">
        <v>159</v>
      </c>
      <c r="E335">
        <v>10176</v>
      </c>
      <c r="F335">
        <v>1</v>
      </c>
    </row>
    <row r="336" spans="2:6" x14ac:dyDescent="0.3">
      <c r="B336" t="s">
        <v>336</v>
      </c>
      <c r="D336">
        <v>154</v>
      </c>
      <c r="E336">
        <v>8240</v>
      </c>
      <c r="F336">
        <v>1</v>
      </c>
    </row>
    <row r="337" spans="2:6" x14ac:dyDescent="0.3">
      <c r="B337" t="s">
        <v>337</v>
      </c>
      <c r="D337">
        <v>149</v>
      </c>
      <c r="E337">
        <v>6124</v>
      </c>
      <c r="F337">
        <v>1</v>
      </c>
    </row>
    <row r="338" spans="2:6" x14ac:dyDescent="0.3">
      <c r="B338" t="s">
        <v>338</v>
      </c>
      <c r="D338">
        <v>146</v>
      </c>
      <c r="E338">
        <v>4638</v>
      </c>
      <c r="F338">
        <v>1</v>
      </c>
    </row>
    <row r="339" spans="2:6" x14ac:dyDescent="0.3">
      <c r="B339" t="s">
        <v>339</v>
      </c>
      <c r="D339">
        <v>139</v>
      </c>
      <c r="E339">
        <v>3647</v>
      </c>
      <c r="F339">
        <v>1</v>
      </c>
    </row>
    <row r="340" spans="2:6" x14ac:dyDescent="0.3">
      <c r="B340" t="s">
        <v>340</v>
      </c>
      <c r="D340">
        <v>132</v>
      </c>
      <c r="E340">
        <v>2338</v>
      </c>
      <c r="F340">
        <v>1</v>
      </c>
    </row>
    <row r="341" spans="2:6" x14ac:dyDescent="0.3">
      <c r="B341" t="s">
        <v>341</v>
      </c>
      <c r="D341">
        <v>122</v>
      </c>
      <c r="E341">
        <v>1334</v>
      </c>
      <c r="F341">
        <v>1</v>
      </c>
    </row>
    <row r="342" spans="2:6" x14ac:dyDescent="0.3">
      <c r="B342" t="s">
        <v>342</v>
      </c>
      <c r="D342">
        <v>112</v>
      </c>
      <c r="E342">
        <v>849</v>
      </c>
      <c r="F342">
        <v>1</v>
      </c>
    </row>
    <row r="343" spans="2:6" x14ac:dyDescent="0.3">
      <c r="B343" t="s">
        <v>343</v>
      </c>
      <c r="D343">
        <v>100</v>
      </c>
      <c r="E343">
        <v>379</v>
      </c>
      <c r="F343">
        <v>1</v>
      </c>
    </row>
    <row r="344" spans="2:6" x14ac:dyDescent="0.3">
      <c r="B344" t="s">
        <v>344</v>
      </c>
      <c r="D344">
        <v>87</v>
      </c>
      <c r="E344">
        <v>211</v>
      </c>
      <c r="F344">
        <v>1</v>
      </c>
    </row>
    <row r="345" spans="2:6" x14ac:dyDescent="0.3">
      <c r="B345" t="s">
        <v>345</v>
      </c>
      <c r="D345">
        <v>65</v>
      </c>
      <c r="E345">
        <v>85</v>
      </c>
      <c r="F345">
        <v>1</v>
      </c>
    </row>
    <row r="346" spans="2:6" x14ac:dyDescent="0.3">
      <c r="B346" t="s">
        <v>346</v>
      </c>
      <c r="D346">
        <v>27</v>
      </c>
      <c r="E346">
        <v>31</v>
      </c>
      <c r="F346">
        <v>1</v>
      </c>
    </row>
    <row r="347" spans="2:6" x14ac:dyDescent="0.3">
      <c r="B347" t="s">
        <v>347</v>
      </c>
      <c r="D347">
        <v>13</v>
      </c>
      <c r="E347">
        <v>16</v>
      </c>
      <c r="F347">
        <v>1</v>
      </c>
    </row>
    <row r="348" spans="2:6" x14ac:dyDescent="0.3">
      <c r="B348" t="s">
        <v>348</v>
      </c>
      <c r="D348">
        <v>6</v>
      </c>
      <c r="E348">
        <v>6</v>
      </c>
      <c r="F348">
        <v>1</v>
      </c>
    </row>
    <row r="349" spans="2:6" x14ac:dyDescent="0.3">
      <c r="B349" t="s">
        <v>17</v>
      </c>
      <c r="D349">
        <v>2</v>
      </c>
      <c r="E349">
        <v>1</v>
      </c>
      <c r="F349">
        <v>1</v>
      </c>
    </row>
    <row r="350" spans="2:6" x14ac:dyDescent="0.3">
      <c r="B350" t="s">
        <v>18</v>
      </c>
      <c r="D350">
        <v>1</v>
      </c>
      <c r="E350">
        <v>0</v>
      </c>
      <c r="F350">
        <v>1</v>
      </c>
    </row>
    <row r="351" spans="2:6" x14ac:dyDescent="0.3">
      <c r="B351" t="s">
        <v>11</v>
      </c>
      <c r="D351">
        <v>0</v>
      </c>
      <c r="E351">
        <v>0</v>
      </c>
      <c r="F351">
        <v>1</v>
      </c>
    </row>
    <row r="352" spans="2:6" x14ac:dyDescent="0.3">
      <c r="B352" t="s">
        <v>11</v>
      </c>
      <c r="D352">
        <v>0</v>
      </c>
      <c r="E352">
        <v>0</v>
      </c>
      <c r="F352">
        <v>1</v>
      </c>
    </row>
    <row r="353" spans="2:6" x14ac:dyDescent="0.3">
      <c r="B353" t="s">
        <v>11</v>
      </c>
      <c r="D353">
        <v>0</v>
      </c>
      <c r="E353">
        <v>0</v>
      </c>
      <c r="F353">
        <v>1</v>
      </c>
    </row>
    <row r="354" spans="2:6" x14ac:dyDescent="0.3">
      <c r="B354" t="s">
        <v>11</v>
      </c>
      <c r="D354">
        <v>0</v>
      </c>
      <c r="E354">
        <v>0</v>
      </c>
      <c r="F354">
        <v>1</v>
      </c>
    </row>
    <row r="355" spans="2:6" x14ac:dyDescent="0.3">
      <c r="B355" t="s">
        <v>11</v>
      </c>
      <c r="D355">
        <v>0</v>
      </c>
      <c r="E355">
        <v>0</v>
      </c>
      <c r="F355">
        <v>1</v>
      </c>
    </row>
    <row r="356" spans="2:6" x14ac:dyDescent="0.3">
      <c r="B356" t="s">
        <v>11</v>
      </c>
      <c r="D356">
        <v>0</v>
      </c>
      <c r="E356">
        <v>0</v>
      </c>
      <c r="F356">
        <v>1</v>
      </c>
    </row>
    <row r="357" spans="2:6" x14ac:dyDescent="0.3">
      <c r="B357" t="s">
        <v>11</v>
      </c>
      <c r="D357">
        <v>0</v>
      </c>
      <c r="E357">
        <v>0</v>
      </c>
      <c r="F357">
        <v>1</v>
      </c>
    </row>
    <row r="358" spans="2:6" x14ac:dyDescent="0.3">
      <c r="B358" t="s">
        <v>11</v>
      </c>
      <c r="D358">
        <v>0</v>
      </c>
      <c r="E358">
        <v>0</v>
      </c>
      <c r="F358">
        <v>1</v>
      </c>
    </row>
    <row r="359" spans="2:6" x14ac:dyDescent="0.3">
      <c r="B359" t="s">
        <v>11</v>
      </c>
      <c r="D359">
        <v>0</v>
      </c>
      <c r="E359">
        <v>0</v>
      </c>
      <c r="F359">
        <v>1</v>
      </c>
    </row>
    <row r="360" spans="2:6" x14ac:dyDescent="0.3">
      <c r="B360" t="s">
        <v>11</v>
      </c>
      <c r="D360">
        <v>0</v>
      </c>
      <c r="E360">
        <v>0</v>
      </c>
      <c r="F360">
        <v>1</v>
      </c>
    </row>
    <row r="361" spans="2:6" x14ac:dyDescent="0.3">
      <c r="B361" t="s">
        <v>11</v>
      </c>
      <c r="D361">
        <v>0</v>
      </c>
      <c r="E361">
        <v>0</v>
      </c>
      <c r="F361">
        <v>1</v>
      </c>
    </row>
    <row r="362" spans="2:6" x14ac:dyDescent="0.3">
      <c r="B362" t="s">
        <v>11</v>
      </c>
      <c r="D362">
        <v>0</v>
      </c>
      <c r="E362">
        <v>0</v>
      </c>
      <c r="F362">
        <v>1</v>
      </c>
    </row>
    <row r="363" spans="2:6" x14ac:dyDescent="0.3">
      <c r="B363" t="s">
        <v>11</v>
      </c>
      <c r="D363">
        <v>0</v>
      </c>
      <c r="E363">
        <v>0</v>
      </c>
      <c r="F363">
        <v>1</v>
      </c>
    </row>
    <row r="364" spans="2:6" x14ac:dyDescent="0.3">
      <c r="B364" t="s">
        <v>11</v>
      </c>
      <c r="D364">
        <v>0</v>
      </c>
      <c r="E364">
        <v>0</v>
      </c>
      <c r="F364">
        <v>1</v>
      </c>
    </row>
    <row r="365" spans="2:6" x14ac:dyDescent="0.3">
      <c r="B365" t="s">
        <v>11</v>
      </c>
      <c r="D365">
        <v>0</v>
      </c>
      <c r="E365">
        <v>0</v>
      </c>
      <c r="F365">
        <v>1</v>
      </c>
    </row>
    <row r="366" spans="2:6" x14ac:dyDescent="0.3">
      <c r="B366" t="s">
        <v>11</v>
      </c>
      <c r="D366">
        <v>0</v>
      </c>
      <c r="E366">
        <v>0</v>
      </c>
      <c r="F366">
        <v>1</v>
      </c>
    </row>
    <row r="367" spans="2:6" x14ac:dyDescent="0.3">
      <c r="B367" t="s">
        <v>11</v>
      </c>
      <c r="D367">
        <v>0</v>
      </c>
      <c r="E367">
        <v>0</v>
      </c>
      <c r="F367">
        <v>1</v>
      </c>
    </row>
    <row r="368" spans="2:6" x14ac:dyDescent="0.3">
      <c r="B368" t="s">
        <v>11</v>
      </c>
      <c r="D368">
        <v>0</v>
      </c>
      <c r="E368">
        <v>0</v>
      </c>
      <c r="F368">
        <v>1</v>
      </c>
    </row>
    <row r="369" spans="2:6" x14ac:dyDescent="0.3">
      <c r="B369" t="s">
        <v>11</v>
      </c>
      <c r="D369">
        <v>0</v>
      </c>
      <c r="E369">
        <v>0</v>
      </c>
      <c r="F369">
        <v>1</v>
      </c>
    </row>
    <row r="370" spans="2:6" x14ac:dyDescent="0.3">
      <c r="B370" t="s">
        <v>11</v>
      </c>
      <c r="D370">
        <v>0</v>
      </c>
      <c r="E370">
        <v>0</v>
      </c>
      <c r="F370">
        <v>1</v>
      </c>
    </row>
    <row r="371" spans="2:6" x14ac:dyDescent="0.3">
      <c r="B371" t="s">
        <v>11</v>
      </c>
      <c r="D371">
        <v>0</v>
      </c>
      <c r="E371">
        <v>0</v>
      </c>
      <c r="F371">
        <v>1</v>
      </c>
    </row>
    <row r="372" spans="2:6" x14ac:dyDescent="0.3">
      <c r="B372" t="s">
        <v>11</v>
      </c>
      <c r="D372">
        <v>0</v>
      </c>
      <c r="E372">
        <v>0</v>
      </c>
      <c r="F372">
        <v>1</v>
      </c>
    </row>
    <row r="373" spans="2:6" x14ac:dyDescent="0.3">
      <c r="B373" t="s">
        <v>11</v>
      </c>
      <c r="D373">
        <v>0</v>
      </c>
      <c r="E373">
        <v>0</v>
      </c>
      <c r="F373">
        <v>1</v>
      </c>
    </row>
    <row r="374" spans="2:6" x14ac:dyDescent="0.3">
      <c r="B374" t="s">
        <v>11</v>
      </c>
      <c r="D374">
        <v>0</v>
      </c>
      <c r="E374">
        <v>0</v>
      </c>
      <c r="F374">
        <v>1</v>
      </c>
    </row>
    <row r="375" spans="2:6" x14ac:dyDescent="0.3">
      <c r="B375" t="s">
        <v>11</v>
      </c>
      <c r="D375">
        <v>0</v>
      </c>
      <c r="E375">
        <v>0</v>
      </c>
      <c r="F375">
        <v>1</v>
      </c>
    </row>
    <row r="376" spans="2:6" x14ac:dyDescent="0.3">
      <c r="B376" t="s">
        <v>11</v>
      </c>
      <c r="D376">
        <v>0</v>
      </c>
      <c r="E376">
        <v>0</v>
      </c>
      <c r="F376">
        <v>1</v>
      </c>
    </row>
    <row r="377" spans="2:6" x14ac:dyDescent="0.3">
      <c r="B377" t="s">
        <v>11</v>
      </c>
      <c r="D377">
        <v>0</v>
      </c>
      <c r="E377">
        <v>0</v>
      </c>
      <c r="F377">
        <v>1</v>
      </c>
    </row>
    <row r="378" spans="2:6" x14ac:dyDescent="0.3">
      <c r="B378" t="s">
        <v>11</v>
      </c>
      <c r="D378">
        <v>0</v>
      </c>
      <c r="E378">
        <v>0</v>
      </c>
      <c r="F378">
        <v>1</v>
      </c>
    </row>
    <row r="379" spans="2:6" x14ac:dyDescent="0.3">
      <c r="B379" t="s">
        <v>11</v>
      </c>
      <c r="D379">
        <v>0</v>
      </c>
      <c r="E379">
        <v>0</v>
      </c>
      <c r="F379">
        <v>1</v>
      </c>
    </row>
    <row r="380" spans="2:6" x14ac:dyDescent="0.3">
      <c r="B380" t="s">
        <v>11</v>
      </c>
      <c r="D380">
        <v>0</v>
      </c>
      <c r="E380">
        <v>0</v>
      </c>
      <c r="F380">
        <v>1</v>
      </c>
    </row>
    <row r="381" spans="2:6" x14ac:dyDescent="0.3">
      <c r="B381" t="s">
        <v>11</v>
      </c>
      <c r="D381">
        <v>0</v>
      </c>
      <c r="E381">
        <v>0</v>
      </c>
      <c r="F381">
        <v>1</v>
      </c>
    </row>
    <row r="382" spans="2:6" x14ac:dyDescent="0.3">
      <c r="B382" t="s">
        <v>11</v>
      </c>
      <c r="D382">
        <v>0</v>
      </c>
      <c r="E382">
        <v>0</v>
      </c>
      <c r="F382">
        <v>1</v>
      </c>
    </row>
    <row r="383" spans="2:6" x14ac:dyDescent="0.3">
      <c r="B383" t="s">
        <v>11</v>
      </c>
      <c r="D383">
        <v>0</v>
      </c>
      <c r="E383">
        <v>0</v>
      </c>
      <c r="F383">
        <v>1</v>
      </c>
    </row>
    <row r="384" spans="2:6" x14ac:dyDescent="0.3">
      <c r="B384" t="s">
        <v>11</v>
      </c>
      <c r="D384">
        <v>0</v>
      </c>
      <c r="E384">
        <v>0</v>
      </c>
      <c r="F384">
        <v>1</v>
      </c>
    </row>
    <row r="385" spans="2:6" x14ac:dyDescent="0.3">
      <c r="B385" t="s">
        <v>11</v>
      </c>
      <c r="D385">
        <v>0</v>
      </c>
      <c r="E385">
        <v>0</v>
      </c>
      <c r="F385">
        <v>1</v>
      </c>
    </row>
    <row r="386" spans="2:6" x14ac:dyDescent="0.3">
      <c r="B386" t="s">
        <v>11</v>
      </c>
      <c r="D386">
        <v>0</v>
      </c>
      <c r="E386">
        <v>0</v>
      </c>
      <c r="F386">
        <v>1</v>
      </c>
    </row>
    <row r="387" spans="2:6" x14ac:dyDescent="0.3">
      <c r="B387" t="s">
        <v>11</v>
      </c>
      <c r="D387">
        <v>0</v>
      </c>
      <c r="E387">
        <v>0</v>
      </c>
      <c r="F387">
        <v>1</v>
      </c>
    </row>
    <row r="388" spans="2:6" x14ac:dyDescent="0.3">
      <c r="B388" t="s">
        <v>11</v>
      </c>
      <c r="D388">
        <v>0</v>
      </c>
      <c r="E388">
        <v>0</v>
      </c>
      <c r="F388">
        <v>1</v>
      </c>
    </row>
    <row r="389" spans="2:6" x14ac:dyDescent="0.3">
      <c r="B389" t="s">
        <v>349</v>
      </c>
      <c r="D389">
        <v>1</v>
      </c>
      <c r="E389">
        <v>13</v>
      </c>
      <c r="F389">
        <v>1</v>
      </c>
    </row>
    <row r="390" spans="2:6" x14ac:dyDescent="0.3">
      <c r="B390" t="s">
        <v>11</v>
      </c>
      <c r="D390">
        <v>0</v>
      </c>
      <c r="E390">
        <v>0</v>
      </c>
      <c r="F390">
        <v>1</v>
      </c>
    </row>
    <row r="391" spans="2:6" x14ac:dyDescent="0.3">
      <c r="B391" t="s">
        <v>11</v>
      </c>
      <c r="D391">
        <v>0</v>
      </c>
      <c r="E391">
        <v>0</v>
      </c>
      <c r="F391">
        <v>1</v>
      </c>
    </row>
    <row r="392" spans="2:6" x14ac:dyDescent="0.3">
      <c r="B392" t="s">
        <v>11</v>
      </c>
      <c r="D392">
        <v>0</v>
      </c>
      <c r="E392">
        <v>0</v>
      </c>
      <c r="F392">
        <v>1</v>
      </c>
    </row>
    <row r="393" spans="2:6" x14ac:dyDescent="0.3">
      <c r="B393" t="s">
        <v>11</v>
      </c>
      <c r="D393">
        <v>0</v>
      </c>
      <c r="E393">
        <v>0</v>
      </c>
      <c r="F393">
        <v>1</v>
      </c>
    </row>
    <row r="394" spans="2:6" x14ac:dyDescent="0.3">
      <c r="B394" t="s">
        <v>11</v>
      </c>
      <c r="D394">
        <v>0</v>
      </c>
      <c r="E394">
        <v>0</v>
      </c>
      <c r="F394">
        <v>1</v>
      </c>
    </row>
    <row r="395" spans="2:6" x14ac:dyDescent="0.3">
      <c r="B395" t="s">
        <v>11</v>
      </c>
      <c r="D395">
        <v>0</v>
      </c>
      <c r="E395">
        <v>0</v>
      </c>
      <c r="F395">
        <v>1</v>
      </c>
    </row>
    <row r="396" spans="2:6" x14ac:dyDescent="0.3">
      <c r="B396" t="s">
        <v>11</v>
      </c>
      <c r="D396">
        <v>0</v>
      </c>
      <c r="E396">
        <v>0</v>
      </c>
      <c r="F396">
        <v>1</v>
      </c>
    </row>
    <row r="397" spans="2:6" x14ac:dyDescent="0.3">
      <c r="B397" t="s">
        <v>11</v>
      </c>
      <c r="D397">
        <v>0</v>
      </c>
      <c r="E397">
        <v>0</v>
      </c>
      <c r="F397">
        <v>1</v>
      </c>
    </row>
    <row r="398" spans="2:6" x14ac:dyDescent="0.3">
      <c r="B398" t="s">
        <v>11</v>
      </c>
      <c r="D398">
        <v>0</v>
      </c>
      <c r="E398">
        <v>0</v>
      </c>
      <c r="F398">
        <v>1</v>
      </c>
    </row>
    <row r="399" spans="2:6" x14ac:dyDescent="0.3">
      <c r="B399" t="s">
        <v>11</v>
      </c>
      <c r="D399">
        <v>0</v>
      </c>
      <c r="E399">
        <v>0</v>
      </c>
      <c r="F399">
        <v>1</v>
      </c>
    </row>
    <row r="400" spans="2:6" x14ac:dyDescent="0.3">
      <c r="B400" t="s">
        <v>11</v>
      </c>
      <c r="D400">
        <v>0</v>
      </c>
      <c r="E400">
        <v>0</v>
      </c>
      <c r="F400">
        <v>1</v>
      </c>
    </row>
    <row r="401" spans="2:6" x14ac:dyDescent="0.3">
      <c r="B401" t="s">
        <v>11</v>
      </c>
      <c r="D401">
        <v>0</v>
      </c>
      <c r="E401">
        <v>0</v>
      </c>
      <c r="F401">
        <v>1</v>
      </c>
    </row>
    <row r="402" spans="2:6" x14ac:dyDescent="0.3">
      <c r="B402" t="s">
        <v>11</v>
      </c>
      <c r="D402">
        <v>0</v>
      </c>
      <c r="E402">
        <v>0</v>
      </c>
      <c r="F402">
        <v>1</v>
      </c>
    </row>
    <row r="403" spans="2:6" x14ac:dyDescent="0.3">
      <c r="B403" t="s">
        <v>11</v>
      </c>
      <c r="D403">
        <v>0</v>
      </c>
      <c r="E403">
        <v>0</v>
      </c>
      <c r="F403">
        <v>1</v>
      </c>
    </row>
    <row r="404" spans="2:6" x14ac:dyDescent="0.3">
      <c r="B404" t="s">
        <v>11</v>
      </c>
      <c r="D404">
        <v>0</v>
      </c>
      <c r="E404">
        <v>0</v>
      </c>
      <c r="F404">
        <v>1</v>
      </c>
    </row>
    <row r="405" spans="2:6" x14ac:dyDescent="0.3">
      <c r="B405" t="s">
        <v>11</v>
      </c>
      <c r="D405">
        <v>0</v>
      </c>
      <c r="E405">
        <v>0</v>
      </c>
      <c r="F405">
        <v>1</v>
      </c>
    </row>
    <row r="406" spans="2:6" x14ac:dyDescent="0.3">
      <c r="B406" t="s">
        <v>11</v>
      </c>
      <c r="D406">
        <v>0</v>
      </c>
      <c r="E406">
        <v>0</v>
      </c>
      <c r="F406">
        <v>1</v>
      </c>
    </row>
    <row r="407" spans="2:6" x14ac:dyDescent="0.3">
      <c r="B407" t="s">
        <v>11</v>
      </c>
      <c r="D407">
        <v>0</v>
      </c>
      <c r="E407">
        <v>0</v>
      </c>
      <c r="F407">
        <v>1</v>
      </c>
    </row>
    <row r="408" spans="2:6" x14ac:dyDescent="0.3">
      <c r="B408" t="s">
        <v>11</v>
      </c>
      <c r="D408">
        <v>0</v>
      </c>
      <c r="E408">
        <v>0</v>
      </c>
      <c r="F408">
        <v>1</v>
      </c>
    </row>
    <row r="409" spans="2:6" x14ac:dyDescent="0.3">
      <c r="B409" t="s">
        <v>11</v>
      </c>
      <c r="D409">
        <v>0</v>
      </c>
      <c r="E409">
        <v>0</v>
      </c>
      <c r="F409">
        <v>1</v>
      </c>
    </row>
    <row r="410" spans="2:6" x14ac:dyDescent="0.3">
      <c r="B410" t="s">
        <v>11</v>
      </c>
      <c r="D410">
        <v>0</v>
      </c>
      <c r="E410">
        <v>0</v>
      </c>
      <c r="F410">
        <v>1</v>
      </c>
    </row>
    <row r="411" spans="2:6" x14ac:dyDescent="0.3">
      <c r="B411" t="s">
        <v>11</v>
      </c>
      <c r="D411">
        <v>0</v>
      </c>
      <c r="E411">
        <v>0</v>
      </c>
      <c r="F411">
        <v>1</v>
      </c>
    </row>
    <row r="412" spans="2:6" x14ac:dyDescent="0.3">
      <c r="B412" t="s">
        <v>11</v>
      </c>
      <c r="D412">
        <v>0</v>
      </c>
      <c r="E412">
        <v>0</v>
      </c>
      <c r="F412">
        <v>1</v>
      </c>
    </row>
    <row r="413" spans="2:6" x14ac:dyDescent="0.3">
      <c r="B413" t="s">
        <v>11</v>
      </c>
      <c r="D413">
        <v>0</v>
      </c>
      <c r="E413">
        <v>0</v>
      </c>
      <c r="F413">
        <v>1</v>
      </c>
    </row>
    <row r="414" spans="2:6" x14ac:dyDescent="0.3">
      <c r="B414" t="s">
        <v>11</v>
      </c>
      <c r="D414">
        <v>0</v>
      </c>
      <c r="E414">
        <v>0</v>
      </c>
      <c r="F414">
        <v>1</v>
      </c>
    </row>
    <row r="415" spans="2:6" x14ac:dyDescent="0.3">
      <c r="B415" t="s">
        <v>11</v>
      </c>
      <c r="D415">
        <v>0</v>
      </c>
      <c r="E415">
        <v>0</v>
      </c>
      <c r="F415">
        <v>1</v>
      </c>
    </row>
    <row r="416" spans="2:6" x14ac:dyDescent="0.3">
      <c r="B416" t="s">
        <v>11</v>
      </c>
      <c r="D416">
        <v>0</v>
      </c>
      <c r="E416">
        <v>0</v>
      </c>
      <c r="F416">
        <v>1</v>
      </c>
    </row>
    <row r="417" spans="2:6" x14ac:dyDescent="0.3">
      <c r="B417" t="s">
        <v>11</v>
      </c>
      <c r="D417">
        <v>0</v>
      </c>
      <c r="E417">
        <v>0</v>
      </c>
      <c r="F417">
        <v>1</v>
      </c>
    </row>
    <row r="418" spans="2:6" x14ac:dyDescent="0.3">
      <c r="B418" t="s">
        <v>11</v>
      </c>
      <c r="D418">
        <v>0</v>
      </c>
      <c r="E418">
        <v>0</v>
      </c>
      <c r="F418">
        <v>1</v>
      </c>
    </row>
    <row r="419" spans="2:6" x14ac:dyDescent="0.3">
      <c r="B419" t="s">
        <v>11</v>
      </c>
      <c r="D419">
        <v>0</v>
      </c>
      <c r="E419">
        <v>0</v>
      </c>
      <c r="F419">
        <v>1</v>
      </c>
    </row>
    <row r="420" spans="2:6" x14ac:dyDescent="0.3">
      <c r="B420" t="s">
        <v>11</v>
      </c>
      <c r="D420">
        <v>0</v>
      </c>
      <c r="E420">
        <v>0</v>
      </c>
      <c r="F420">
        <v>1</v>
      </c>
    </row>
    <row r="421" spans="2:6" x14ac:dyDescent="0.3">
      <c r="B421" t="s">
        <v>11</v>
      </c>
      <c r="D421">
        <v>0</v>
      </c>
      <c r="E421">
        <v>0</v>
      </c>
      <c r="F421">
        <v>1</v>
      </c>
    </row>
    <row r="422" spans="2:6" x14ac:dyDescent="0.3">
      <c r="B422" t="s">
        <v>11</v>
      </c>
      <c r="D422">
        <v>0</v>
      </c>
      <c r="E422">
        <v>0</v>
      </c>
      <c r="F422">
        <v>1</v>
      </c>
    </row>
    <row r="423" spans="2:6" x14ac:dyDescent="0.3">
      <c r="B423" t="s">
        <v>11</v>
      </c>
      <c r="D423">
        <v>0</v>
      </c>
      <c r="E423">
        <v>0</v>
      </c>
      <c r="F423">
        <v>1</v>
      </c>
    </row>
    <row r="424" spans="2:6" x14ac:dyDescent="0.3">
      <c r="B424" t="s">
        <v>18</v>
      </c>
      <c r="D424">
        <v>1</v>
      </c>
      <c r="E424">
        <v>0</v>
      </c>
      <c r="F424">
        <v>1</v>
      </c>
    </row>
    <row r="425" spans="2:6" x14ac:dyDescent="0.3">
      <c r="B425" t="s">
        <v>17</v>
      </c>
      <c r="D425">
        <v>2</v>
      </c>
      <c r="E425">
        <v>1</v>
      </c>
      <c r="F425">
        <v>1</v>
      </c>
    </row>
    <row r="426" spans="2:6" x14ac:dyDescent="0.3">
      <c r="B426" t="s">
        <v>93</v>
      </c>
      <c r="D426">
        <v>5</v>
      </c>
      <c r="E426">
        <v>6</v>
      </c>
      <c r="F426">
        <v>1</v>
      </c>
    </row>
    <row r="427" spans="2:6" x14ac:dyDescent="0.3">
      <c r="B427" t="s">
        <v>350</v>
      </c>
      <c r="D427">
        <v>11</v>
      </c>
      <c r="E427">
        <v>11</v>
      </c>
      <c r="F427">
        <v>1</v>
      </c>
    </row>
    <row r="428" spans="2:6" x14ac:dyDescent="0.3">
      <c r="B428" t="s">
        <v>351</v>
      </c>
      <c r="D428">
        <v>11</v>
      </c>
      <c r="E428">
        <v>21</v>
      </c>
      <c r="F428">
        <v>1</v>
      </c>
    </row>
    <row r="429" spans="2:6" x14ac:dyDescent="0.3">
      <c r="B429" t="s">
        <v>352</v>
      </c>
      <c r="D429">
        <v>31</v>
      </c>
      <c r="E429">
        <v>66</v>
      </c>
      <c r="F429">
        <v>1</v>
      </c>
    </row>
    <row r="430" spans="2:6" x14ac:dyDescent="0.3">
      <c r="B430" t="s">
        <v>353</v>
      </c>
      <c r="D430">
        <v>76</v>
      </c>
      <c r="E430">
        <v>177</v>
      </c>
      <c r="F430">
        <v>1</v>
      </c>
    </row>
    <row r="431" spans="2:6" x14ac:dyDescent="0.3">
      <c r="B431" t="s">
        <v>354</v>
      </c>
      <c r="D431">
        <v>92</v>
      </c>
      <c r="E431">
        <v>394</v>
      </c>
      <c r="F431">
        <v>1</v>
      </c>
    </row>
    <row r="432" spans="2:6" x14ac:dyDescent="0.3">
      <c r="B432" t="s">
        <v>355</v>
      </c>
      <c r="D432">
        <v>103</v>
      </c>
      <c r="E432">
        <v>712</v>
      </c>
      <c r="F432">
        <v>1</v>
      </c>
    </row>
    <row r="433" spans="2:6" x14ac:dyDescent="0.3">
      <c r="B433" t="s">
        <v>356</v>
      </c>
      <c r="D433">
        <v>120</v>
      </c>
      <c r="E433">
        <v>1377</v>
      </c>
      <c r="F433">
        <v>1</v>
      </c>
    </row>
    <row r="434" spans="2:6" x14ac:dyDescent="0.3">
      <c r="B434" t="s">
        <v>357</v>
      </c>
      <c r="D434">
        <v>131</v>
      </c>
      <c r="E434">
        <v>2838</v>
      </c>
      <c r="F434">
        <v>1</v>
      </c>
    </row>
    <row r="435" spans="2:6" x14ac:dyDescent="0.3">
      <c r="B435" t="s">
        <v>358</v>
      </c>
      <c r="D435">
        <v>140</v>
      </c>
      <c r="E435">
        <v>4662</v>
      </c>
      <c r="F435">
        <v>1</v>
      </c>
    </row>
    <row r="436" spans="2:6" x14ac:dyDescent="0.3">
      <c r="B436" t="s">
        <v>359</v>
      </c>
      <c r="D436">
        <v>148</v>
      </c>
      <c r="E436">
        <v>5724</v>
      </c>
      <c r="F436">
        <v>1</v>
      </c>
    </row>
    <row r="437" spans="2:6" x14ac:dyDescent="0.3">
      <c r="B437" t="s">
        <v>360</v>
      </c>
      <c r="D437">
        <v>154</v>
      </c>
      <c r="E437">
        <v>9216</v>
      </c>
      <c r="F437">
        <v>1</v>
      </c>
    </row>
    <row r="438" spans="2:6" x14ac:dyDescent="0.3">
      <c r="B438" t="s">
        <v>361</v>
      </c>
      <c r="D438">
        <v>163</v>
      </c>
      <c r="E438">
        <v>14644</v>
      </c>
      <c r="F438">
        <v>1</v>
      </c>
    </row>
    <row r="439" spans="2:6" x14ac:dyDescent="0.3">
      <c r="B439" t="s">
        <v>362</v>
      </c>
      <c r="D439">
        <v>166</v>
      </c>
      <c r="E439">
        <v>18232</v>
      </c>
      <c r="F439">
        <v>1</v>
      </c>
    </row>
    <row r="440" spans="2:6" x14ac:dyDescent="0.3">
      <c r="B440" t="s">
        <v>363</v>
      </c>
      <c r="D440">
        <v>173</v>
      </c>
      <c r="E440">
        <v>24520</v>
      </c>
      <c r="F440">
        <v>1</v>
      </c>
    </row>
    <row r="441" spans="2:6" x14ac:dyDescent="0.3">
      <c r="B441" t="s">
        <v>364</v>
      </c>
      <c r="D441">
        <v>173</v>
      </c>
      <c r="E441">
        <v>24728</v>
      </c>
      <c r="F441">
        <v>1</v>
      </c>
    </row>
    <row r="442" spans="2:6" x14ac:dyDescent="0.3">
      <c r="B442" t="s">
        <v>365</v>
      </c>
      <c r="D442">
        <v>181</v>
      </c>
      <c r="E442">
        <v>40496</v>
      </c>
      <c r="F442">
        <v>1</v>
      </c>
    </row>
    <row r="443" spans="2:6" x14ac:dyDescent="0.3">
      <c r="B443" t="s">
        <v>366</v>
      </c>
      <c r="D443">
        <v>183</v>
      </c>
      <c r="E443">
        <v>59984</v>
      </c>
      <c r="F443">
        <v>1</v>
      </c>
    </row>
    <row r="444" spans="2:6" x14ac:dyDescent="0.3">
      <c r="B444" t="s">
        <v>367</v>
      </c>
      <c r="D444">
        <v>189</v>
      </c>
      <c r="E444">
        <v>52480</v>
      </c>
      <c r="F444">
        <v>1</v>
      </c>
    </row>
    <row r="445" spans="2:6" x14ac:dyDescent="0.3">
      <c r="B445" t="s">
        <v>368</v>
      </c>
      <c r="D445">
        <v>185</v>
      </c>
      <c r="E445">
        <v>44864</v>
      </c>
      <c r="F445">
        <v>1</v>
      </c>
    </row>
    <row r="446" spans="2:6" x14ac:dyDescent="0.3">
      <c r="B446" t="s">
        <v>369</v>
      </c>
      <c r="D446">
        <v>183</v>
      </c>
      <c r="E446">
        <v>41504</v>
      </c>
      <c r="F446">
        <v>1</v>
      </c>
    </row>
    <row r="447" spans="2:6" x14ac:dyDescent="0.3">
      <c r="B447" t="s">
        <v>370</v>
      </c>
      <c r="D447">
        <v>186</v>
      </c>
      <c r="E447">
        <v>61008</v>
      </c>
      <c r="F447">
        <v>1</v>
      </c>
    </row>
    <row r="448" spans="2:6" x14ac:dyDescent="0.3">
      <c r="B448" t="s">
        <v>371</v>
      </c>
      <c r="D448">
        <v>188</v>
      </c>
      <c r="E448">
        <v>61328</v>
      </c>
      <c r="F448">
        <v>1</v>
      </c>
    </row>
    <row r="449" spans="2:6" x14ac:dyDescent="0.3">
      <c r="B449" t="s">
        <v>372</v>
      </c>
      <c r="D449">
        <v>194</v>
      </c>
      <c r="E449">
        <v>23008</v>
      </c>
      <c r="F449">
        <v>1</v>
      </c>
    </row>
    <row r="450" spans="2:6" x14ac:dyDescent="0.3">
      <c r="B450" t="s">
        <v>373</v>
      </c>
      <c r="D450">
        <v>197</v>
      </c>
      <c r="E450">
        <v>20608</v>
      </c>
      <c r="F450">
        <v>1</v>
      </c>
    </row>
    <row r="451" spans="2:6" x14ac:dyDescent="0.3">
      <c r="B451" t="s">
        <v>374</v>
      </c>
      <c r="D451">
        <v>197</v>
      </c>
      <c r="E451">
        <v>34112</v>
      </c>
      <c r="F451">
        <v>1</v>
      </c>
    </row>
    <row r="452" spans="2:6" x14ac:dyDescent="0.3">
      <c r="B452" t="s">
        <v>259</v>
      </c>
      <c r="D452">
        <v>200</v>
      </c>
      <c r="E452">
        <v>45312</v>
      </c>
      <c r="F452">
        <v>1</v>
      </c>
    </row>
    <row r="453" spans="2:6" x14ac:dyDescent="0.3">
      <c r="B453" t="s">
        <v>260</v>
      </c>
      <c r="D453">
        <v>205</v>
      </c>
      <c r="E453">
        <v>21120</v>
      </c>
      <c r="F453">
        <v>1</v>
      </c>
    </row>
    <row r="454" spans="2:6" x14ac:dyDescent="0.3">
      <c r="B454" t="s">
        <v>261</v>
      </c>
      <c r="D454">
        <v>205</v>
      </c>
      <c r="E454">
        <v>10112</v>
      </c>
      <c r="F454">
        <v>1</v>
      </c>
    </row>
    <row r="455" spans="2:6" x14ac:dyDescent="0.3">
      <c r="B455" t="s">
        <v>262</v>
      </c>
      <c r="D455">
        <v>205</v>
      </c>
      <c r="E455">
        <v>13888</v>
      </c>
      <c r="F455">
        <v>1</v>
      </c>
    </row>
    <row r="456" spans="2:6" x14ac:dyDescent="0.3">
      <c r="B456" t="s">
        <v>263</v>
      </c>
      <c r="D456">
        <v>205</v>
      </c>
      <c r="E456">
        <v>48000</v>
      </c>
      <c r="F456">
        <v>1</v>
      </c>
    </row>
    <row r="457" spans="2:6" x14ac:dyDescent="0.3">
      <c r="B457" t="s">
        <v>264</v>
      </c>
      <c r="D457">
        <v>210</v>
      </c>
      <c r="E457">
        <v>3648</v>
      </c>
      <c r="F457">
        <v>1</v>
      </c>
    </row>
    <row r="458" spans="2:6" x14ac:dyDescent="0.3">
      <c r="B458" t="s">
        <v>265</v>
      </c>
      <c r="D458">
        <v>210</v>
      </c>
      <c r="E458">
        <v>18496</v>
      </c>
      <c r="F458">
        <v>1</v>
      </c>
    </row>
    <row r="459" spans="2:6" x14ac:dyDescent="0.3">
      <c r="B459" t="s">
        <v>266</v>
      </c>
      <c r="D459">
        <v>208</v>
      </c>
      <c r="E459">
        <v>52928</v>
      </c>
      <c r="F459">
        <v>1</v>
      </c>
    </row>
    <row r="460" spans="2:6" x14ac:dyDescent="0.3">
      <c r="B460" t="s">
        <v>267</v>
      </c>
      <c r="D460">
        <v>150</v>
      </c>
      <c r="E460">
        <v>384</v>
      </c>
      <c r="F460">
        <v>1</v>
      </c>
    </row>
    <row r="461" spans="2:6" x14ac:dyDescent="0.3">
      <c r="B461" t="s">
        <v>268</v>
      </c>
      <c r="D461">
        <v>180</v>
      </c>
      <c r="E461">
        <v>29088</v>
      </c>
      <c r="F461">
        <v>1</v>
      </c>
    </row>
    <row r="462" spans="2:6" x14ac:dyDescent="0.3">
      <c r="B462" t="s">
        <v>269</v>
      </c>
      <c r="D462">
        <v>226</v>
      </c>
      <c r="E462">
        <v>42496</v>
      </c>
      <c r="F462">
        <v>1</v>
      </c>
    </row>
    <row r="463" spans="2:6" x14ac:dyDescent="0.3">
      <c r="B463" t="s">
        <v>270</v>
      </c>
      <c r="D463">
        <v>226</v>
      </c>
      <c r="E463">
        <v>21120</v>
      </c>
      <c r="F463">
        <v>1</v>
      </c>
    </row>
    <row r="464" spans="2:6" x14ac:dyDescent="0.3">
      <c r="B464" t="s">
        <v>271</v>
      </c>
      <c r="D464">
        <v>225</v>
      </c>
      <c r="E464">
        <v>256</v>
      </c>
      <c r="F464">
        <v>1</v>
      </c>
    </row>
    <row r="465" spans="2:6" x14ac:dyDescent="0.3">
      <c r="B465" t="s">
        <v>272</v>
      </c>
      <c r="D465">
        <v>224</v>
      </c>
      <c r="E465">
        <v>48128</v>
      </c>
      <c r="F465">
        <v>1</v>
      </c>
    </row>
    <row r="466" spans="2:6" x14ac:dyDescent="0.3">
      <c r="B466" t="s">
        <v>273</v>
      </c>
      <c r="D466">
        <v>223</v>
      </c>
      <c r="E466">
        <v>32000</v>
      </c>
      <c r="F466">
        <v>1</v>
      </c>
    </row>
    <row r="467" spans="2:6" x14ac:dyDescent="0.3">
      <c r="B467" t="s">
        <v>274</v>
      </c>
      <c r="D467">
        <v>223</v>
      </c>
      <c r="E467">
        <v>19712</v>
      </c>
      <c r="F467">
        <v>1</v>
      </c>
    </row>
    <row r="468" spans="2:6" x14ac:dyDescent="0.3">
      <c r="B468" t="s">
        <v>275</v>
      </c>
      <c r="D468">
        <v>223</v>
      </c>
      <c r="E468">
        <v>17152</v>
      </c>
      <c r="F468">
        <v>1</v>
      </c>
    </row>
    <row r="469" spans="2:6" x14ac:dyDescent="0.3">
      <c r="B469" t="s">
        <v>276</v>
      </c>
      <c r="D469">
        <v>222</v>
      </c>
      <c r="E469">
        <v>12160</v>
      </c>
      <c r="F469">
        <v>1</v>
      </c>
    </row>
    <row r="470" spans="2:6" x14ac:dyDescent="0.3">
      <c r="B470" t="s">
        <v>277</v>
      </c>
      <c r="D470">
        <v>222</v>
      </c>
      <c r="E470">
        <v>9088</v>
      </c>
      <c r="F470">
        <v>1</v>
      </c>
    </row>
    <row r="471" spans="2:6" x14ac:dyDescent="0.3">
      <c r="B471" t="s">
        <v>278</v>
      </c>
      <c r="D471">
        <v>222</v>
      </c>
      <c r="E471">
        <v>4224</v>
      </c>
      <c r="F471">
        <v>1</v>
      </c>
    </row>
    <row r="472" spans="2:6" x14ac:dyDescent="0.3">
      <c r="B472" t="s">
        <v>279</v>
      </c>
      <c r="D472">
        <v>222</v>
      </c>
      <c r="E472">
        <v>63744</v>
      </c>
      <c r="F472">
        <v>1</v>
      </c>
    </row>
    <row r="473" spans="2:6" x14ac:dyDescent="0.3">
      <c r="B473" t="s">
        <v>280</v>
      </c>
      <c r="D473">
        <v>221</v>
      </c>
      <c r="E473">
        <v>54528</v>
      </c>
      <c r="F473">
        <v>1</v>
      </c>
    </row>
    <row r="474" spans="2:6" x14ac:dyDescent="0.3">
      <c r="B474" t="s">
        <v>281</v>
      </c>
      <c r="D474">
        <v>220</v>
      </c>
      <c r="E474">
        <v>35328</v>
      </c>
      <c r="F474">
        <v>1</v>
      </c>
    </row>
    <row r="475" spans="2:6" x14ac:dyDescent="0.3">
      <c r="B475" t="s">
        <v>282</v>
      </c>
      <c r="D475">
        <v>220</v>
      </c>
      <c r="E475">
        <v>22912</v>
      </c>
      <c r="F475">
        <v>1</v>
      </c>
    </row>
    <row r="476" spans="2:6" x14ac:dyDescent="0.3">
      <c r="B476" t="s">
        <v>283</v>
      </c>
      <c r="D476">
        <v>218</v>
      </c>
      <c r="E476">
        <v>56768</v>
      </c>
      <c r="F476">
        <v>1</v>
      </c>
    </row>
    <row r="477" spans="2:6" x14ac:dyDescent="0.3">
      <c r="B477" t="s">
        <v>284</v>
      </c>
      <c r="D477">
        <v>215</v>
      </c>
      <c r="E477">
        <v>29888</v>
      </c>
      <c r="F477">
        <v>1</v>
      </c>
    </row>
    <row r="478" spans="2:6" x14ac:dyDescent="0.3">
      <c r="B478" t="s">
        <v>285</v>
      </c>
      <c r="D478">
        <v>216</v>
      </c>
      <c r="E478">
        <v>31232</v>
      </c>
      <c r="F478">
        <v>1</v>
      </c>
    </row>
    <row r="479" spans="2:6" x14ac:dyDescent="0.3">
      <c r="B479" t="s">
        <v>286</v>
      </c>
      <c r="D479">
        <v>216</v>
      </c>
      <c r="E479">
        <v>35200</v>
      </c>
      <c r="F479">
        <v>1</v>
      </c>
    </row>
    <row r="480" spans="2:6" x14ac:dyDescent="0.3">
      <c r="B480" t="s">
        <v>286</v>
      </c>
      <c r="D480">
        <v>216</v>
      </c>
      <c r="E480">
        <v>35200</v>
      </c>
      <c r="F480">
        <v>1</v>
      </c>
    </row>
    <row r="481" spans="2:6" x14ac:dyDescent="0.3">
      <c r="B481" t="s">
        <v>287</v>
      </c>
      <c r="D481">
        <v>216</v>
      </c>
      <c r="E481">
        <v>32576</v>
      </c>
      <c r="F481">
        <v>1</v>
      </c>
    </row>
    <row r="482" spans="2:6" x14ac:dyDescent="0.3">
      <c r="B482" t="s">
        <v>288</v>
      </c>
      <c r="D482">
        <v>213</v>
      </c>
      <c r="E482">
        <v>6400</v>
      </c>
      <c r="F482">
        <v>1</v>
      </c>
    </row>
    <row r="483" spans="2:6" x14ac:dyDescent="0.3">
      <c r="B483" t="s">
        <v>289</v>
      </c>
      <c r="D483">
        <v>211</v>
      </c>
      <c r="E483">
        <v>40896</v>
      </c>
      <c r="F483">
        <v>1</v>
      </c>
    </row>
    <row r="484" spans="2:6" x14ac:dyDescent="0.3">
      <c r="B484" t="s">
        <v>290</v>
      </c>
      <c r="D484">
        <v>208</v>
      </c>
      <c r="E484">
        <v>20800</v>
      </c>
      <c r="F484">
        <v>1</v>
      </c>
    </row>
    <row r="485" spans="2:6" x14ac:dyDescent="0.3">
      <c r="B485" t="s">
        <v>291</v>
      </c>
      <c r="D485">
        <v>219</v>
      </c>
      <c r="E485">
        <v>39040</v>
      </c>
      <c r="F485">
        <v>1</v>
      </c>
    </row>
    <row r="486" spans="2:6" x14ac:dyDescent="0.3">
      <c r="B486" t="s">
        <v>292</v>
      </c>
      <c r="D486">
        <v>225</v>
      </c>
      <c r="E486">
        <v>21504</v>
      </c>
      <c r="F486">
        <v>1</v>
      </c>
    </row>
    <row r="487" spans="2:6" x14ac:dyDescent="0.3">
      <c r="B487" t="s">
        <v>293</v>
      </c>
      <c r="D487">
        <v>223</v>
      </c>
      <c r="E487">
        <v>43648</v>
      </c>
      <c r="F487">
        <v>1</v>
      </c>
    </row>
    <row r="488" spans="2:6" x14ac:dyDescent="0.3">
      <c r="B488" t="s">
        <v>294</v>
      </c>
      <c r="D488">
        <v>226</v>
      </c>
      <c r="E488">
        <v>60032</v>
      </c>
      <c r="F488">
        <v>1</v>
      </c>
    </row>
    <row r="489" spans="2:6" x14ac:dyDescent="0.3">
      <c r="B489" t="s">
        <v>295</v>
      </c>
      <c r="D489">
        <v>226</v>
      </c>
      <c r="E489">
        <v>44672</v>
      </c>
      <c r="F489">
        <v>1</v>
      </c>
    </row>
    <row r="490" spans="2:6" x14ac:dyDescent="0.3">
      <c r="B490" t="s">
        <v>296</v>
      </c>
      <c r="D490">
        <v>238</v>
      </c>
      <c r="E490">
        <v>35072</v>
      </c>
      <c r="F490">
        <v>1</v>
      </c>
    </row>
    <row r="491" spans="2:6" x14ac:dyDescent="0.3">
      <c r="B491" t="s">
        <v>297</v>
      </c>
      <c r="D491">
        <v>232</v>
      </c>
      <c r="E491">
        <v>35328</v>
      </c>
      <c r="F491">
        <v>1</v>
      </c>
    </row>
    <row r="492" spans="2:6" x14ac:dyDescent="0.3">
      <c r="B492" t="s">
        <v>298</v>
      </c>
      <c r="D492">
        <v>230</v>
      </c>
      <c r="E492">
        <v>24192</v>
      </c>
      <c r="F492">
        <v>1</v>
      </c>
    </row>
    <row r="493" spans="2:6" x14ac:dyDescent="0.3">
      <c r="B493" t="s">
        <v>299</v>
      </c>
      <c r="D493">
        <v>212</v>
      </c>
      <c r="E493">
        <v>24192</v>
      </c>
      <c r="F493">
        <v>1</v>
      </c>
    </row>
    <row r="494" spans="2:6" x14ac:dyDescent="0.3">
      <c r="B494" t="s">
        <v>300</v>
      </c>
      <c r="D494">
        <v>212</v>
      </c>
      <c r="E494">
        <v>50176</v>
      </c>
      <c r="F494">
        <v>1</v>
      </c>
    </row>
    <row r="495" spans="2:6" x14ac:dyDescent="0.3">
      <c r="B495" t="s">
        <v>301</v>
      </c>
      <c r="D495">
        <v>245</v>
      </c>
      <c r="E495">
        <v>46080</v>
      </c>
      <c r="F495">
        <v>1</v>
      </c>
    </row>
    <row r="496" spans="2:6" x14ac:dyDescent="0.3">
      <c r="B496" t="s">
        <v>302</v>
      </c>
      <c r="D496">
        <v>243</v>
      </c>
      <c r="E496">
        <v>41984</v>
      </c>
      <c r="F496">
        <v>1</v>
      </c>
    </row>
    <row r="497" spans="2:6" x14ac:dyDescent="0.3">
      <c r="B497" t="s">
        <v>303</v>
      </c>
      <c r="D497">
        <v>243</v>
      </c>
      <c r="E497">
        <v>16896</v>
      </c>
      <c r="F497">
        <v>1</v>
      </c>
    </row>
    <row r="498" spans="2:6" x14ac:dyDescent="0.3">
      <c r="B498" t="s">
        <v>303</v>
      </c>
      <c r="D498">
        <v>243</v>
      </c>
      <c r="E498">
        <v>16896</v>
      </c>
      <c r="F498">
        <v>1</v>
      </c>
    </row>
    <row r="499" spans="2:6" x14ac:dyDescent="0.3">
      <c r="B499" t="s">
        <v>304</v>
      </c>
      <c r="D499">
        <v>243</v>
      </c>
      <c r="E499">
        <v>58368</v>
      </c>
      <c r="F499">
        <v>1</v>
      </c>
    </row>
    <row r="500" spans="2:6" x14ac:dyDescent="0.3">
      <c r="B500" t="s">
        <v>375</v>
      </c>
      <c r="D500">
        <v>243</v>
      </c>
      <c r="E500">
        <v>56064</v>
      </c>
      <c r="F500">
        <v>1</v>
      </c>
    </row>
    <row r="501" spans="2:6" x14ac:dyDescent="0.3">
      <c r="B501" t="s">
        <v>376</v>
      </c>
      <c r="D501">
        <v>244</v>
      </c>
      <c r="E501">
        <v>20736</v>
      </c>
      <c r="F501">
        <v>1</v>
      </c>
    </row>
    <row r="502" spans="2:6" x14ac:dyDescent="0.3">
      <c r="B502" t="s">
        <v>377</v>
      </c>
      <c r="D502">
        <v>243</v>
      </c>
      <c r="E502">
        <v>58880</v>
      </c>
      <c r="F502">
        <v>1</v>
      </c>
    </row>
    <row r="503" spans="2:6" x14ac:dyDescent="0.3">
      <c r="B503" t="s">
        <v>378</v>
      </c>
      <c r="D503">
        <v>243</v>
      </c>
      <c r="E503">
        <v>36096</v>
      </c>
      <c r="F503">
        <v>1</v>
      </c>
    </row>
    <row r="504" spans="2:6" x14ac:dyDescent="0.3">
      <c r="B504" t="s">
        <v>379</v>
      </c>
      <c r="D504">
        <v>243</v>
      </c>
      <c r="E504">
        <v>13824</v>
      </c>
      <c r="F504">
        <v>1</v>
      </c>
    </row>
    <row r="505" spans="2:6" x14ac:dyDescent="0.3">
      <c r="B505" t="s">
        <v>380</v>
      </c>
      <c r="D505">
        <v>243</v>
      </c>
      <c r="E505">
        <v>52992</v>
      </c>
      <c r="F505">
        <v>1</v>
      </c>
    </row>
    <row r="506" spans="2:6" x14ac:dyDescent="0.3">
      <c r="B506" t="s">
        <v>381</v>
      </c>
      <c r="D506">
        <v>221</v>
      </c>
      <c r="E506">
        <v>31488</v>
      </c>
      <c r="F506">
        <v>1</v>
      </c>
    </row>
    <row r="507" spans="2:6" x14ac:dyDescent="0.3">
      <c r="B507" t="s">
        <v>382</v>
      </c>
      <c r="D507">
        <v>232</v>
      </c>
      <c r="E507">
        <v>48512</v>
      </c>
      <c r="F507">
        <v>1</v>
      </c>
    </row>
    <row r="508" spans="2:6" x14ac:dyDescent="0.3">
      <c r="B508" t="s">
        <v>383</v>
      </c>
      <c r="D508">
        <v>234</v>
      </c>
      <c r="E508">
        <v>59392</v>
      </c>
      <c r="F508">
        <v>1</v>
      </c>
    </row>
    <row r="509" spans="2:6" x14ac:dyDescent="0.3">
      <c r="B509" t="s">
        <v>384</v>
      </c>
      <c r="D509">
        <v>227</v>
      </c>
      <c r="E509">
        <v>38016</v>
      </c>
      <c r="F509">
        <v>1</v>
      </c>
    </row>
    <row r="510" spans="2:6" x14ac:dyDescent="0.3">
      <c r="B510" t="s">
        <v>385</v>
      </c>
      <c r="D510">
        <v>230</v>
      </c>
      <c r="E510">
        <v>50304</v>
      </c>
      <c r="F510">
        <v>1</v>
      </c>
    </row>
    <row r="511" spans="2:6" x14ac:dyDescent="0.3">
      <c r="B511" t="s">
        <v>386</v>
      </c>
      <c r="D511">
        <v>232</v>
      </c>
      <c r="E511">
        <v>36352</v>
      </c>
      <c r="F511">
        <v>1</v>
      </c>
    </row>
    <row r="512" spans="2:6" x14ac:dyDescent="0.3">
      <c r="B512" t="s">
        <v>387</v>
      </c>
      <c r="D512">
        <v>227</v>
      </c>
      <c r="E512">
        <v>59648</v>
      </c>
      <c r="F512">
        <v>1</v>
      </c>
    </row>
    <row r="513" spans="2:6" x14ac:dyDescent="0.3">
      <c r="B513" t="s">
        <v>388</v>
      </c>
      <c r="D513">
        <v>224</v>
      </c>
      <c r="E513">
        <v>16384</v>
      </c>
      <c r="F513">
        <v>1</v>
      </c>
    </row>
    <row r="514" spans="2:6" x14ac:dyDescent="0.3">
      <c r="B514" t="s">
        <v>389</v>
      </c>
      <c r="D514">
        <v>224</v>
      </c>
      <c r="E514">
        <v>48640</v>
      </c>
      <c r="F514">
        <v>1</v>
      </c>
    </row>
    <row r="515" spans="2:6" x14ac:dyDescent="0.3">
      <c r="B515" t="s">
        <v>390</v>
      </c>
      <c r="D515">
        <v>223</v>
      </c>
      <c r="E515">
        <v>12800</v>
      </c>
      <c r="F515">
        <v>1</v>
      </c>
    </row>
    <row r="516" spans="2:6" x14ac:dyDescent="0.3">
      <c r="B516" t="s">
        <v>391</v>
      </c>
      <c r="D516">
        <v>219</v>
      </c>
      <c r="E516">
        <v>41216</v>
      </c>
      <c r="F516">
        <v>1</v>
      </c>
    </row>
    <row r="517" spans="2:6" x14ac:dyDescent="0.3">
      <c r="B517" t="s">
        <v>392</v>
      </c>
      <c r="D517">
        <v>228</v>
      </c>
      <c r="E517">
        <v>30720</v>
      </c>
      <c r="F517">
        <v>1</v>
      </c>
    </row>
    <row r="518" spans="2:6" x14ac:dyDescent="0.3">
      <c r="B518" t="s">
        <v>393</v>
      </c>
      <c r="D518">
        <v>220</v>
      </c>
      <c r="E518">
        <v>16256</v>
      </c>
      <c r="F518">
        <v>1</v>
      </c>
    </row>
    <row r="519" spans="2:6" x14ac:dyDescent="0.3">
      <c r="B519" t="s">
        <v>36</v>
      </c>
      <c r="D519">
        <v>226</v>
      </c>
      <c r="E519">
        <v>21632</v>
      </c>
      <c r="F519">
        <v>1</v>
      </c>
    </row>
    <row r="520" spans="2:6" x14ac:dyDescent="0.3">
      <c r="B520" t="s">
        <v>394</v>
      </c>
      <c r="D520">
        <v>225</v>
      </c>
      <c r="E520">
        <v>40832</v>
      </c>
      <c r="F520">
        <v>1</v>
      </c>
    </row>
    <row r="521" spans="2:6" x14ac:dyDescent="0.3">
      <c r="B521" t="s">
        <v>395</v>
      </c>
      <c r="D521">
        <v>227</v>
      </c>
      <c r="E521">
        <v>43264</v>
      </c>
      <c r="F521">
        <v>1</v>
      </c>
    </row>
    <row r="522" spans="2:6" x14ac:dyDescent="0.3">
      <c r="B522" t="s">
        <v>396</v>
      </c>
      <c r="D522">
        <v>214</v>
      </c>
      <c r="E522">
        <v>22976</v>
      </c>
      <c r="F522">
        <v>1</v>
      </c>
    </row>
    <row r="523" spans="2:6" x14ac:dyDescent="0.3">
      <c r="B523" t="s">
        <v>397</v>
      </c>
      <c r="D523">
        <v>218</v>
      </c>
      <c r="E523">
        <v>14208</v>
      </c>
      <c r="F523">
        <v>1</v>
      </c>
    </row>
    <row r="524" spans="2:6" x14ac:dyDescent="0.3">
      <c r="B524" t="s">
        <v>398</v>
      </c>
      <c r="D524">
        <v>216</v>
      </c>
      <c r="E524">
        <v>2432</v>
      </c>
      <c r="F524">
        <v>1</v>
      </c>
    </row>
    <row r="525" spans="2:6" x14ac:dyDescent="0.3">
      <c r="B525" t="s">
        <v>399</v>
      </c>
      <c r="D525">
        <v>216</v>
      </c>
      <c r="E525">
        <v>55616</v>
      </c>
      <c r="F525">
        <v>1</v>
      </c>
    </row>
    <row r="526" spans="2:6" x14ac:dyDescent="0.3">
      <c r="B526" t="s">
        <v>400</v>
      </c>
      <c r="D526">
        <v>217</v>
      </c>
      <c r="E526">
        <v>4608</v>
      </c>
      <c r="F526">
        <v>1</v>
      </c>
    </row>
    <row r="527" spans="2:6" x14ac:dyDescent="0.3">
      <c r="B527" t="s">
        <v>401</v>
      </c>
      <c r="D527">
        <v>215</v>
      </c>
      <c r="E527">
        <v>39744</v>
      </c>
      <c r="F527">
        <v>1</v>
      </c>
    </row>
    <row r="528" spans="2:6" x14ac:dyDescent="0.3">
      <c r="B528" t="s">
        <v>402</v>
      </c>
      <c r="D528">
        <v>215</v>
      </c>
      <c r="E528">
        <v>61184</v>
      </c>
      <c r="F528">
        <v>1</v>
      </c>
    </row>
    <row r="529" spans="2:6" x14ac:dyDescent="0.3">
      <c r="B529" t="s">
        <v>403</v>
      </c>
      <c r="D529">
        <v>221</v>
      </c>
      <c r="E529">
        <v>14720</v>
      </c>
      <c r="F529">
        <v>1</v>
      </c>
    </row>
    <row r="530" spans="2:6" x14ac:dyDescent="0.3">
      <c r="B530" t="s">
        <v>404</v>
      </c>
      <c r="D530">
        <v>227</v>
      </c>
      <c r="E530">
        <v>30976</v>
      </c>
      <c r="F530">
        <v>1</v>
      </c>
    </row>
    <row r="531" spans="2:6" x14ac:dyDescent="0.3">
      <c r="B531" t="s">
        <v>405</v>
      </c>
      <c r="D531">
        <v>234</v>
      </c>
      <c r="E531">
        <v>37888</v>
      </c>
      <c r="F531">
        <v>1</v>
      </c>
    </row>
    <row r="532" spans="2:6" x14ac:dyDescent="0.3">
      <c r="B532" t="s">
        <v>406</v>
      </c>
      <c r="D532">
        <v>234</v>
      </c>
      <c r="E532">
        <v>8960</v>
      </c>
      <c r="F532">
        <v>1</v>
      </c>
    </row>
    <row r="533" spans="2:6" x14ac:dyDescent="0.3">
      <c r="B533" t="s">
        <v>407</v>
      </c>
      <c r="D533">
        <v>234</v>
      </c>
      <c r="E533">
        <v>42240</v>
      </c>
      <c r="F533">
        <v>1</v>
      </c>
    </row>
    <row r="534" spans="2:6" x14ac:dyDescent="0.3">
      <c r="B534" t="s">
        <v>408</v>
      </c>
      <c r="D534">
        <v>234</v>
      </c>
      <c r="E534">
        <v>17152</v>
      </c>
      <c r="F534">
        <v>1</v>
      </c>
    </row>
    <row r="535" spans="2:6" x14ac:dyDescent="0.3">
      <c r="B535" t="s">
        <v>409</v>
      </c>
      <c r="D535">
        <v>232</v>
      </c>
      <c r="E535">
        <v>6400</v>
      </c>
      <c r="F535">
        <v>1</v>
      </c>
    </row>
    <row r="536" spans="2:6" x14ac:dyDescent="0.3">
      <c r="B536" t="s">
        <v>410</v>
      </c>
      <c r="D536">
        <v>229</v>
      </c>
      <c r="E536">
        <v>7680</v>
      </c>
      <c r="F536">
        <v>1</v>
      </c>
    </row>
    <row r="537" spans="2:6" x14ac:dyDescent="0.3">
      <c r="B537" t="s">
        <v>411</v>
      </c>
      <c r="D537">
        <v>227</v>
      </c>
      <c r="E537">
        <v>9472</v>
      </c>
      <c r="F537">
        <v>1</v>
      </c>
    </row>
    <row r="538" spans="2:6" x14ac:dyDescent="0.3">
      <c r="B538" t="s">
        <v>412</v>
      </c>
      <c r="D538">
        <v>225</v>
      </c>
      <c r="E538">
        <v>20096</v>
      </c>
      <c r="F538">
        <v>1</v>
      </c>
    </row>
    <row r="539" spans="2:6" x14ac:dyDescent="0.3">
      <c r="B539" t="s">
        <v>413</v>
      </c>
      <c r="D539">
        <v>226</v>
      </c>
      <c r="E539">
        <v>1792</v>
      </c>
      <c r="F539">
        <v>1</v>
      </c>
    </row>
    <row r="540" spans="2:6" x14ac:dyDescent="0.3">
      <c r="B540" t="s">
        <v>414</v>
      </c>
      <c r="D540">
        <v>229</v>
      </c>
      <c r="E540">
        <v>43520</v>
      </c>
      <c r="F540">
        <v>1</v>
      </c>
    </row>
    <row r="541" spans="2:6" x14ac:dyDescent="0.3">
      <c r="B541" t="s">
        <v>415</v>
      </c>
      <c r="D541">
        <v>231</v>
      </c>
      <c r="E541">
        <v>51456</v>
      </c>
      <c r="F541">
        <v>1</v>
      </c>
    </row>
    <row r="542" spans="2:6" x14ac:dyDescent="0.3">
      <c r="B542" t="s">
        <v>416</v>
      </c>
      <c r="D542">
        <v>237</v>
      </c>
      <c r="E542">
        <v>32768</v>
      </c>
      <c r="F542">
        <v>1</v>
      </c>
    </row>
    <row r="543" spans="2:6" x14ac:dyDescent="0.3">
      <c r="B543" t="s">
        <v>417</v>
      </c>
      <c r="D543">
        <v>237</v>
      </c>
      <c r="E543">
        <v>1792</v>
      </c>
      <c r="F543">
        <v>1</v>
      </c>
    </row>
    <row r="544" spans="2:6" x14ac:dyDescent="0.3">
      <c r="B544" t="s">
        <v>418</v>
      </c>
      <c r="D544">
        <v>236</v>
      </c>
      <c r="E544">
        <v>2560</v>
      </c>
      <c r="F544">
        <v>1</v>
      </c>
    </row>
    <row r="545" spans="2:6" x14ac:dyDescent="0.3">
      <c r="B545" t="s">
        <v>419</v>
      </c>
      <c r="D545">
        <v>239</v>
      </c>
      <c r="E545">
        <v>15872</v>
      </c>
      <c r="F545">
        <v>1</v>
      </c>
    </row>
    <row r="546" spans="2:6" x14ac:dyDescent="0.3">
      <c r="B546" t="s">
        <v>420</v>
      </c>
      <c r="D546">
        <v>231</v>
      </c>
      <c r="E546">
        <v>19456</v>
      </c>
      <c r="F546">
        <v>1</v>
      </c>
    </row>
    <row r="547" spans="2:6" x14ac:dyDescent="0.3">
      <c r="B547" t="s">
        <v>421</v>
      </c>
      <c r="D547">
        <v>220</v>
      </c>
      <c r="E547">
        <v>50432</v>
      </c>
      <c r="F547">
        <v>1</v>
      </c>
    </row>
    <row r="548" spans="2:6" x14ac:dyDescent="0.3">
      <c r="B548" t="s">
        <v>422</v>
      </c>
      <c r="D548">
        <v>219</v>
      </c>
      <c r="E548">
        <v>26496</v>
      </c>
      <c r="F548">
        <v>1</v>
      </c>
    </row>
    <row r="549" spans="2:6" x14ac:dyDescent="0.3">
      <c r="B549" t="s">
        <v>423</v>
      </c>
      <c r="D549">
        <v>216</v>
      </c>
      <c r="E549">
        <v>13952</v>
      </c>
      <c r="F549">
        <v>1</v>
      </c>
    </row>
    <row r="550" spans="2:6" x14ac:dyDescent="0.3">
      <c r="B550" t="s">
        <v>424</v>
      </c>
      <c r="D550">
        <v>219</v>
      </c>
      <c r="E550">
        <v>3712</v>
      </c>
      <c r="F550">
        <v>1</v>
      </c>
    </row>
    <row r="551" spans="2:6" x14ac:dyDescent="0.3">
      <c r="B551" t="s">
        <v>425</v>
      </c>
      <c r="D551">
        <v>219</v>
      </c>
      <c r="E551">
        <v>51840</v>
      </c>
      <c r="F551">
        <v>1</v>
      </c>
    </row>
    <row r="552" spans="2:6" x14ac:dyDescent="0.3">
      <c r="B552" t="s">
        <v>426</v>
      </c>
      <c r="D552">
        <v>225</v>
      </c>
      <c r="E552">
        <v>41088</v>
      </c>
      <c r="F552">
        <v>1</v>
      </c>
    </row>
    <row r="553" spans="2:6" x14ac:dyDescent="0.3">
      <c r="B553" t="s">
        <v>427</v>
      </c>
      <c r="D553">
        <v>226</v>
      </c>
      <c r="E553">
        <v>15360</v>
      </c>
      <c r="F553">
        <v>1</v>
      </c>
    </row>
    <row r="554" spans="2:6" x14ac:dyDescent="0.3">
      <c r="B554" t="s">
        <v>428</v>
      </c>
      <c r="D554">
        <v>224</v>
      </c>
      <c r="E554">
        <v>32256</v>
      </c>
      <c r="F554">
        <v>1</v>
      </c>
    </row>
    <row r="555" spans="2:6" x14ac:dyDescent="0.3">
      <c r="B555" t="s">
        <v>429</v>
      </c>
      <c r="D555">
        <v>222</v>
      </c>
      <c r="E555">
        <v>42240</v>
      </c>
      <c r="F555">
        <v>1</v>
      </c>
    </row>
    <row r="556" spans="2:6" x14ac:dyDescent="0.3">
      <c r="B556" t="s">
        <v>430</v>
      </c>
      <c r="D556">
        <v>217</v>
      </c>
      <c r="E556">
        <v>25216</v>
      </c>
      <c r="F556">
        <v>1</v>
      </c>
    </row>
    <row r="557" spans="2:6" x14ac:dyDescent="0.3">
      <c r="B557" t="s">
        <v>431</v>
      </c>
      <c r="D557">
        <v>214</v>
      </c>
      <c r="E557">
        <v>40128</v>
      </c>
      <c r="F557">
        <v>1</v>
      </c>
    </row>
    <row r="558" spans="2:6" x14ac:dyDescent="0.3">
      <c r="B558" t="s">
        <v>432</v>
      </c>
      <c r="D558">
        <v>214</v>
      </c>
      <c r="E558">
        <v>46720</v>
      </c>
      <c r="F558">
        <v>1</v>
      </c>
    </row>
    <row r="559" spans="2:6" x14ac:dyDescent="0.3">
      <c r="B559" t="s">
        <v>433</v>
      </c>
      <c r="D559">
        <v>214</v>
      </c>
      <c r="E559">
        <v>60608</v>
      </c>
      <c r="F559">
        <v>1</v>
      </c>
    </row>
    <row r="560" spans="2:6" x14ac:dyDescent="0.3">
      <c r="B560" t="s">
        <v>434</v>
      </c>
      <c r="D560">
        <v>206</v>
      </c>
      <c r="E560">
        <v>46336</v>
      </c>
      <c r="F560">
        <v>1</v>
      </c>
    </row>
    <row r="561" spans="2:6" x14ac:dyDescent="0.3">
      <c r="B561" t="s">
        <v>435</v>
      </c>
      <c r="D561">
        <v>207</v>
      </c>
      <c r="E561">
        <v>4864</v>
      </c>
      <c r="F561">
        <v>1</v>
      </c>
    </row>
    <row r="562" spans="2:6" x14ac:dyDescent="0.3">
      <c r="B562" t="s">
        <v>436</v>
      </c>
      <c r="D562">
        <v>215</v>
      </c>
      <c r="E562">
        <v>3456</v>
      </c>
      <c r="F562">
        <v>1</v>
      </c>
    </row>
    <row r="563" spans="2:6" x14ac:dyDescent="0.3">
      <c r="B563" t="s">
        <v>437</v>
      </c>
      <c r="D563">
        <v>211</v>
      </c>
      <c r="E563">
        <v>43520</v>
      </c>
      <c r="F563">
        <v>1</v>
      </c>
    </row>
    <row r="564" spans="2:6" x14ac:dyDescent="0.3">
      <c r="B564" t="s">
        <v>438</v>
      </c>
      <c r="D564">
        <v>209</v>
      </c>
      <c r="E564">
        <v>9600</v>
      </c>
      <c r="F564">
        <v>1</v>
      </c>
    </row>
    <row r="565" spans="2:6" x14ac:dyDescent="0.3">
      <c r="B565" t="s">
        <v>439</v>
      </c>
      <c r="D565">
        <v>220</v>
      </c>
      <c r="E565">
        <v>53760</v>
      </c>
      <c r="F565">
        <v>1</v>
      </c>
    </row>
    <row r="566" spans="2:6" x14ac:dyDescent="0.3">
      <c r="B566" t="s">
        <v>440</v>
      </c>
      <c r="D566">
        <v>215</v>
      </c>
      <c r="E566">
        <v>58944</v>
      </c>
      <c r="F566">
        <v>1</v>
      </c>
    </row>
    <row r="567" spans="2:6" x14ac:dyDescent="0.3">
      <c r="B567" t="s">
        <v>441</v>
      </c>
      <c r="D567">
        <v>208</v>
      </c>
      <c r="E567">
        <v>48064</v>
      </c>
      <c r="F567">
        <v>1</v>
      </c>
    </row>
    <row r="568" spans="2:6" x14ac:dyDescent="0.3">
      <c r="B568" t="s">
        <v>442</v>
      </c>
      <c r="D568">
        <v>208</v>
      </c>
      <c r="E568">
        <v>38976</v>
      </c>
      <c r="F568">
        <v>1</v>
      </c>
    </row>
    <row r="569" spans="2:6" x14ac:dyDescent="0.3">
      <c r="B569" t="s">
        <v>443</v>
      </c>
      <c r="D569">
        <v>209</v>
      </c>
      <c r="E569">
        <v>39680</v>
      </c>
      <c r="F569">
        <v>1</v>
      </c>
    </row>
    <row r="570" spans="2:6" x14ac:dyDescent="0.3">
      <c r="B570" t="s">
        <v>444</v>
      </c>
      <c r="D570">
        <v>209</v>
      </c>
      <c r="E570">
        <v>38848</v>
      </c>
      <c r="F570">
        <v>1</v>
      </c>
    </row>
    <row r="571" spans="2:6" x14ac:dyDescent="0.3">
      <c r="B571" t="s">
        <v>445</v>
      </c>
      <c r="D571">
        <v>210</v>
      </c>
      <c r="E571">
        <v>49536</v>
      </c>
      <c r="F571">
        <v>1</v>
      </c>
    </row>
    <row r="572" spans="2:6" x14ac:dyDescent="0.3">
      <c r="B572" t="s">
        <v>446</v>
      </c>
      <c r="D572">
        <v>211</v>
      </c>
      <c r="E572">
        <v>15808</v>
      </c>
      <c r="F572">
        <v>1</v>
      </c>
    </row>
    <row r="573" spans="2:6" x14ac:dyDescent="0.3">
      <c r="B573" t="s">
        <v>447</v>
      </c>
      <c r="D573">
        <v>209</v>
      </c>
      <c r="E573">
        <v>44800</v>
      </c>
      <c r="F573">
        <v>1</v>
      </c>
    </row>
    <row r="574" spans="2:6" x14ac:dyDescent="0.3">
      <c r="B574" t="s">
        <v>448</v>
      </c>
      <c r="D574">
        <v>219</v>
      </c>
      <c r="E574">
        <v>49920</v>
      </c>
      <c r="F574">
        <v>1</v>
      </c>
    </row>
    <row r="575" spans="2:6" x14ac:dyDescent="0.3">
      <c r="B575" t="s">
        <v>449</v>
      </c>
      <c r="D575">
        <v>213</v>
      </c>
      <c r="E575">
        <v>7168</v>
      </c>
      <c r="F575">
        <v>1</v>
      </c>
    </row>
    <row r="576" spans="2:6" x14ac:dyDescent="0.3">
      <c r="B576" t="s">
        <v>450</v>
      </c>
      <c r="D576">
        <v>213</v>
      </c>
      <c r="E576">
        <v>51520</v>
      </c>
      <c r="F576">
        <v>1</v>
      </c>
    </row>
    <row r="577" spans="2:6" x14ac:dyDescent="0.3">
      <c r="B577" t="s">
        <v>451</v>
      </c>
      <c r="D577">
        <v>212</v>
      </c>
      <c r="E577">
        <v>29248</v>
      </c>
      <c r="F577">
        <v>1</v>
      </c>
    </row>
    <row r="578" spans="2:6" x14ac:dyDescent="0.3">
      <c r="B578" t="s">
        <v>452</v>
      </c>
      <c r="D578">
        <v>209</v>
      </c>
      <c r="E578">
        <v>54528</v>
      </c>
      <c r="F578">
        <v>1</v>
      </c>
    </row>
    <row r="579" spans="2:6" x14ac:dyDescent="0.3">
      <c r="B579" t="s">
        <v>453</v>
      </c>
      <c r="D579">
        <v>209</v>
      </c>
      <c r="E579">
        <v>26304</v>
      </c>
      <c r="F579">
        <v>1</v>
      </c>
    </row>
    <row r="580" spans="2:6" x14ac:dyDescent="0.3">
      <c r="B580" t="s">
        <v>454</v>
      </c>
      <c r="D580">
        <v>200</v>
      </c>
      <c r="E580">
        <v>47712</v>
      </c>
      <c r="F580">
        <v>1</v>
      </c>
    </row>
    <row r="581" spans="2:6" x14ac:dyDescent="0.3">
      <c r="B581" t="s">
        <v>455</v>
      </c>
      <c r="D581">
        <v>197</v>
      </c>
      <c r="E581">
        <v>48352</v>
      </c>
      <c r="F581">
        <v>1</v>
      </c>
    </row>
    <row r="582" spans="2:6" x14ac:dyDescent="0.3">
      <c r="B582" t="s">
        <v>456</v>
      </c>
      <c r="D582">
        <v>201</v>
      </c>
      <c r="E582">
        <v>41568</v>
      </c>
      <c r="F582">
        <v>1</v>
      </c>
    </row>
    <row r="583" spans="2:6" x14ac:dyDescent="0.3">
      <c r="B583" t="s">
        <v>457</v>
      </c>
      <c r="D583">
        <v>196</v>
      </c>
      <c r="E583">
        <v>44480</v>
      </c>
      <c r="F583">
        <v>1</v>
      </c>
    </row>
    <row r="584" spans="2:6" x14ac:dyDescent="0.3">
      <c r="B584" t="s">
        <v>458</v>
      </c>
      <c r="D584">
        <v>195</v>
      </c>
      <c r="E584">
        <v>19232</v>
      </c>
      <c r="F584">
        <v>1</v>
      </c>
    </row>
    <row r="585" spans="2:6" x14ac:dyDescent="0.3">
      <c r="B585" t="s">
        <v>459</v>
      </c>
      <c r="D585">
        <v>195</v>
      </c>
      <c r="E585">
        <v>10304</v>
      </c>
      <c r="F585">
        <v>1</v>
      </c>
    </row>
    <row r="586" spans="2:6" x14ac:dyDescent="0.3">
      <c r="B586" t="s">
        <v>460</v>
      </c>
      <c r="D586">
        <v>191</v>
      </c>
      <c r="E586">
        <v>57264</v>
      </c>
      <c r="F586">
        <v>1</v>
      </c>
    </row>
    <row r="587" spans="2:6" x14ac:dyDescent="0.3">
      <c r="B587" t="s">
        <v>461</v>
      </c>
      <c r="D587">
        <v>196</v>
      </c>
      <c r="E587">
        <v>14784</v>
      </c>
      <c r="F587">
        <v>1</v>
      </c>
    </row>
    <row r="588" spans="2:6" x14ac:dyDescent="0.3">
      <c r="B588" t="s">
        <v>462</v>
      </c>
      <c r="D588">
        <v>192</v>
      </c>
      <c r="E588">
        <v>64128</v>
      </c>
      <c r="F588">
        <v>1</v>
      </c>
    </row>
    <row r="589" spans="2:6" x14ac:dyDescent="0.3">
      <c r="B589" t="s">
        <v>463</v>
      </c>
      <c r="D589">
        <v>196</v>
      </c>
      <c r="E589">
        <v>11936</v>
      </c>
      <c r="F589">
        <v>1</v>
      </c>
    </row>
    <row r="590" spans="2:6" x14ac:dyDescent="0.3">
      <c r="B590" t="s">
        <v>464</v>
      </c>
      <c r="D590">
        <v>189</v>
      </c>
      <c r="E590">
        <v>53904</v>
      </c>
      <c r="F590">
        <v>1</v>
      </c>
    </row>
    <row r="591" spans="2:6" x14ac:dyDescent="0.3">
      <c r="B591" t="s">
        <v>465</v>
      </c>
      <c r="D591">
        <v>189</v>
      </c>
      <c r="E591">
        <v>60352</v>
      </c>
      <c r="F591">
        <v>0</v>
      </c>
    </row>
    <row r="592" spans="2:6" x14ac:dyDescent="0.3">
      <c r="B592" t="s">
        <v>466</v>
      </c>
      <c r="D592">
        <v>189</v>
      </c>
      <c r="E592">
        <v>59904</v>
      </c>
      <c r="F592">
        <v>0</v>
      </c>
    </row>
    <row r="593" spans="2:6" x14ac:dyDescent="0.3">
      <c r="B593" t="s">
        <v>467</v>
      </c>
      <c r="D593">
        <v>171</v>
      </c>
      <c r="E593">
        <v>59904</v>
      </c>
      <c r="F593">
        <v>1</v>
      </c>
    </row>
    <row r="594" spans="2:6" x14ac:dyDescent="0.3">
      <c r="B594" t="s">
        <v>468</v>
      </c>
      <c r="D594">
        <v>167</v>
      </c>
      <c r="E594">
        <v>15476</v>
      </c>
      <c r="F594">
        <v>1</v>
      </c>
    </row>
    <row r="595" spans="2:6" x14ac:dyDescent="0.3">
      <c r="B595" t="s">
        <v>469</v>
      </c>
      <c r="D595">
        <v>164</v>
      </c>
      <c r="E595">
        <v>12940</v>
      </c>
      <c r="F595">
        <v>1</v>
      </c>
    </row>
    <row r="596" spans="2:6" x14ac:dyDescent="0.3">
      <c r="B596" t="s">
        <v>470</v>
      </c>
      <c r="D596">
        <v>160</v>
      </c>
      <c r="E596">
        <v>10284</v>
      </c>
      <c r="F596">
        <v>1</v>
      </c>
    </row>
    <row r="597" spans="2:6" x14ac:dyDescent="0.3">
      <c r="B597" t="s">
        <v>471</v>
      </c>
      <c r="D597">
        <v>157</v>
      </c>
      <c r="E597">
        <v>8532</v>
      </c>
      <c r="F597">
        <v>1</v>
      </c>
    </row>
    <row r="598" spans="2:6" x14ac:dyDescent="0.3">
      <c r="B598" t="s">
        <v>472</v>
      </c>
      <c r="D598">
        <v>150</v>
      </c>
      <c r="E598">
        <v>6038</v>
      </c>
      <c r="F598">
        <v>1</v>
      </c>
    </row>
    <row r="599" spans="2:6" x14ac:dyDescent="0.3">
      <c r="B599" t="s">
        <v>473</v>
      </c>
      <c r="D599">
        <v>143</v>
      </c>
      <c r="E599">
        <v>4025</v>
      </c>
      <c r="F599">
        <v>1</v>
      </c>
    </row>
    <row r="600" spans="2:6" x14ac:dyDescent="0.3">
      <c r="B600" t="s">
        <v>474</v>
      </c>
      <c r="D600">
        <v>135</v>
      </c>
      <c r="E600">
        <v>2708</v>
      </c>
      <c r="F600">
        <v>1</v>
      </c>
    </row>
    <row r="601" spans="2:6" x14ac:dyDescent="0.3">
      <c r="B601" t="s">
        <v>475</v>
      </c>
      <c r="D601">
        <v>125</v>
      </c>
      <c r="E601">
        <v>1457</v>
      </c>
      <c r="F601">
        <v>1</v>
      </c>
    </row>
    <row r="602" spans="2:6" x14ac:dyDescent="0.3">
      <c r="B602" t="s">
        <v>476</v>
      </c>
      <c r="D602">
        <v>112</v>
      </c>
      <c r="E602">
        <v>687</v>
      </c>
      <c r="F602">
        <v>1</v>
      </c>
    </row>
    <row r="603" spans="2:6" x14ac:dyDescent="0.3">
      <c r="B603" t="s">
        <v>477</v>
      </c>
      <c r="D603">
        <v>97</v>
      </c>
      <c r="E603">
        <v>279</v>
      </c>
      <c r="F603">
        <v>1</v>
      </c>
    </row>
    <row r="604" spans="2:6" x14ac:dyDescent="0.3">
      <c r="B604" t="s">
        <v>478</v>
      </c>
      <c r="D604">
        <v>80</v>
      </c>
      <c r="E604">
        <v>107</v>
      </c>
      <c r="F604">
        <v>1</v>
      </c>
    </row>
    <row r="605" spans="2:6" x14ac:dyDescent="0.3">
      <c r="B605" t="s">
        <v>479</v>
      </c>
      <c r="D605">
        <v>52</v>
      </c>
      <c r="E605">
        <v>58</v>
      </c>
      <c r="F605">
        <v>1</v>
      </c>
    </row>
    <row r="606" spans="2:6" x14ac:dyDescent="0.3">
      <c r="B606" t="s">
        <v>480</v>
      </c>
      <c r="D606">
        <v>26</v>
      </c>
      <c r="E606">
        <v>30</v>
      </c>
      <c r="F606">
        <v>1</v>
      </c>
    </row>
    <row r="607" spans="2:6" x14ac:dyDescent="0.3">
      <c r="B607" t="s">
        <v>481</v>
      </c>
      <c r="D607">
        <v>11</v>
      </c>
      <c r="E607">
        <v>13</v>
      </c>
      <c r="F607">
        <v>1</v>
      </c>
    </row>
    <row r="608" spans="2:6" x14ac:dyDescent="0.3">
      <c r="B608" t="s">
        <v>482</v>
      </c>
      <c r="D608">
        <v>6</v>
      </c>
      <c r="E608">
        <v>5</v>
      </c>
      <c r="F608">
        <v>1</v>
      </c>
    </row>
    <row r="609" spans="2:6" x14ac:dyDescent="0.3">
      <c r="B609" t="s">
        <v>483</v>
      </c>
      <c r="D609">
        <v>3</v>
      </c>
      <c r="E609">
        <v>2</v>
      </c>
      <c r="F609">
        <v>1</v>
      </c>
    </row>
    <row r="610" spans="2:6" x14ac:dyDescent="0.3">
      <c r="B610" t="s">
        <v>19</v>
      </c>
      <c r="D610">
        <v>1</v>
      </c>
      <c r="E610">
        <v>1</v>
      </c>
      <c r="F610">
        <v>1</v>
      </c>
    </row>
    <row r="611" spans="2:6" x14ac:dyDescent="0.3">
      <c r="B611" t="s">
        <v>18</v>
      </c>
      <c r="D611">
        <v>1</v>
      </c>
      <c r="E611">
        <v>0</v>
      </c>
      <c r="F611">
        <v>1</v>
      </c>
    </row>
    <row r="612" spans="2:6" x14ac:dyDescent="0.3">
      <c r="B612" t="s">
        <v>11</v>
      </c>
      <c r="D612">
        <v>0</v>
      </c>
      <c r="E612">
        <v>0</v>
      </c>
      <c r="F612">
        <v>1</v>
      </c>
    </row>
    <row r="613" spans="2:6" x14ac:dyDescent="0.3">
      <c r="B613" t="s">
        <v>11</v>
      </c>
      <c r="D613">
        <v>0</v>
      </c>
      <c r="E613">
        <v>0</v>
      </c>
      <c r="F613">
        <v>1</v>
      </c>
    </row>
    <row r="614" spans="2:6" x14ac:dyDescent="0.3">
      <c r="B614" t="s">
        <v>11</v>
      </c>
      <c r="D614">
        <v>0</v>
      </c>
      <c r="E614">
        <v>0</v>
      </c>
      <c r="F614">
        <v>1</v>
      </c>
    </row>
    <row r="615" spans="2:6" x14ac:dyDescent="0.3">
      <c r="B615" t="s">
        <v>11</v>
      </c>
      <c r="D615">
        <v>0</v>
      </c>
      <c r="E615">
        <v>0</v>
      </c>
      <c r="F615">
        <v>1</v>
      </c>
    </row>
    <row r="616" spans="2:6" x14ac:dyDescent="0.3">
      <c r="B616" t="s">
        <v>11</v>
      </c>
      <c r="D616">
        <v>0</v>
      </c>
      <c r="E616">
        <v>0</v>
      </c>
      <c r="F616">
        <v>1</v>
      </c>
    </row>
    <row r="617" spans="2:6" x14ac:dyDescent="0.3">
      <c r="B617" t="s">
        <v>11</v>
      </c>
      <c r="D617">
        <v>0</v>
      </c>
      <c r="E617">
        <v>0</v>
      </c>
      <c r="F617">
        <v>1</v>
      </c>
    </row>
    <row r="618" spans="2:6" x14ac:dyDescent="0.3">
      <c r="B618" t="s">
        <v>11</v>
      </c>
      <c r="D618">
        <v>0</v>
      </c>
      <c r="E618">
        <v>0</v>
      </c>
      <c r="F618">
        <v>1</v>
      </c>
    </row>
    <row r="619" spans="2:6" x14ac:dyDescent="0.3">
      <c r="B619" t="s">
        <v>11</v>
      </c>
      <c r="D619">
        <v>0</v>
      </c>
      <c r="E619">
        <v>0</v>
      </c>
      <c r="F619">
        <v>1</v>
      </c>
    </row>
    <row r="620" spans="2:6" x14ac:dyDescent="0.3">
      <c r="B620" t="s">
        <v>11</v>
      </c>
      <c r="D620">
        <v>0</v>
      </c>
      <c r="E620">
        <v>0</v>
      </c>
      <c r="F620">
        <v>1</v>
      </c>
    </row>
    <row r="621" spans="2:6" x14ac:dyDescent="0.3">
      <c r="B621" t="s">
        <v>11</v>
      </c>
      <c r="D621">
        <v>0</v>
      </c>
      <c r="E621">
        <v>0</v>
      </c>
      <c r="F621">
        <v>1</v>
      </c>
    </row>
    <row r="622" spans="2:6" x14ac:dyDescent="0.3">
      <c r="B622" t="s">
        <v>11</v>
      </c>
      <c r="D622">
        <v>0</v>
      </c>
      <c r="E622">
        <v>0</v>
      </c>
      <c r="F622">
        <v>1</v>
      </c>
    </row>
    <row r="623" spans="2:6" x14ac:dyDescent="0.3">
      <c r="B623" t="s">
        <v>11</v>
      </c>
      <c r="D623">
        <v>0</v>
      </c>
      <c r="E623">
        <v>0</v>
      </c>
      <c r="F623">
        <v>1</v>
      </c>
    </row>
    <row r="624" spans="2:6" x14ac:dyDescent="0.3">
      <c r="B624" t="s">
        <v>11</v>
      </c>
      <c r="D624">
        <v>0</v>
      </c>
      <c r="E624">
        <v>0</v>
      </c>
      <c r="F624">
        <v>1</v>
      </c>
    </row>
    <row r="625" spans="2:6" x14ac:dyDescent="0.3">
      <c r="B625" t="s">
        <v>11</v>
      </c>
      <c r="D625">
        <v>0</v>
      </c>
      <c r="E625">
        <v>0</v>
      </c>
      <c r="F625">
        <v>1</v>
      </c>
    </row>
    <row r="626" spans="2:6" x14ac:dyDescent="0.3">
      <c r="B626" t="s">
        <v>11</v>
      </c>
      <c r="D626">
        <v>0</v>
      </c>
      <c r="E626">
        <v>0</v>
      </c>
      <c r="F626">
        <v>1</v>
      </c>
    </row>
    <row r="627" spans="2:6" x14ac:dyDescent="0.3">
      <c r="B627" t="s">
        <v>11</v>
      </c>
      <c r="D627">
        <v>0</v>
      </c>
      <c r="E627">
        <v>0</v>
      </c>
      <c r="F627">
        <v>1</v>
      </c>
    </row>
    <row r="628" spans="2:6" x14ac:dyDescent="0.3">
      <c r="B628" t="s">
        <v>11</v>
      </c>
      <c r="D628">
        <v>0</v>
      </c>
      <c r="E628">
        <v>0</v>
      </c>
      <c r="F628">
        <v>1</v>
      </c>
    </row>
    <row r="629" spans="2:6" x14ac:dyDescent="0.3">
      <c r="B629" t="s">
        <v>11</v>
      </c>
      <c r="D629">
        <v>0</v>
      </c>
      <c r="E629">
        <v>0</v>
      </c>
      <c r="F629">
        <v>1</v>
      </c>
    </row>
    <row r="630" spans="2:6" x14ac:dyDescent="0.3">
      <c r="B630" t="s">
        <v>11</v>
      </c>
      <c r="D630">
        <v>0</v>
      </c>
      <c r="E630">
        <v>0</v>
      </c>
      <c r="F630">
        <v>1</v>
      </c>
    </row>
    <row r="631" spans="2:6" x14ac:dyDescent="0.3">
      <c r="B631" t="s">
        <v>11</v>
      </c>
      <c r="D631">
        <v>0</v>
      </c>
      <c r="E631">
        <v>0</v>
      </c>
      <c r="F631">
        <v>1</v>
      </c>
    </row>
    <row r="632" spans="2:6" x14ac:dyDescent="0.3">
      <c r="B632" t="s">
        <v>11</v>
      </c>
      <c r="D632">
        <v>0</v>
      </c>
      <c r="E632">
        <v>0</v>
      </c>
      <c r="F632">
        <v>1</v>
      </c>
    </row>
    <row r="633" spans="2:6" x14ac:dyDescent="0.3">
      <c r="B633" t="s">
        <v>11</v>
      </c>
      <c r="D633">
        <v>0</v>
      </c>
      <c r="E633">
        <v>0</v>
      </c>
      <c r="F633">
        <v>1</v>
      </c>
    </row>
    <row r="634" spans="2:6" x14ac:dyDescent="0.3">
      <c r="B634" t="s">
        <v>11</v>
      </c>
      <c r="D634">
        <v>0</v>
      </c>
      <c r="E634">
        <v>0</v>
      </c>
      <c r="F634">
        <v>1</v>
      </c>
    </row>
    <row r="635" spans="2:6" x14ac:dyDescent="0.3">
      <c r="B635" t="s">
        <v>11</v>
      </c>
      <c r="D635">
        <v>0</v>
      </c>
      <c r="E635">
        <v>0</v>
      </c>
      <c r="F635">
        <v>1</v>
      </c>
    </row>
    <row r="636" spans="2:6" x14ac:dyDescent="0.3">
      <c r="B636" t="s">
        <v>11</v>
      </c>
      <c r="D636">
        <v>0</v>
      </c>
      <c r="E636">
        <v>0</v>
      </c>
      <c r="F636">
        <v>1</v>
      </c>
    </row>
    <row r="637" spans="2:6" x14ac:dyDescent="0.3">
      <c r="B637" t="s">
        <v>11</v>
      </c>
      <c r="D637">
        <v>0</v>
      </c>
      <c r="E637">
        <v>0</v>
      </c>
      <c r="F637">
        <v>1</v>
      </c>
    </row>
    <row r="638" spans="2:6" x14ac:dyDescent="0.3">
      <c r="B638" t="s">
        <v>11</v>
      </c>
      <c r="D638">
        <v>0</v>
      </c>
      <c r="E638">
        <v>0</v>
      </c>
      <c r="F638">
        <v>1</v>
      </c>
    </row>
    <row r="639" spans="2:6" x14ac:dyDescent="0.3">
      <c r="B639" t="s">
        <v>11</v>
      </c>
      <c r="D639">
        <v>0</v>
      </c>
      <c r="E639">
        <v>0</v>
      </c>
      <c r="F639">
        <v>1</v>
      </c>
    </row>
    <row r="640" spans="2:6" x14ac:dyDescent="0.3">
      <c r="B640" t="s">
        <v>11</v>
      </c>
      <c r="D640">
        <v>0</v>
      </c>
      <c r="E640">
        <v>0</v>
      </c>
      <c r="F640">
        <v>1</v>
      </c>
    </row>
    <row r="641" spans="2:6" x14ac:dyDescent="0.3">
      <c r="B641" t="s">
        <v>11</v>
      </c>
      <c r="D641">
        <v>0</v>
      </c>
      <c r="E641">
        <v>0</v>
      </c>
      <c r="F641">
        <v>1</v>
      </c>
    </row>
    <row r="642" spans="2:6" x14ac:dyDescent="0.3">
      <c r="B642" t="s">
        <v>11</v>
      </c>
      <c r="D642">
        <v>0</v>
      </c>
      <c r="E642">
        <v>0</v>
      </c>
      <c r="F642">
        <v>1</v>
      </c>
    </row>
    <row r="643" spans="2:6" x14ac:dyDescent="0.3">
      <c r="B643" t="s">
        <v>11</v>
      </c>
      <c r="D643">
        <v>0</v>
      </c>
      <c r="E643">
        <v>0</v>
      </c>
      <c r="F643">
        <v>1</v>
      </c>
    </row>
    <row r="644" spans="2:6" x14ac:dyDescent="0.3">
      <c r="B644" t="s">
        <v>11</v>
      </c>
      <c r="D644">
        <v>0</v>
      </c>
      <c r="E644">
        <v>0</v>
      </c>
      <c r="F644">
        <v>1</v>
      </c>
    </row>
    <row r="645" spans="2:6" x14ac:dyDescent="0.3">
      <c r="B645" t="s">
        <v>11</v>
      </c>
      <c r="D645">
        <v>0</v>
      </c>
      <c r="E645">
        <v>0</v>
      </c>
      <c r="F645">
        <v>1</v>
      </c>
    </row>
    <row r="646" spans="2:6" x14ac:dyDescent="0.3">
      <c r="B646" t="s">
        <v>11</v>
      </c>
      <c r="D646">
        <v>0</v>
      </c>
      <c r="E646">
        <v>0</v>
      </c>
      <c r="F646">
        <v>1</v>
      </c>
    </row>
    <row r="647" spans="2:6" x14ac:dyDescent="0.3">
      <c r="B647" t="s">
        <v>11</v>
      </c>
      <c r="D647">
        <v>0</v>
      </c>
      <c r="E647">
        <v>0</v>
      </c>
      <c r="F647">
        <v>1</v>
      </c>
    </row>
    <row r="648" spans="2:6" x14ac:dyDescent="0.3">
      <c r="B648" t="s">
        <v>11</v>
      </c>
      <c r="D648">
        <v>0</v>
      </c>
      <c r="E648">
        <v>0</v>
      </c>
      <c r="F648">
        <v>1</v>
      </c>
    </row>
    <row r="649" spans="2:6" x14ac:dyDescent="0.3">
      <c r="B649" t="s">
        <v>11</v>
      </c>
      <c r="D649">
        <v>0</v>
      </c>
      <c r="E649">
        <v>0</v>
      </c>
      <c r="F649">
        <v>1</v>
      </c>
    </row>
    <row r="650" spans="2:6" x14ac:dyDescent="0.3">
      <c r="B650" t="s">
        <v>11</v>
      </c>
      <c r="D650">
        <v>0</v>
      </c>
      <c r="E650">
        <v>0</v>
      </c>
      <c r="F650">
        <v>1</v>
      </c>
    </row>
    <row r="651" spans="2:6" x14ac:dyDescent="0.3">
      <c r="B651" t="s">
        <v>11</v>
      </c>
      <c r="D651">
        <v>0</v>
      </c>
      <c r="E651">
        <v>0</v>
      </c>
      <c r="F651">
        <v>1</v>
      </c>
    </row>
    <row r="652" spans="2:6" x14ac:dyDescent="0.3">
      <c r="B652" t="s">
        <v>11</v>
      </c>
      <c r="D652">
        <v>0</v>
      </c>
      <c r="E652">
        <v>0</v>
      </c>
      <c r="F652">
        <v>1</v>
      </c>
    </row>
    <row r="653" spans="2:6" x14ac:dyDescent="0.3">
      <c r="B653" t="s">
        <v>11</v>
      </c>
      <c r="D653">
        <v>0</v>
      </c>
      <c r="E653">
        <v>0</v>
      </c>
      <c r="F653">
        <v>1</v>
      </c>
    </row>
    <row r="654" spans="2:6" x14ac:dyDescent="0.3">
      <c r="B654" t="s">
        <v>11</v>
      </c>
      <c r="D654">
        <v>0</v>
      </c>
      <c r="E654">
        <v>0</v>
      </c>
      <c r="F654">
        <v>1</v>
      </c>
    </row>
    <row r="655" spans="2:6" x14ac:dyDescent="0.3">
      <c r="B655" t="s">
        <v>11</v>
      </c>
      <c r="D655">
        <v>0</v>
      </c>
      <c r="E655">
        <v>0</v>
      </c>
      <c r="F655">
        <v>1</v>
      </c>
    </row>
    <row r="656" spans="2:6" x14ac:dyDescent="0.3">
      <c r="B656" t="s">
        <v>11</v>
      </c>
      <c r="D656">
        <v>0</v>
      </c>
      <c r="E656">
        <v>0</v>
      </c>
      <c r="F656">
        <v>1</v>
      </c>
    </row>
    <row r="657" spans="2:6" x14ac:dyDescent="0.3">
      <c r="B657" t="s">
        <v>11</v>
      </c>
      <c r="D657">
        <v>0</v>
      </c>
      <c r="E657">
        <v>0</v>
      </c>
      <c r="F657">
        <v>1</v>
      </c>
    </row>
    <row r="658" spans="2:6" x14ac:dyDescent="0.3">
      <c r="B658" t="s">
        <v>11</v>
      </c>
      <c r="D658">
        <v>0</v>
      </c>
      <c r="E658">
        <v>0</v>
      </c>
      <c r="F658">
        <v>1</v>
      </c>
    </row>
    <row r="659" spans="2:6" x14ac:dyDescent="0.3">
      <c r="B659" t="s">
        <v>11</v>
      </c>
      <c r="D659">
        <v>0</v>
      </c>
      <c r="E659">
        <v>0</v>
      </c>
      <c r="F659">
        <v>1</v>
      </c>
    </row>
    <row r="660" spans="2:6" x14ac:dyDescent="0.3">
      <c r="B660" t="s">
        <v>11</v>
      </c>
      <c r="D660">
        <v>0</v>
      </c>
      <c r="E660">
        <v>0</v>
      </c>
      <c r="F660">
        <v>1</v>
      </c>
    </row>
    <row r="661" spans="2:6" x14ac:dyDescent="0.3">
      <c r="B661" t="s">
        <v>11</v>
      </c>
      <c r="D661">
        <v>0</v>
      </c>
      <c r="E661">
        <v>0</v>
      </c>
      <c r="F661">
        <v>1</v>
      </c>
    </row>
    <row r="662" spans="2:6" x14ac:dyDescent="0.3">
      <c r="B662" t="s">
        <v>11</v>
      </c>
      <c r="D662">
        <v>0</v>
      </c>
      <c r="E662">
        <v>0</v>
      </c>
      <c r="F662">
        <v>1</v>
      </c>
    </row>
    <row r="663" spans="2:6" x14ac:dyDescent="0.3">
      <c r="B663" t="s">
        <v>11</v>
      </c>
      <c r="D663">
        <v>0</v>
      </c>
      <c r="E663">
        <v>0</v>
      </c>
      <c r="F663">
        <v>1</v>
      </c>
    </row>
    <row r="664" spans="2:6" x14ac:dyDescent="0.3">
      <c r="B664" t="s">
        <v>11</v>
      </c>
      <c r="D664">
        <v>0</v>
      </c>
      <c r="E664">
        <v>0</v>
      </c>
      <c r="F664">
        <v>1</v>
      </c>
    </row>
    <row r="665" spans="2:6" x14ac:dyDescent="0.3">
      <c r="B665" t="s">
        <v>11</v>
      </c>
      <c r="D665">
        <v>0</v>
      </c>
      <c r="E665">
        <v>0</v>
      </c>
      <c r="F665">
        <v>1</v>
      </c>
    </row>
    <row r="666" spans="2:6" x14ac:dyDescent="0.3">
      <c r="B666" t="s">
        <v>11</v>
      </c>
      <c r="D666">
        <v>0</v>
      </c>
      <c r="E666">
        <v>0</v>
      </c>
      <c r="F666">
        <v>1</v>
      </c>
    </row>
    <row r="667" spans="2:6" x14ac:dyDescent="0.3">
      <c r="B667" t="s">
        <v>11</v>
      </c>
      <c r="D667">
        <v>0</v>
      </c>
      <c r="E667">
        <v>0</v>
      </c>
      <c r="F667">
        <v>1</v>
      </c>
    </row>
    <row r="668" spans="2:6" x14ac:dyDescent="0.3">
      <c r="B668" t="s">
        <v>11</v>
      </c>
      <c r="D668">
        <v>0</v>
      </c>
      <c r="E668">
        <v>0</v>
      </c>
      <c r="F668">
        <v>1</v>
      </c>
    </row>
    <row r="669" spans="2:6" x14ac:dyDescent="0.3">
      <c r="B669" t="s">
        <v>11</v>
      </c>
      <c r="D669">
        <v>0</v>
      </c>
      <c r="E669">
        <v>0</v>
      </c>
      <c r="F669">
        <v>1</v>
      </c>
    </row>
    <row r="670" spans="2:6" x14ac:dyDescent="0.3">
      <c r="B670" t="s">
        <v>11</v>
      </c>
      <c r="D670">
        <v>0</v>
      </c>
      <c r="E670">
        <v>0</v>
      </c>
      <c r="F670">
        <v>1</v>
      </c>
    </row>
    <row r="671" spans="2:6" x14ac:dyDescent="0.3">
      <c r="B671" t="s">
        <v>11</v>
      </c>
      <c r="D671">
        <v>0</v>
      </c>
      <c r="E671">
        <v>0</v>
      </c>
      <c r="F671">
        <v>1</v>
      </c>
    </row>
    <row r="672" spans="2:6" x14ac:dyDescent="0.3">
      <c r="B672" t="s">
        <v>11</v>
      </c>
      <c r="D672">
        <v>0</v>
      </c>
      <c r="E672">
        <v>0</v>
      </c>
      <c r="F672">
        <v>1</v>
      </c>
    </row>
    <row r="673" spans="2:6" x14ac:dyDescent="0.3">
      <c r="B673" t="s">
        <v>11</v>
      </c>
      <c r="D673">
        <v>0</v>
      </c>
      <c r="E673">
        <v>0</v>
      </c>
      <c r="F673">
        <v>1</v>
      </c>
    </row>
    <row r="674" spans="2:6" x14ac:dyDescent="0.3">
      <c r="B674" t="s">
        <v>11</v>
      </c>
      <c r="D674">
        <v>0</v>
      </c>
      <c r="E674">
        <v>0</v>
      </c>
      <c r="F674">
        <v>1</v>
      </c>
    </row>
    <row r="675" spans="2:6" x14ac:dyDescent="0.3">
      <c r="B675" t="s">
        <v>11</v>
      </c>
      <c r="D675">
        <v>0</v>
      </c>
      <c r="E675">
        <v>0</v>
      </c>
      <c r="F675">
        <v>1</v>
      </c>
    </row>
    <row r="676" spans="2:6" x14ac:dyDescent="0.3">
      <c r="B676" t="s">
        <v>11</v>
      </c>
      <c r="D676">
        <v>0</v>
      </c>
      <c r="E676">
        <v>0</v>
      </c>
      <c r="F676">
        <v>1</v>
      </c>
    </row>
    <row r="677" spans="2:6" x14ac:dyDescent="0.3">
      <c r="B677" t="s">
        <v>11</v>
      </c>
      <c r="D677">
        <v>0</v>
      </c>
      <c r="E677">
        <v>0</v>
      </c>
      <c r="F677">
        <v>1</v>
      </c>
    </row>
    <row r="678" spans="2:6" x14ac:dyDescent="0.3">
      <c r="B678" t="s">
        <v>11</v>
      </c>
      <c r="D678">
        <v>0</v>
      </c>
      <c r="E678">
        <v>0</v>
      </c>
      <c r="F678">
        <v>1</v>
      </c>
    </row>
    <row r="679" spans="2:6" x14ac:dyDescent="0.3">
      <c r="B679" t="s">
        <v>11</v>
      </c>
      <c r="D679">
        <v>0</v>
      </c>
      <c r="E679">
        <v>0</v>
      </c>
      <c r="F679">
        <v>1</v>
      </c>
    </row>
    <row r="680" spans="2:6" x14ac:dyDescent="0.3">
      <c r="B680" t="s">
        <v>11</v>
      </c>
      <c r="D680">
        <v>0</v>
      </c>
      <c r="E680">
        <v>0</v>
      </c>
      <c r="F680">
        <v>1</v>
      </c>
    </row>
    <row r="681" spans="2:6" x14ac:dyDescent="0.3">
      <c r="B681" t="s">
        <v>18</v>
      </c>
      <c r="D681">
        <v>1</v>
      </c>
      <c r="E681">
        <v>0</v>
      </c>
      <c r="F681">
        <v>1</v>
      </c>
    </row>
    <row r="682" spans="2:6" x14ac:dyDescent="0.3">
      <c r="B682" t="s">
        <v>12</v>
      </c>
      <c r="D682">
        <v>3</v>
      </c>
      <c r="E682">
        <v>1</v>
      </c>
      <c r="F682">
        <v>1</v>
      </c>
    </row>
    <row r="683" spans="2:6" x14ac:dyDescent="0.3">
      <c r="B683" t="s">
        <v>484</v>
      </c>
      <c r="D683">
        <v>5</v>
      </c>
      <c r="E683">
        <v>5</v>
      </c>
      <c r="F683">
        <v>1</v>
      </c>
    </row>
    <row r="684" spans="2:6" x14ac:dyDescent="0.3">
      <c r="B684" t="s">
        <v>485</v>
      </c>
      <c r="D684">
        <v>5</v>
      </c>
      <c r="E684">
        <v>13</v>
      </c>
      <c r="F684">
        <v>1</v>
      </c>
    </row>
    <row r="685" spans="2:6" x14ac:dyDescent="0.3">
      <c r="B685" t="s">
        <v>486</v>
      </c>
      <c r="D685">
        <v>15</v>
      </c>
      <c r="E685">
        <v>19</v>
      </c>
      <c r="F685">
        <v>1</v>
      </c>
    </row>
    <row r="686" spans="2:6" x14ac:dyDescent="0.3">
      <c r="B686" t="s">
        <v>487</v>
      </c>
      <c r="D686">
        <v>32</v>
      </c>
      <c r="E686">
        <v>48</v>
      </c>
      <c r="F686">
        <v>1</v>
      </c>
    </row>
    <row r="687" spans="2:6" x14ac:dyDescent="0.3">
      <c r="B687" t="s">
        <v>488</v>
      </c>
      <c r="D687">
        <v>77</v>
      </c>
      <c r="E687">
        <v>148</v>
      </c>
      <c r="F687">
        <v>1</v>
      </c>
    </row>
    <row r="688" spans="2:6" x14ac:dyDescent="0.3">
      <c r="B688" t="s">
        <v>489</v>
      </c>
      <c r="D688">
        <v>94</v>
      </c>
      <c r="E688">
        <v>348</v>
      </c>
      <c r="F688">
        <v>1</v>
      </c>
    </row>
    <row r="689" spans="2:6" x14ac:dyDescent="0.3">
      <c r="B689" t="s">
        <v>490</v>
      </c>
      <c r="D689">
        <v>109</v>
      </c>
      <c r="E689">
        <v>638</v>
      </c>
      <c r="F689">
        <v>1</v>
      </c>
    </row>
    <row r="690" spans="2:6" x14ac:dyDescent="0.3">
      <c r="B690" t="s">
        <v>491</v>
      </c>
      <c r="D690">
        <v>124</v>
      </c>
      <c r="E690">
        <v>1544</v>
      </c>
      <c r="F690">
        <v>1</v>
      </c>
    </row>
    <row r="691" spans="2:6" x14ac:dyDescent="0.3">
      <c r="B691" t="s">
        <v>492</v>
      </c>
      <c r="D691">
        <v>134</v>
      </c>
      <c r="E691">
        <v>2209</v>
      </c>
      <c r="F691">
        <v>1</v>
      </c>
    </row>
    <row r="692" spans="2:6" x14ac:dyDescent="0.3">
      <c r="B692" t="s">
        <v>493</v>
      </c>
      <c r="D692">
        <v>139</v>
      </c>
      <c r="E692">
        <v>3178</v>
      </c>
      <c r="F692">
        <v>1</v>
      </c>
    </row>
    <row r="693" spans="2:6" x14ac:dyDescent="0.3">
      <c r="B693" t="s">
        <v>494</v>
      </c>
      <c r="D693">
        <v>149</v>
      </c>
      <c r="E693">
        <v>5718</v>
      </c>
      <c r="F693">
        <v>1</v>
      </c>
    </row>
    <row r="694" spans="2:6" x14ac:dyDescent="0.3">
      <c r="B694" t="s">
        <v>495</v>
      </c>
      <c r="D694">
        <v>149</v>
      </c>
      <c r="E694">
        <v>6432</v>
      </c>
      <c r="F694">
        <v>1</v>
      </c>
    </row>
    <row r="695" spans="2:6" x14ac:dyDescent="0.3">
      <c r="B695" t="s">
        <v>496</v>
      </c>
      <c r="D695">
        <v>153</v>
      </c>
      <c r="E695">
        <v>6968</v>
      </c>
      <c r="F695">
        <v>1</v>
      </c>
    </row>
    <row r="696" spans="2:6" x14ac:dyDescent="0.3">
      <c r="B696" t="s">
        <v>497</v>
      </c>
      <c r="D696">
        <v>160</v>
      </c>
      <c r="E696">
        <v>27648</v>
      </c>
      <c r="F696">
        <v>1</v>
      </c>
    </row>
    <row r="697" spans="2:6" x14ac:dyDescent="0.3">
      <c r="B697" t="s">
        <v>498</v>
      </c>
      <c r="D697">
        <v>172</v>
      </c>
      <c r="E697">
        <v>21800</v>
      </c>
      <c r="F697">
        <v>1</v>
      </c>
    </row>
    <row r="698" spans="2:6" x14ac:dyDescent="0.3">
      <c r="B698" t="s">
        <v>499</v>
      </c>
      <c r="D698">
        <v>175</v>
      </c>
      <c r="E698">
        <v>18792</v>
      </c>
      <c r="F698">
        <v>1</v>
      </c>
    </row>
    <row r="699" spans="2:6" x14ac:dyDescent="0.3">
      <c r="B699" t="s">
        <v>500</v>
      </c>
      <c r="D699">
        <v>170</v>
      </c>
      <c r="E699">
        <v>16696</v>
      </c>
      <c r="F699">
        <v>1</v>
      </c>
    </row>
    <row r="700" spans="2:6" x14ac:dyDescent="0.3">
      <c r="B700" t="s">
        <v>501</v>
      </c>
      <c r="D700">
        <v>179</v>
      </c>
      <c r="E700">
        <v>30288</v>
      </c>
      <c r="F700">
        <v>1</v>
      </c>
    </row>
    <row r="701" spans="2:6" x14ac:dyDescent="0.3">
      <c r="B701" t="s">
        <v>502</v>
      </c>
      <c r="D701">
        <v>177</v>
      </c>
      <c r="E701">
        <v>37696</v>
      </c>
      <c r="F701">
        <v>1</v>
      </c>
    </row>
    <row r="702" spans="2:6" x14ac:dyDescent="0.3">
      <c r="B702" t="s">
        <v>503</v>
      </c>
      <c r="D702">
        <v>184</v>
      </c>
      <c r="E702">
        <v>53216</v>
      </c>
      <c r="F702">
        <v>1</v>
      </c>
    </row>
    <row r="703" spans="2:6" x14ac:dyDescent="0.3">
      <c r="B703" t="s">
        <v>504</v>
      </c>
      <c r="D703">
        <v>187</v>
      </c>
      <c r="E703">
        <v>49280</v>
      </c>
      <c r="F703">
        <v>1</v>
      </c>
    </row>
    <row r="704" spans="2:6" x14ac:dyDescent="0.3">
      <c r="B704" t="s">
        <v>505</v>
      </c>
      <c r="D704">
        <v>191</v>
      </c>
      <c r="E704">
        <v>60880</v>
      </c>
      <c r="F704">
        <v>1</v>
      </c>
    </row>
    <row r="705" spans="2:6" x14ac:dyDescent="0.3">
      <c r="B705" t="s">
        <v>506</v>
      </c>
      <c r="D705">
        <v>189</v>
      </c>
      <c r="E705">
        <v>55328</v>
      </c>
      <c r="F705">
        <v>1</v>
      </c>
    </row>
    <row r="706" spans="2:6" x14ac:dyDescent="0.3">
      <c r="B706" t="s">
        <v>507</v>
      </c>
      <c r="D706">
        <v>195</v>
      </c>
      <c r="E706">
        <v>14304</v>
      </c>
      <c r="F706">
        <v>1</v>
      </c>
    </row>
    <row r="707" spans="2:6" x14ac:dyDescent="0.3">
      <c r="B707" t="s">
        <v>508</v>
      </c>
      <c r="D707">
        <v>195</v>
      </c>
      <c r="E707">
        <v>44992</v>
      </c>
      <c r="F707">
        <v>1</v>
      </c>
    </row>
    <row r="708" spans="2:6" x14ac:dyDescent="0.3">
      <c r="B708" t="s">
        <v>509</v>
      </c>
      <c r="D708">
        <v>200</v>
      </c>
      <c r="E708">
        <v>26400</v>
      </c>
      <c r="F708">
        <v>1</v>
      </c>
    </row>
    <row r="709" spans="2:6" x14ac:dyDescent="0.3">
      <c r="B709" t="s">
        <v>510</v>
      </c>
      <c r="D709">
        <v>199</v>
      </c>
      <c r="E709">
        <v>37856</v>
      </c>
      <c r="F709">
        <v>1</v>
      </c>
    </row>
    <row r="710" spans="2:6" x14ac:dyDescent="0.3">
      <c r="B710" t="s">
        <v>511</v>
      </c>
      <c r="D710">
        <v>199</v>
      </c>
      <c r="E710">
        <v>60512</v>
      </c>
      <c r="F710">
        <v>1</v>
      </c>
    </row>
    <row r="711" spans="2:6" x14ac:dyDescent="0.3">
      <c r="B711" t="s">
        <v>512</v>
      </c>
      <c r="D711">
        <v>202</v>
      </c>
      <c r="E711">
        <v>47712</v>
      </c>
      <c r="F711">
        <v>1</v>
      </c>
    </row>
    <row r="712" spans="2:6" x14ac:dyDescent="0.3">
      <c r="B712" t="s">
        <v>513</v>
      </c>
      <c r="D712">
        <v>202</v>
      </c>
      <c r="E712">
        <v>65088</v>
      </c>
      <c r="F712">
        <v>1</v>
      </c>
    </row>
    <row r="713" spans="2:6" x14ac:dyDescent="0.3">
      <c r="B713" t="s">
        <v>514</v>
      </c>
      <c r="D713">
        <v>199</v>
      </c>
      <c r="E713">
        <v>52000</v>
      </c>
      <c r="F713">
        <v>1</v>
      </c>
    </row>
    <row r="714" spans="2:6" x14ac:dyDescent="0.3">
      <c r="B714" t="s">
        <v>515</v>
      </c>
      <c r="D714">
        <v>204</v>
      </c>
      <c r="E714">
        <v>18432</v>
      </c>
      <c r="F714">
        <v>1</v>
      </c>
    </row>
    <row r="715" spans="2:6" x14ac:dyDescent="0.3">
      <c r="B715" t="s">
        <v>516</v>
      </c>
      <c r="D715">
        <v>200</v>
      </c>
      <c r="E715">
        <v>46208</v>
      </c>
      <c r="F715">
        <v>1</v>
      </c>
    </row>
    <row r="716" spans="2:6" x14ac:dyDescent="0.3">
      <c r="B716" t="s">
        <v>517</v>
      </c>
      <c r="D716">
        <v>199</v>
      </c>
      <c r="E716">
        <v>49504</v>
      </c>
      <c r="F716">
        <v>1</v>
      </c>
    </row>
    <row r="717" spans="2:6" x14ac:dyDescent="0.3">
      <c r="B717" t="s">
        <v>518</v>
      </c>
      <c r="D717">
        <v>201</v>
      </c>
      <c r="E717">
        <v>59648</v>
      </c>
      <c r="F717">
        <v>1</v>
      </c>
    </row>
    <row r="718" spans="2:6" x14ac:dyDescent="0.3">
      <c r="B718" t="s">
        <v>519</v>
      </c>
      <c r="D718">
        <v>212</v>
      </c>
      <c r="E718">
        <v>19072</v>
      </c>
      <c r="F718">
        <v>1</v>
      </c>
    </row>
    <row r="719" spans="2:6" x14ac:dyDescent="0.3">
      <c r="B719" t="s">
        <v>520</v>
      </c>
      <c r="D719">
        <v>205</v>
      </c>
      <c r="E719">
        <v>10880</v>
      </c>
      <c r="F719">
        <v>1</v>
      </c>
    </row>
    <row r="720" spans="2:6" x14ac:dyDescent="0.3">
      <c r="B720" t="s">
        <v>521</v>
      </c>
      <c r="D720">
        <v>211</v>
      </c>
      <c r="E720">
        <v>20736</v>
      </c>
      <c r="F720">
        <v>1</v>
      </c>
    </row>
    <row r="721" spans="2:6" x14ac:dyDescent="0.3">
      <c r="B721" t="s">
        <v>522</v>
      </c>
      <c r="D721">
        <v>212</v>
      </c>
      <c r="E721">
        <v>42624</v>
      </c>
      <c r="F721">
        <v>1</v>
      </c>
    </row>
    <row r="722" spans="2:6" x14ac:dyDescent="0.3">
      <c r="B722" t="s">
        <v>523</v>
      </c>
      <c r="D722">
        <v>216</v>
      </c>
      <c r="E722">
        <v>58560</v>
      </c>
      <c r="F722">
        <v>1</v>
      </c>
    </row>
    <row r="723" spans="2:6" x14ac:dyDescent="0.3">
      <c r="B723" t="s">
        <v>524</v>
      </c>
      <c r="D723">
        <v>216</v>
      </c>
      <c r="E723">
        <v>53248</v>
      </c>
      <c r="F723">
        <v>1</v>
      </c>
    </row>
    <row r="724" spans="2:6" x14ac:dyDescent="0.3">
      <c r="B724" t="s">
        <v>525</v>
      </c>
      <c r="D724">
        <v>215</v>
      </c>
      <c r="E724">
        <v>11520</v>
      </c>
      <c r="F724">
        <v>1</v>
      </c>
    </row>
    <row r="725" spans="2:6" x14ac:dyDescent="0.3">
      <c r="B725" t="s">
        <v>526</v>
      </c>
      <c r="D725">
        <v>212</v>
      </c>
      <c r="E725">
        <v>41408</v>
      </c>
      <c r="F725">
        <v>1</v>
      </c>
    </row>
    <row r="726" spans="2:6" x14ac:dyDescent="0.3">
      <c r="B726" t="s">
        <v>527</v>
      </c>
      <c r="D726">
        <v>219</v>
      </c>
      <c r="E726">
        <v>2432</v>
      </c>
      <c r="F726">
        <v>1</v>
      </c>
    </row>
    <row r="727" spans="2:6" x14ac:dyDescent="0.3">
      <c r="B727" t="s">
        <v>528</v>
      </c>
      <c r="D727">
        <v>219</v>
      </c>
      <c r="E727">
        <v>9088</v>
      </c>
      <c r="F727">
        <v>1</v>
      </c>
    </row>
    <row r="728" spans="2:6" x14ac:dyDescent="0.3">
      <c r="B728" t="s">
        <v>529</v>
      </c>
      <c r="D728">
        <v>216</v>
      </c>
      <c r="E728">
        <v>2560</v>
      </c>
      <c r="F728">
        <v>1</v>
      </c>
    </row>
    <row r="729" spans="2:6" x14ac:dyDescent="0.3">
      <c r="B729" t="s">
        <v>530</v>
      </c>
      <c r="D729">
        <v>216</v>
      </c>
      <c r="E729">
        <v>49536</v>
      </c>
      <c r="F729">
        <v>1</v>
      </c>
    </row>
    <row r="730" spans="2:6" x14ac:dyDescent="0.3">
      <c r="B730" t="s">
        <v>531</v>
      </c>
      <c r="D730">
        <v>221</v>
      </c>
      <c r="E730">
        <v>8064</v>
      </c>
      <c r="F730">
        <v>1</v>
      </c>
    </row>
    <row r="731" spans="2:6" x14ac:dyDescent="0.3">
      <c r="B731" t="s">
        <v>532</v>
      </c>
      <c r="D731">
        <v>219</v>
      </c>
      <c r="E731">
        <v>22144</v>
      </c>
      <c r="F731">
        <v>1</v>
      </c>
    </row>
    <row r="732" spans="2:6" x14ac:dyDescent="0.3">
      <c r="B732" t="s">
        <v>533</v>
      </c>
      <c r="D732">
        <v>220</v>
      </c>
      <c r="E732">
        <v>56320</v>
      </c>
      <c r="F732">
        <v>1</v>
      </c>
    </row>
    <row r="733" spans="2:6" x14ac:dyDescent="0.3">
      <c r="B733" t="s">
        <v>534</v>
      </c>
      <c r="D733">
        <v>220</v>
      </c>
      <c r="E733">
        <v>60416</v>
      </c>
      <c r="F733">
        <v>1</v>
      </c>
    </row>
    <row r="734" spans="2:6" x14ac:dyDescent="0.3">
      <c r="B734" t="s">
        <v>535</v>
      </c>
      <c r="D734">
        <v>225</v>
      </c>
      <c r="E734">
        <v>23552</v>
      </c>
      <c r="F734">
        <v>1</v>
      </c>
    </row>
    <row r="735" spans="2:6" x14ac:dyDescent="0.3">
      <c r="B735" t="s">
        <v>536</v>
      </c>
      <c r="D735">
        <v>223</v>
      </c>
      <c r="E735">
        <v>56960</v>
      </c>
      <c r="F735">
        <v>1</v>
      </c>
    </row>
    <row r="736" spans="2:6" x14ac:dyDescent="0.3">
      <c r="B736" t="s">
        <v>537</v>
      </c>
      <c r="D736">
        <v>223</v>
      </c>
      <c r="E736">
        <v>38400</v>
      </c>
      <c r="F736">
        <v>1</v>
      </c>
    </row>
    <row r="737" spans="2:6" x14ac:dyDescent="0.3">
      <c r="B737" t="s">
        <v>538</v>
      </c>
      <c r="D737">
        <v>219</v>
      </c>
      <c r="E737">
        <v>59008</v>
      </c>
      <c r="F737">
        <v>1</v>
      </c>
    </row>
    <row r="738" spans="2:6" x14ac:dyDescent="0.3">
      <c r="B738" t="s">
        <v>539</v>
      </c>
      <c r="D738">
        <v>226</v>
      </c>
      <c r="E738">
        <v>6400</v>
      </c>
      <c r="F738">
        <v>1</v>
      </c>
    </row>
    <row r="739" spans="2:6" x14ac:dyDescent="0.3">
      <c r="B739" t="s">
        <v>540</v>
      </c>
      <c r="D739">
        <v>222</v>
      </c>
      <c r="E739">
        <v>20992</v>
      </c>
      <c r="F739">
        <v>1</v>
      </c>
    </row>
    <row r="740" spans="2:6" x14ac:dyDescent="0.3">
      <c r="B740" t="s">
        <v>41</v>
      </c>
      <c r="D740">
        <v>220</v>
      </c>
      <c r="E740">
        <v>56576</v>
      </c>
      <c r="F740">
        <v>1</v>
      </c>
    </row>
    <row r="741" spans="2:6" x14ac:dyDescent="0.3">
      <c r="B741" t="s">
        <v>541</v>
      </c>
      <c r="D741">
        <v>222</v>
      </c>
      <c r="E741">
        <v>45568</v>
      </c>
      <c r="F741">
        <v>1</v>
      </c>
    </row>
    <row r="742" spans="2:6" x14ac:dyDescent="0.3">
      <c r="B742" t="s">
        <v>542</v>
      </c>
      <c r="D742">
        <v>222</v>
      </c>
      <c r="E742">
        <v>18432</v>
      </c>
      <c r="F742">
        <v>1</v>
      </c>
    </row>
    <row r="743" spans="2:6" x14ac:dyDescent="0.3">
      <c r="B743" t="s">
        <v>543</v>
      </c>
      <c r="D743">
        <v>224</v>
      </c>
      <c r="E743">
        <v>18944</v>
      </c>
      <c r="F743">
        <v>1</v>
      </c>
    </row>
    <row r="744" spans="2:6" x14ac:dyDescent="0.3">
      <c r="B744" t="s">
        <v>544</v>
      </c>
      <c r="D744">
        <v>226</v>
      </c>
      <c r="E744">
        <v>62848</v>
      </c>
      <c r="F744">
        <v>1</v>
      </c>
    </row>
    <row r="745" spans="2:6" x14ac:dyDescent="0.3">
      <c r="B745" t="s">
        <v>545</v>
      </c>
      <c r="D745">
        <v>225</v>
      </c>
      <c r="E745">
        <v>35840</v>
      </c>
      <c r="F745">
        <v>1</v>
      </c>
    </row>
    <row r="746" spans="2:6" x14ac:dyDescent="0.3">
      <c r="B746" t="s">
        <v>546</v>
      </c>
      <c r="D746">
        <v>225</v>
      </c>
      <c r="E746">
        <v>15360</v>
      </c>
      <c r="F746">
        <v>1</v>
      </c>
    </row>
    <row r="747" spans="2:6" x14ac:dyDescent="0.3">
      <c r="B747" t="s">
        <v>547</v>
      </c>
      <c r="D747">
        <v>225</v>
      </c>
      <c r="E747">
        <v>37760</v>
      </c>
      <c r="F747">
        <v>1</v>
      </c>
    </row>
    <row r="748" spans="2:6" x14ac:dyDescent="0.3">
      <c r="B748" t="s">
        <v>548</v>
      </c>
      <c r="D748">
        <v>223</v>
      </c>
      <c r="E748">
        <v>31360</v>
      </c>
      <c r="F748">
        <v>1</v>
      </c>
    </row>
    <row r="749" spans="2:6" x14ac:dyDescent="0.3">
      <c r="B749" t="s">
        <v>549</v>
      </c>
      <c r="D749">
        <v>222</v>
      </c>
      <c r="E749">
        <v>36096</v>
      </c>
      <c r="F749">
        <v>1</v>
      </c>
    </row>
    <row r="750" spans="2:6" x14ac:dyDescent="0.3">
      <c r="B750" t="s">
        <v>550</v>
      </c>
      <c r="D750">
        <v>223</v>
      </c>
      <c r="E750">
        <v>20864</v>
      </c>
      <c r="F750">
        <v>1</v>
      </c>
    </row>
    <row r="751" spans="2:6" x14ac:dyDescent="0.3">
      <c r="B751" t="s">
        <v>551</v>
      </c>
      <c r="D751">
        <v>221</v>
      </c>
      <c r="E751">
        <v>64256</v>
      </c>
      <c r="F751">
        <v>1</v>
      </c>
    </row>
    <row r="752" spans="2:6" x14ac:dyDescent="0.3">
      <c r="B752" t="s">
        <v>552</v>
      </c>
      <c r="D752">
        <v>219</v>
      </c>
      <c r="E752">
        <v>50944</v>
      </c>
      <c r="F752">
        <v>1</v>
      </c>
    </row>
    <row r="753" spans="2:6" x14ac:dyDescent="0.3">
      <c r="B753" t="s">
        <v>553</v>
      </c>
      <c r="D753">
        <v>215</v>
      </c>
      <c r="E753">
        <v>44608</v>
      </c>
      <c r="F753">
        <v>1</v>
      </c>
    </row>
    <row r="754" spans="2:6" x14ac:dyDescent="0.3">
      <c r="B754" t="s">
        <v>554</v>
      </c>
      <c r="D754">
        <v>215</v>
      </c>
      <c r="E754">
        <v>42816</v>
      </c>
      <c r="F754">
        <v>1</v>
      </c>
    </row>
    <row r="755" spans="2:6" x14ac:dyDescent="0.3">
      <c r="B755" t="s">
        <v>562</v>
      </c>
      <c r="D755">
        <v>216</v>
      </c>
      <c r="E755">
        <v>45120</v>
      </c>
      <c r="F755">
        <v>1</v>
      </c>
    </row>
    <row r="756" spans="2:6" x14ac:dyDescent="0.3">
      <c r="B756" t="s">
        <v>563</v>
      </c>
      <c r="D756">
        <v>217</v>
      </c>
      <c r="E756">
        <v>62784</v>
      </c>
      <c r="F756">
        <v>1</v>
      </c>
    </row>
    <row r="757" spans="2:6" x14ac:dyDescent="0.3">
      <c r="B757" t="s">
        <v>564</v>
      </c>
      <c r="D757">
        <v>216</v>
      </c>
      <c r="E757">
        <v>64320</v>
      </c>
      <c r="F757">
        <v>1</v>
      </c>
    </row>
    <row r="758" spans="2:6" x14ac:dyDescent="0.3">
      <c r="B758" t="s">
        <v>565</v>
      </c>
      <c r="D758">
        <v>156</v>
      </c>
      <c r="E758">
        <v>40128</v>
      </c>
      <c r="F758">
        <v>1</v>
      </c>
    </row>
    <row r="759" spans="2:6" x14ac:dyDescent="0.3">
      <c r="B759" t="s">
        <v>566</v>
      </c>
      <c r="D759">
        <v>158</v>
      </c>
      <c r="E759">
        <v>7320</v>
      </c>
      <c r="F759">
        <v>1</v>
      </c>
    </row>
    <row r="760" spans="2:6" x14ac:dyDescent="0.3">
      <c r="B760" t="s">
        <v>567</v>
      </c>
      <c r="D760">
        <v>159</v>
      </c>
      <c r="E760">
        <v>8192</v>
      </c>
      <c r="F760">
        <v>1</v>
      </c>
    </row>
    <row r="761" spans="2:6" x14ac:dyDescent="0.3">
      <c r="B761" t="s">
        <v>568</v>
      </c>
      <c r="D761">
        <v>160</v>
      </c>
      <c r="E761">
        <v>8476</v>
      </c>
      <c r="F761">
        <v>1</v>
      </c>
    </row>
    <row r="762" spans="2:6" x14ac:dyDescent="0.3">
      <c r="B762" t="s">
        <v>569</v>
      </c>
      <c r="D762">
        <v>162</v>
      </c>
      <c r="E762">
        <v>9600</v>
      </c>
      <c r="F762">
        <v>1</v>
      </c>
    </row>
    <row r="763" spans="2:6" x14ac:dyDescent="0.3">
      <c r="B763" t="s">
        <v>570</v>
      </c>
      <c r="D763">
        <v>162</v>
      </c>
      <c r="E763">
        <v>10064</v>
      </c>
      <c r="F763">
        <v>1</v>
      </c>
    </row>
    <row r="764" spans="2:6" x14ac:dyDescent="0.3">
      <c r="B764" t="s">
        <v>571</v>
      </c>
      <c r="D764">
        <v>162</v>
      </c>
      <c r="E764">
        <v>11308</v>
      </c>
      <c r="F764">
        <v>1</v>
      </c>
    </row>
    <row r="765" spans="2:6" x14ac:dyDescent="0.3">
      <c r="B765" t="s">
        <v>572</v>
      </c>
      <c r="D765">
        <v>168</v>
      </c>
      <c r="E765">
        <v>13352</v>
      </c>
      <c r="F765">
        <v>1</v>
      </c>
    </row>
    <row r="766" spans="2:6" x14ac:dyDescent="0.3">
      <c r="B766" t="s">
        <v>573</v>
      </c>
      <c r="D766">
        <v>170</v>
      </c>
      <c r="E766">
        <v>14700</v>
      </c>
      <c r="F766">
        <v>1</v>
      </c>
    </row>
    <row r="767" spans="2:6" x14ac:dyDescent="0.3">
      <c r="B767" t="s">
        <v>574</v>
      </c>
      <c r="D767">
        <v>171</v>
      </c>
      <c r="E767">
        <v>15808</v>
      </c>
      <c r="F767">
        <v>1</v>
      </c>
    </row>
    <row r="768" spans="2:6" x14ac:dyDescent="0.3">
      <c r="B768" t="s">
        <v>575</v>
      </c>
      <c r="D768">
        <v>173</v>
      </c>
      <c r="E768">
        <v>17984</v>
      </c>
      <c r="F768">
        <v>1</v>
      </c>
    </row>
    <row r="769" spans="2:6" x14ac:dyDescent="0.3">
      <c r="B769" t="s">
        <v>576</v>
      </c>
      <c r="D769">
        <v>172</v>
      </c>
      <c r="E769">
        <v>17704</v>
      </c>
      <c r="F769">
        <v>1</v>
      </c>
    </row>
    <row r="770" spans="2:6" x14ac:dyDescent="0.3">
      <c r="B770" t="s">
        <v>577</v>
      </c>
      <c r="D770">
        <v>170</v>
      </c>
      <c r="E770">
        <v>15204</v>
      </c>
      <c r="F770">
        <v>1</v>
      </c>
    </row>
    <row r="771" spans="2:6" x14ac:dyDescent="0.3">
      <c r="B771" t="s">
        <v>578</v>
      </c>
      <c r="D771">
        <v>175</v>
      </c>
      <c r="E771">
        <v>21616</v>
      </c>
      <c r="F771">
        <v>1</v>
      </c>
    </row>
    <row r="772" spans="2:6" x14ac:dyDescent="0.3">
      <c r="B772" t="s">
        <v>579</v>
      </c>
      <c r="D772">
        <v>174</v>
      </c>
      <c r="E772">
        <v>20592</v>
      </c>
      <c r="F772">
        <v>1</v>
      </c>
    </row>
    <row r="773" spans="2:6" x14ac:dyDescent="0.3">
      <c r="B773" t="s">
        <v>580</v>
      </c>
      <c r="D773">
        <v>173</v>
      </c>
      <c r="E773">
        <v>19752</v>
      </c>
      <c r="F773">
        <v>1</v>
      </c>
    </row>
    <row r="774" spans="2:6" x14ac:dyDescent="0.3">
      <c r="B774" t="s">
        <v>581</v>
      </c>
      <c r="D774">
        <v>171</v>
      </c>
      <c r="E774">
        <v>16464</v>
      </c>
      <c r="F774">
        <v>1</v>
      </c>
    </row>
    <row r="775" spans="2:6" x14ac:dyDescent="0.3">
      <c r="B775" t="s">
        <v>582</v>
      </c>
      <c r="D775">
        <v>168</v>
      </c>
      <c r="E775">
        <v>14960</v>
      </c>
      <c r="F775">
        <v>1</v>
      </c>
    </row>
    <row r="776" spans="2:6" x14ac:dyDescent="0.3">
      <c r="B776" t="s">
        <v>582</v>
      </c>
      <c r="D776">
        <v>168</v>
      </c>
      <c r="E776">
        <v>14960</v>
      </c>
      <c r="F776">
        <v>1</v>
      </c>
    </row>
    <row r="777" spans="2:6" x14ac:dyDescent="0.3">
      <c r="B777" t="s">
        <v>583</v>
      </c>
      <c r="D777">
        <v>167</v>
      </c>
      <c r="E777">
        <v>13540</v>
      </c>
      <c r="F777">
        <v>1</v>
      </c>
    </row>
    <row r="778" spans="2:6" x14ac:dyDescent="0.3">
      <c r="B778" t="s">
        <v>584</v>
      </c>
      <c r="D778">
        <v>168</v>
      </c>
      <c r="E778">
        <v>15040</v>
      </c>
      <c r="F778">
        <v>1</v>
      </c>
    </row>
    <row r="779" spans="2:6" x14ac:dyDescent="0.3">
      <c r="B779" t="s">
        <v>585</v>
      </c>
      <c r="D779">
        <v>168</v>
      </c>
      <c r="E779">
        <v>15380</v>
      </c>
      <c r="F779">
        <v>1</v>
      </c>
    </row>
    <row r="780" spans="2:6" x14ac:dyDescent="0.3">
      <c r="B780" t="s">
        <v>586</v>
      </c>
      <c r="D780">
        <v>167</v>
      </c>
      <c r="E780">
        <v>14824</v>
      </c>
      <c r="F780">
        <v>1</v>
      </c>
    </row>
    <row r="781" spans="2:6" x14ac:dyDescent="0.3">
      <c r="B781" t="s">
        <v>587</v>
      </c>
      <c r="D781">
        <v>165</v>
      </c>
      <c r="E781">
        <v>12924</v>
      </c>
      <c r="F781">
        <v>1</v>
      </c>
    </row>
    <row r="782" spans="2:6" x14ac:dyDescent="0.3">
      <c r="B782" t="s">
        <v>588</v>
      </c>
      <c r="D782">
        <v>164</v>
      </c>
      <c r="E782">
        <v>12600</v>
      </c>
      <c r="F782">
        <v>1</v>
      </c>
    </row>
    <row r="783" spans="2:6" x14ac:dyDescent="0.3">
      <c r="B783" t="s">
        <v>589</v>
      </c>
      <c r="D783">
        <v>165</v>
      </c>
      <c r="E783">
        <v>13688</v>
      </c>
      <c r="F783">
        <v>1</v>
      </c>
    </row>
    <row r="784" spans="2:6" x14ac:dyDescent="0.3">
      <c r="B784" t="s">
        <v>590</v>
      </c>
      <c r="D784">
        <v>168</v>
      </c>
      <c r="E784">
        <v>16296</v>
      </c>
      <c r="F784">
        <v>1</v>
      </c>
    </row>
    <row r="785" spans="2:6" x14ac:dyDescent="0.3">
      <c r="B785" t="s">
        <v>591</v>
      </c>
      <c r="D785">
        <v>171</v>
      </c>
      <c r="E785">
        <v>17552</v>
      </c>
      <c r="F785">
        <v>1</v>
      </c>
    </row>
    <row r="786" spans="2:6" x14ac:dyDescent="0.3">
      <c r="B786" t="s">
        <v>592</v>
      </c>
      <c r="D786">
        <v>172</v>
      </c>
      <c r="E786">
        <v>19808</v>
      </c>
      <c r="F786">
        <v>1</v>
      </c>
    </row>
    <row r="787" spans="2:6" x14ac:dyDescent="0.3">
      <c r="B787" t="s">
        <v>593</v>
      </c>
      <c r="D787">
        <v>168</v>
      </c>
      <c r="E787">
        <v>16592</v>
      </c>
      <c r="F787">
        <v>1</v>
      </c>
    </row>
    <row r="788" spans="2:6" x14ac:dyDescent="0.3">
      <c r="B788" t="s">
        <v>594</v>
      </c>
      <c r="D788">
        <v>166</v>
      </c>
      <c r="E788">
        <v>13976</v>
      </c>
      <c r="F788">
        <v>1</v>
      </c>
    </row>
    <row r="789" spans="2:6" x14ac:dyDescent="0.3">
      <c r="B789" t="s">
        <v>595</v>
      </c>
      <c r="D789">
        <v>163</v>
      </c>
      <c r="E789">
        <v>11816</v>
      </c>
      <c r="F789">
        <v>1</v>
      </c>
    </row>
    <row r="790" spans="2:6" x14ac:dyDescent="0.3">
      <c r="B790" t="s">
        <v>596</v>
      </c>
      <c r="D790">
        <v>165</v>
      </c>
      <c r="E790">
        <v>13128</v>
      </c>
      <c r="F790">
        <v>1</v>
      </c>
    </row>
    <row r="791" spans="2:6" x14ac:dyDescent="0.3">
      <c r="B791" t="s">
        <v>597</v>
      </c>
      <c r="D791">
        <v>166</v>
      </c>
      <c r="E791">
        <v>13464</v>
      </c>
      <c r="F791">
        <v>1</v>
      </c>
    </row>
    <row r="792" spans="2:6" x14ac:dyDescent="0.3">
      <c r="B792" t="s">
        <v>598</v>
      </c>
      <c r="D792">
        <v>169</v>
      </c>
      <c r="E792">
        <v>15480</v>
      </c>
      <c r="F792">
        <v>1</v>
      </c>
    </row>
    <row r="793" spans="2:6" x14ac:dyDescent="0.3">
      <c r="B793" t="s">
        <v>599</v>
      </c>
      <c r="D793">
        <v>169</v>
      </c>
      <c r="E793">
        <v>15592</v>
      </c>
      <c r="F793">
        <v>1</v>
      </c>
    </row>
    <row r="794" spans="2:6" x14ac:dyDescent="0.3">
      <c r="B794" t="s">
        <v>600</v>
      </c>
      <c r="D794">
        <v>166</v>
      </c>
      <c r="E794">
        <v>13180</v>
      </c>
      <c r="F794">
        <v>1</v>
      </c>
    </row>
    <row r="795" spans="2:6" x14ac:dyDescent="0.3">
      <c r="B795" t="s">
        <v>601</v>
      </c>
      <c r="D795">
        <v>166</v>
      </c>
      <c r="E795">
        <v>13764</v>
      </c>
      <c r="F795">
        <v>1</v>
      </c>
    </row>
    <row r="796" spans="2:6" x14ac:dyDescent="0.3">
      <c r="B796" t="s">
        <v>602</v>
      </c>
      <c r="D796">
        <v>165</v>
      </c>
      <c r="E796">
        <v>13292</v>
      </c>
      <c r="F796">
        <v>1</v>
      </c>
    </row>
    <row r="797" spans="2:6" x14ac:dyDescent="0.3">
      <c r="B797" t="s">
        <v>603</v>
      </c>
      <c r="D797">
        <v>164</v>
      </c>
      <c r="E797">
        <v>12264</v>
      </c>
      <c r="F797">
        <v>1</v>
      </c>
    </row>
    <row r="798" spans="2:6" x14ac:dyDescent="0.3">
      <c r="B798" t="s">
        <v>604</v>
      </c>
      <c r="D798">
        <v>165</v>
      </c>
      <c r="E798">
        <v>13136</v>
      </c>
      <c r="F798">
        <v>1</v>
      </c>
    </row>
    <row r="799" spans="2:6" x14ac:dyDescent="0.3">
      <c r="B799" t="s">
        <v>605</v>
      </c>
      <c r="D799">
        <v>164</v>
      </c>
      <c r="E799">
        <v>12416</v>
      </c>
      <c r="F799">
        <v>1</v>
      </c>
    </row>
    <row r="800" spans="2:6" x14ac:dyDescent="0.3">
      <c r="B800" t="s">
        <v>606</v>
      </c>
      <c r="D800">
        <v>161</v>
      </c>
      <c r="E800">
        <v>11880</v>
      </c>
      <c r="F800">
        <v>1</v>
      </c>
    </row>
    <row r="801" spans="2:6" x14ac:dyDescent="0.3">
      <c r="B801" t="s">
        <v>607</v>
      </c>
      <c r="D801">
        <v>162</v>
      </c>
      <c r="E801">
        <v>10768</v>
      </c>
      <c r="F801">
        <v>1</v>
      </c>
    </row>
    <row r="802" spans="2:6" x14ac:dyDescent="0.3">
      <c r="B802" t="s">
        <v>608</v>
      </c>
      <c r="D802">
        <v>163</v>
      </c>
      <c r="E802">
        <v>11496</v>
      </c>
      <c r="F802">
        <v>1</v>
      </c>
    </row>
    <row r="803" spans="2:6" x14ac:dyDescent="0.3">
      <c r="B803" t="s">
        <v>609</v>
      </c>
      <c r="D803">
        <v>162</v>
      </c>
      <c r="E803">
        <v>10564</v>
      </c>
      <c r="F803">
        <v>1</v>
      </c>
    </row>
    <row r="804" spans="2:6" x14ac:dyDescent="0.3">
      <c r="B804" t="s">
        <v>610</v>
      </c>
      <c r="D804">
        <v>162</v>
      </c>
      <c r="E804">
        <v>10864</v>
      </c>
      <c r="F804">
        <v>1</v>
      </c>
    </row>
    <row r="805" spans="2:6" x14ac:dyDescent="0.3">
      <c r="B805" t="s">
        <v>611</v>
      </c>
      <c r="D805">
        <v>164</v>
      </c>
      <c r="E805">
        <v>11440</v>
      </c>
      <c r="F805">
        <v>1</v>
      </c>
    </row>
    <row r="806" spans="2:6" x14ac:dyDescent="0.3">
      <c r="B806" t="s">
        <v>612</v>
      </c>
      <c r="D806">
        <v>166</v>
      </c>
      <c r="E806">
        <v>12904</v>
      </c>
      <c r="F806">
        <v>1</v>
      </c>
    </row>
    <row r="807" spans="2:6" x14ac:dyDescent="0.3">
      <c r="B807" t="s">
        <v>613</v>
      </c>
      <c r="D807">
        <v>167</v>
      </c>
      <c r="E807">
        <v>13084</v>
      </c>
      <c r="F807">
        <v>1</v>
      </c>
    </row>
    <row r="808" spans="2:6" x14ac:dyDescent="0.3">
      <c r="B808" t="s">
        <v>614</v>
      </c>
      <c r="D808">
        <v>165</v>
      </c>
      <c r="E808">
        <v>12056</v>
      </c>
      <c r="F808">
        <v>1</v>
      </c>
    </row>
    <row r="809" spans="2:6" x14ac:dyDescent="0.3">
      <c r="B809" t="s">
        <v>615</v>
      </c>
      <c r="D809">
        <v>160</v>
      </c>
      <c r="E809">
        <v>8904</v>
      </c>
      <c r="F809">
        <v>1</v>
      </c>
    </row>
    <row r="810" spans="2:6" x14ac:dyDescent="0.3">
      <c r="B810" t="s">
        <v>616</v>
      </c>
      <c r="D810">
        <v>159</v>
      </c>
      <c r="E810">
        <v>8904</v>
      </c>
      <c r="F810">
        <v>1</v>
      </c>
    </row>
    <row r="811" spans="2:6" x14ac:dyDescent="0.3">
      <c r="B811" t="s">
        <v>617</v>
      </c>
      <c r="D811">
        <v>160</v>
      </c>
      <c r="E811">
        <v>7434</v>
      </c>
      <c r="F811">
        <v>1</v>
      </c>
    </row>
    <row r="812" spans="2:6" x14ac:dyDescent="0.3">
      <c r="B812" t="s">
        <v>618</v>
      </c>
      <c r="D812">
        <v>161</v>
      </c>
      <c r="E812">
        <v>7808</v>
      </c>
      <c r="F812">
        <v>1</v>
      </c>
    </row>
    <row r="813" spans="2:6" x14ac:dyDescent="0.3">
      <c r="B813" t="s">
        <v>619</v>
      </c>
      <c r="D813">
        <v>157</v>
      </c>
      <c r="E813">
        <v>6486</v>
      </c>
      <c r="F813">
        <v>1</v>
      </c>
    </row>
    <row r="814" spans="2:6" x14ac:dyDescent="0.3">
      <c r="B814" t="s">
        <v>620</v>
      </c>
      <c r="D814">
        <v>155</v>
      </c>
      <c r="E814">
        <v>5876</v>
      </c>
      <c r="F814">
        <v>1</v>
      </c>
    </row>
    <row r="815" spans="2:6" x14ac:dyDescent="0.3">
      <c r="B815" t="s">
        <v>621</v>
      </c>
      <c r="D815">
        <v>153</v>
      </c>
      <c r="E815">
        <v>5054</v>
      </c>
      <c r="F815">
        <v>1</v>
      </c>
    </row>
    <row r="816" spans="2:6" x14ac:dyDescent="0.3">
      <c r="B816" t="s">
        <v>622</v>
      </c>
      <c r="D816">
        <v>153</v>
      </c>
      <c r="E816">
        <v>5116</v>
      </c>
      <c r="F816">
        <v>1</v>
      </c>
    </row>
    <row r="817" spans="2:6" x14ac:dyDescent="0.3">
      <c r="B817" t="s">
        <v>623</v>
      </c>
      <c r="D817">
        <v>154</v>
      </c>
      <c r="E817">
        <v>5314</v>
      </c>
      <c r="F817">
        <v>1</v>
      </c>
    </row>
    <row r="818" spans="2:6" x14ac:dyDescent="0.3">
      <c r="B818" t="s">
        <v>624</v>
      </c>
      <c r="D818">
        <v>155</v>
      </c>
      <c r="E818">
        <v>5896</v>
      </c>
      <c r="F818">
        <v>1</v>
      </c>
    </row>
    <row r="819" spans="2:6" x14ac:dyDescent="0.3">
      <c r="B819" t="s">
        <v>625</v>
      </c>
      <c r="D819">
        <v>157</v>
      </c>
      <c r="E819">
        <v>6916</v>
      </c>
      <c r="F819">
        <v>1</v>
      </c>
    </row>
    <row r="820" spans="2:6" x14ac:dyDescent="0.3">
      <c r="B820" t="s">
        <v>626</v>
      </c>
      <c r="D820">
        <v>159</v>
      </c>
      <c r="E820">
        <v>7008</v>
      </c>
      <c r="F820">
        <v>1</v>
      </c>
    </row>
    <row r="821" spans="2:6" x14ac:dyDescent="0.3">
      <c r="B821" t="s">
        <v>627</v>
      </c>
      <c r="D821">
        <v>158</v>
      </c>
      <c r="E821">
        <v>6866</v>
      </c>
      <c r="F821">
        <v>1</v>
      </c>
    </row>
    <row r="822" spans="2:6" x14ac:dyDescent="0.3">
      <c r="B822" t="s">
        <v>628</v>
      </c>
      <c r="D822">
        <v>159</v>
      </c>
      <c r="E822">
        <v>6894</v>
      </c>
      <c r="F822">
        <v>1</v>
      </c>
    </row>
    <row r="823" spans="2:6" x14ac:dyDescent="0.3">
      <c r="B823" t="s">
        <v>629</v>
      </c>
      <c r="D823">
        <v>154</v>
      </c>
      <c r="E823">
        <v>5996</v>
      </c>
      <c r="F823">
        <v>1</v>
      </c>
    </row>
    <row r="824" spans="2:6" x14ac:dyDescent="0.3">
      <c r="B824" t="s">
        <v>630</v>
      </c>
      <c r="D824">
        <v>151</v>
      </c>
      <c r="E824">
        <v>5178</v>
      </c>
      <c r="F824">
        <v>1</v>
      </c>
    </row>
    <row r="825" spans="2:6" x14ac:dyDescent="0.3">
      <c r="B825" t="s">
        <v>631</v>
      </c>
      <c r="D825">
        <v>149</v>
      </c>
      <c r="E825">
        <v>3957</v>
      </c>
      <c r="F825">
        <v>1</v>
      </c>
    </row>
    <row r="826" spans="2:6" x14ac:dyDescent="0.3">
      <c r="B826" t="s">
        <v>632</v>
      </c>
      <c r="D826">
        <v>148</v>
      </c>
      <c r="E826">
        <v>3923</v>
      </c>
      <c r="F826">
        <v>1</v>
      </c>
    </row>
    <row r="827" spans="2:6" x14ac:dyDescent="0.3">
      <c r="B827" t="s">
        <v>633</v>
      </c>
      <c r="D827">
        <v>145</v>
      </c>
      <c r="E827">
        <v>3506</v>
      </c>
      <c r="F827">
        <v>1</v>
      </c>
    </row>
    <row r="828" spans="2:6" x14ac:dyDescent="0.3">
      <c r="B828" t="s">
        <v>634</v>
      </c>
      <c r="D828">
        <v>143</v>
      </c>
      <c r="E828">
        <v>3109</v>
      </c>
      <c r="F828">
        <v>1</v>
      </c>
    </row>
    <row r="829" spans="2:6" x14ac:dyDescent="0.3">
      <c r="B829" t="s">
        <v>635</v>
      </c>
      <c r="D829">
        <v>142</v>
      </c>
      <c r="E829">
        <v>2914</v>
      </c>
      <c r="F829">
        <v>1</v>
      </c>
    </row>
    <row r="830" spans="2:6" x14ac:dyDescent="0.3">
      <c r="B830" t="s">
        <v>636</v>
      </c>
      <c r="D830">
        <v>141</v>
      </c>
      <c r="E830">
        <v>2914</v>
      </c>
      <c r="F830">
        <v>1</v>
      </c>
    </row>
    <row r="831" spans="2:6" x14ac:dyDescent="0.3">
      <c r="B831" t="s">
        <v>637</v>
      </c>
      <c r="D831">
        <v>140</v>
      </c>
      <c r="E831">
        <v>3030</v>
      </c>
      <c r="F831">
        <v>1</v>
      </c>
    </row>
    <row r="832" spans="2:6" x14ac:dyDescent="0.3">
      <c r="B832" t="s">
        <v>638</v>
      </c>
      <c r="D832">
        <v>143</v>
      </c>
      <c r="E832">
        <v>3293</v>
      </c>
      <c r="F832">
        <v>1</v>
      </c>
    </row>
    <row r="833" spans="2:6" x14ac:dyDescent="0.3">
      <c r="B833" t="s">
        <v>639</v>
      </c>
      <c r="D833">
        <v>142</v>
      </c>
      <c r="E833">
        <v>3178</v>
      </c>
      <c r="F833">
        <v>1</v>
      </c>
    </row>
    <row r="834" spans="2:6" x14ac:dyDescent="0.3">
      <c r="B834" t="s">
        <v>640</v>
      </c>
      <c r="D834">
        <v>143</v>
      </c>
      <c r="E834">
        <v>3444</v>
      </c>
      <c r="F834">
        <v>1</v>
      </c>
    </row>
    <row r="835" spans="2:6" x14ac:dyDescent="0.3">
      <c r="B835" t="s">
        <v>641</v>
      </c>
      <c r="D835">
        <v>142</v>
      </c>
      <c r="E835">
        <v>3203</v>
      </c>
      <c r="F835">
        <v>1</v>
      </c>
    </row>
    <row r="836" spans="2:6" x14ac:dyDescent="0.3">
      <c r="B836" t="s">
        <v>642</v>
      </c>
      <c r="D836">
        <v>146</v>
      </c>
      <c r="E836">
        <v>3705</v>
      </c>
      <c r="F836">
        <v>1</v>
      </c>
    </row>
    <row r="837" spans="2:6" x14ac:dyDescent="0.3">
      <c r="B837" t="s">
        <v>643</v>
      </c>
      <c r="D837">
        <v>145</v>
      </c>
      <c r="E837">
        <v>3749</v>
      </c>
      <c r="F837">
        <v>1</v>
      </c>
    </row>
    <row r="838" spans="2:6" x14ac:dyDescent="0.3">
      <c r="B838" t="s">
        <v>644</v>
      </c>
      <c r="D838">
        <v>146</v>
      </c>
      <c r="E838">
        <v>4260</v>
      </c>
      <c r="F838">
        <v>1</v>
      </c>
    </row>
    <row r="839" spans="2:6" x14ac:dyDescent="0.3">
      <c r="B839" t="s">
        <v>645</v>
      </c>
      <c r="D839">
        <v>152</v>
      </c>
      <c r="E839">
        <v>5232</v>
      </c>
      <c r="F839">
        <v>1</v>
      </c>
    </row>
    <row r="840" spans="2:6" x14ac:dyDescent="0.3">
      <c r="B840" t="s">
        <v>646</v>
      </c>
      <c r="D840">
        <v>150</v>
      </c>
      <c r="E840">
        <v>4850</v>
      </c>
      <c r="F840">
        <v>1</v>
      </c>
    </row>
    <row r="841" spans="2:6" x14ac:dyDescent="0.3">
      <c r="B841" t="s">
        <v>647</v>
      </c>
      <c r="D841">
        <v>149</v>
      </c>
      <c r="E841">
        <v>5002</v>
      </c>
      <c r="F841">
        <v>1</v>
      </c>
    </row>
    <row r="842" spans="2:6" x14ac:dyDescent="0.3">
      <c r="B842" t="s">
        <v>648</v>
      </c>
      <c r="D842">
        <v>148</v>
      </c>
      <c r="E842">
        <v>4668</v>
      </c>
      <c r="F842">
        <v>1</v>
      </c>
    </row>
    <row r="843" spans="2:6" x14ac:dyDescent="0.3">
      <c r="B843" t="s">
        <v>649</v>
      </c>
      <c r="D843">
        <v>146</v>
      </c>
      <c r="E843">
        <v>3890</v>
      </c>
      <c r="F843">
        <v>1</v>
      </c>
    </row>
    <row r="844" spans="2:6" x14ac:dyDescent="0.3">
      <c r="B844" t="s">
        <v>650</v>
      </c>
      <c r="D844">
        <v>141</v>
      </c>
      <c r="E844">
        <v>3396</v>
      </c>
      <c r="F844">
        <v>1</v>
      </c>
    </row>
    <row r="845" spans="2:6" x14ac:dyDescent="0.3">
      <c r="B845" t="s">
        <v>651</v>
      </c>
      <c r="D845">
        <v>138</v>
      </c>
      <c r="E845">
        <v>2680</v>
      </c>
      <c r="F845">
        <v>1</v>
      </c>
    </row>
    <row r="846" spans="2:6" x14ac:dyDescent="0.3">
      <c r="B846" t="s">
        <v>652</v>
      </c>
      <c r="D846">
        <v>138</v>
      </c>
      <c r="E846">
        <v>2447</v>
      </c>
      <c r="F846">
        <v>1</v>
      </c>
    </row>
    <row r="847" spans="2:6" x14ac:dyDescent="0.3">
      <c r="B847" t="s">
        <v>653</v>
      </c>
      <c r="D847">
        <v>136</v>
      </c>
      <c r="E847">
        <v>2560</v>
      </c>
      <c r="F847">
        <v>1</v>
      </c>
    </row>
    <row r="848" spans="2:6" x14ac:dyDescent="0.3">
      <c r="B848" t="s">
        <v>654</v>
      </c>
      <c r="D848">
        <v>129</v>
      </c>
      <c r="E848">
        <v>1885</v>
      </c>
      <c r="F848">
        <v>1</v>
      </c>
    </row>
    <row r="849" spans="2:6" x14ac:dyDescent="0.3">
      <c r="B849" t="s">
        <v>655</v>
      </c>
      <c r="D849">
        <v>128</v>
      </c>
      <c r="E849">
        <v>1555</v>
      </c>
      <c r="F849">
        <v>1</v>
      </c>
    </row>
    <row r="850" spans="2:6" x14ac:dyDescent="0.3">
      <c r="B850" t="s">
        <v>656</v>
      </c>
      <c r="D850">
        <v>123</v>
      </c>
      <c r="E850">
        <v>998</v>
      </c>
      <c r="F850">
        <v>1</v>
      </c>
    </row>
    <row r="851" spans="2:6" x14ac:dyDescent="0.3">
      <c r="B851" t="s">
        <v>657</v>
      </c>
      <c r="D851">
        <v>124</v>
      </c>
      <c r="E851">
        <v>1046</v>
      </c>
      <c r="F851">
        <v>1</v>
      </c>
    </row>
    <row r="852" spans="2:6" x14ac:dyDescent="0.3">
      <c r="B852" t="s">
        <v>658</v>
      </c>
      <c r="D852">
        <v>127</v>
      </c>
      <c r="E852">
        <v>1229</v>
      </c>
      <c r="F852">
        <v>1</v>
      </c>
    </row>
    <row r="853" spans="2:6" x14ac:dyDescent="0.3">
      <c r="B853" t="s">
        <v>659</v>
      </c>
      <c r="D853">
        <v>122</v>
      </c>
      <c r="E853">
        <v>1273</v>
      </c>
      <c r="F853">
        <v>1</v>
      </c>
    </row>
    <row r="854" spans="2:6" x14ac:dyDescent="0.3">
      <c r="B854" t="s">
        <v>660</v>
      </c>
      <c r="D854">
        <v>113</v>
      </c>
      <c r="E854">
        <v>709</v>
      </c>
      <c r="F854">
        <v>1</v>
      </c>
    </row>
    <row r="855" spans="2:6" x14ac:dyDescent="0.3">
      <c r="B855" t="s">
        <v>661</v>
      </c>
      <c r="D855">
        <v>111</v>
      </c>
      <c r="E855">
        <v>507</v>
      </c>
      <c r="F855">
        <v>1</v>
      </c>
    </row>
    <row r="856" spans="2:6" x14ac:dyDescent="0.3">
      <c r="B856" t="s">
        <v>662</v>
      </c>
      <c r="D856">
        <v>106</v>
      </c>
      <c r="E856">
        <v>359</v>
      </c>
      <c r="F856">
        <v>1</v>
      </c>
    </row>
    <row r="857" spans="2:6" x14ac:dyDescent="0.3">
      <c r="B857" t="s">
        <v>663</v>
      </c>
      <c r="D857">
        <v>118</v>
      </c>
      <c r="E857">
        <v>767</v>
      </c>
      <c r="F857">
        <v>1</v>
      </c>
    </row>
    <row r="858" spans="2:6" x14ac:dyDescent="0.3">
      <c r="B858" t="s">
        <v>664</v>
      </c>
      <c r="D858">
        <v>119</v>
      </c>
      <c r="E858">
        <v>765</v>
      </c>
      <c r="F858">
        <v>1</v>
      </c>
    </row>
    <row r="859" spans="2:6" x14ac:dyDescent="0.3">
      <c r="B859" t="s">
        <v>665</v>
      </c>
      <c r="D859">
        <v>115</v>
      </c>
      <c r="E859">
        <v>649</v>
      </c>
      <c r="F859">
        <v>1</v>
      </c>
    </row>
    <row r="860" spans="2:6" x14ac:dyDescent="0.3">
      <c r="B860" t="s">
        <v>666</v>
      </c>
      <c r="D860">
        <v>107</v>
      </c>
      <c r="E860">
        <v>472</v>
      </c>
      <c r="F860">
        <v>1</v>
      </c>
    </row>
    <row r="861" spans="2:6" x14ac:dyDescent="0.3">
      <c r="B861" t="s">
        <v>667</v>
      </c>
      <c r="D861">
        <v>107</v>
      </c>
      <c r="E861">
        <v>405</v>
      </c>
      <c r="F861">
        <v>1</v>
      </c>
    </row>
    <row r="862" spans="2:6" x14ac:dyDescent="0.3">
      <c r="B862" t="s">
        <v>668</v>
      </c>
      <c r="D862">
        <v>106</v>
      </c>
      <c r="E862">
        <v>412</v>
      </c>
      <c r="F862">
        <v>1</v>
      </c>
    </row>
    <row r="863" spans="2:6" x14ac:dyDescent="0.3">
      <c r="B863" t="s">
        <v>669</v>
      </c>
      <c r="D863">
        <v>103</v>
      </c>
      <c r="E863">
        <v>349</v>
      </c>
      <c r="F863">
        <v>1</v>
      </c>
    </row>
    <row r="864" spans="2:6" x14ac:dyDescent="0.3">
      <c r="B864" t="s">
        <v>670</v>
      </c>
      <c r="D864">
        <v>103</v>
      </c>
      <c r="E864">
        <v>337</v>
      </c>
      <c r="F864">
        <v>1</v>
      </c>
    </row>
    <row r="865" spans="2:6" x14ac:dyDescent="0.3">
      <c r="B865" t="s">
        <v>671</v>
      </c>
      <c r="D865">
        <v>102</v>
      </c>
      <c r="E865">
        <v>297</v>
      </c>
      <c r="F865">
        <v>1</v>
      </c>
    </row>
    <row r="866" spans="2:6" x14ac:dyDescent="0.3">
      <c r="B866" t="s">
        <v>672</v>
      </c>
      <c r="D866">
        <v>99</v>
      </c>
      <c r="E866">
        <v>252</v>
      </c>
      <c r="F866">
        <v>1</v>
      </c>
    </row>
    <row r="867" spans="2:6" x14ac:dyDescent="0.3">
      <c r="B867" t="s">
        <v>673</v>
      </c>
      <c r="D867">
        <v>96</v>
      </c>
      <c r="E867">
        <v>212</v>
      </c>
      <c r="F867">
        <v>1</v>
      </c>
    </row>
    <row r="868" spans="2:6" x14ac:dyDescent="0.3">
      <c r="B868" t="s">
        <v>674</v>
      </c>
      <c r="D868">
        <v>93</v>
      </c>
      <c r="E868">
        <v>184</v>
      </c>
      <c r="F868">
        <v>1</v>
      </c>
    </row>
    <row r="869" spans="2:6" x14ac:dyDescent="0.3">
      <c r="B869" t="s">
        <v>675</v>
      </c>
      <c r="D869">
        <v>90</v>
      </c>
      <c r="E869">
        <v>152</v>
      </c>
      <c r="F869">
        <v>1</v>
      </c>
    </row>
    <row r="870" spans="2:6" x14ac:dyDescent="0.3">
      <c r="B870" t="s">
        <v>676</v>
      </c>
      <c r="D870">
        <v>79</v>
      </c>
      <c r="E870">
        <v>84</v>
      </c>
      <c r="F870">
        <v>1</v>
      </c>
    </row>
    <row r="871" spans="2:6" x14ac:dyDescent="0.3">
      <c r="B871" t="s">
        <v>677</v>
      </c>
      <c r="D871">
        <v>51</v>
      </c>
      <c r="E871">
        <v>41</v>
      </c>
      <c r="F871">
        <v>1</v>
      </c>
    </row>
    <row r="872" spans="2:6" x14ac:dyDescent="0.3">
      <c r="B872" t="s">
        <v>678</v>
      </c>
      <c r="D872">
        <v>39</v>
      </c>
      <c r="E872">
        <v>34</v>
      </c>
      <c r="F872">
        <v>1</v>
      </c>
    </row>
    <row r="873" spans="2:6" x14ac:dyDescent="0.3">
      <c r="B873" t="s">
        <v>679</v>
      </c>
      <c r="D873">
        <v>33</v>
      </c>
      <c r="E873">
        <v>25</v>
      </c>
      <c r="F873">
        <v>1</v>
      </c>
    </row>
    <row r="874" spans="2:6" x14ac:dyDescent="0.3">
      <c r="B874" t="s">
        <v>680</v>
      </c>
      <c r="D874">
        <v>25</v>
      </c>
      <c r="E874">
        <v>19</v>
      </c>
      <c r="F874">
        <v>1</v>
      </c>
    </row>
    <row r="875" spans="2:6" x14ac:dyDescent="0.3">
      <c r="B875" t="s">
        <v>681</v>
      </c>
      <c r="D875">
        <v>18</v>
      </c>
      <c r="E875">
        <v>15</v>
      </c>
      <c r="F875">
        <v>1</v>
      </c>
    </row>
    <row r="876" spans="2:6" x14ac:dyDescent="0.3">
      <c r="B876" t="s">
        <v>682</v>
      </c>
      <c r="D876">
        <v>14</v>
      </c>
      <c r="E876">
        <v>11</v>
      </c>
      <c r="F876">
        <v>1</v>
      </c>
    </row>
    <row r="877" spans="2:6" x14ac:dyDescent="0.3">
      <c r="B877" t="s">
        <v>683</v>
      </c>
      <c r="D877">
        <v>9</v>
      </c>
      <c r="E877">
        <v>7</v>
      </c>
      <c r="F877">
        <v>1</v>
      </c>
    </row>
    <row r="878" spans="2:6" x14ac:dyDescent="0.3">
      <c r="B878" t="s">
        <v>684</v>
      </c>
      <c r="D878">
        <v>6</v>
      </c>
      <c r="E878">
        <v>4</v>
      </c>
      <c r="F878">
        <v>1</v>
      </c>
    </row>
    <row r="879" spans="2:6" x14ac:dyDescent="0.3">
      <c r="B879" t="s">
        <v>483</v>
      </c>
      <c r="D879">
        <v>3</v>
      </c>
      <c r="E879">
        <v>2</v>
      </c>
      <c r="F879">
        <v>1</v>
      </c>
    </row>
    <row r="880" spans="2:6" x14ac:dyDescent="0.3">
      <c r="B880" t="s">
        <v>17</v>
      </c>
      <c r="D880">
        <v>2</v>
      </c>
      <c r="E880">
        <v>1</v>
      </c>
      <c r="F880">
        <v>1</v>
      </c>
    </row>
    <row r="881" spans="2:6" x14ac:dyDescent="0.3">
      <c r="B881" t="s">
        <v>18</v>
      </c>
      <c r="D881">
        <v>1</v>
      </c>
      <c r="E881">
        <v>0</v>
      </c>
      <c r="F881">
        <v>1</v>
      </c>
    </row>
    <row r="882" spans="2:6" x14ac:dyDescent="0.3">
      <c r="B882" t="s">
        <v>18</v>
      </c>
      <c r="D882">
        <v>1</v>
      </c>
      <c r="E882">
        <v>0</v>
      </c>
      <c r="F882">
        <v>1</v>
      </c>
    </row>
    <row r="883" spans="2:6" x14ac:dyDescent="0.3">
      <c r="B883" t="s">
        <v>18</v>
      </c>
      <c r="D883">
        <v>1</v>
      </c>
      <c r="E883">
        <v>0</v>
      </c>
      <c r="F883">
        <v>1</v>
      </c>
    </row>
    <row r="884" spans="2:6" x14ac:dyDescent="0.3">
      <c r="B884" t="s">
        <v>18</v>
      </c>
      <c r="D884">
        <v>1</v>
      </c>
      <c r="E884">
        <v>0</v>
      </c>
      <c r="F884">
        <v>1</v>
      </c>
    </row>
    <row r="885" spans="2:6" x14ac:dyDescent="0.3">
      <c r="B885" t="s">
        <v>18</v>
      </c>
      <c r="D885">
        <v>1</v>
      </c>
      <c r="E885">
        <v>0</v>
      </c>
      <c r="F885">
        <v>1</v>
      </c>
    </row>
    <row r="886" spans="2:6" x14ac:dyDescent="0.3">
      <c r="B886" t="s">
        <v>18</v>
      </c>
      <c r="D886">
        <v>1</v>
      </c>
      <c r="E886">
        <v>0</v>
      </c>
      <c r="F886">
        <v>1</v>
      </c>
    </row>
    <row r="887" spans="2:6" x14ac:dyDescent="0.3">
      <c r="B887" t="s">
        <v>18</v>
      </c>
      <c r="D887">
        <v>1</v>
      </c>
      <c r="E887">
        <v>0</v>
      </c>
      <c r="F887">
        <v>1</v>
      </c>
    </row>
    <row r="888" spans="2:6" x14ac:dyDescent="0.3">
      <c r="B888" t="s">
        <v>11</v>
      </c>
      <c r="D888">
        <v>0</v>
      </c>
      <c r="E888">
        <v>0</v>
      </c>
      <c r="F888">
        <v>1</v>
      </c>
    </row>
    <row r="889" spans="2:6" x14ac:dyDescent="0.3">
      <c r="B889" t="s">
        <v>11</v>
      </c>
      <c r="D889">
        <v>0</v>
      </c>
      <c r="E889">
        <v>0</v>
      </c>
      <c r="F889">
        <v>1</v>
      </c>
    </row>
    <row r="890" spans="2:6" x14ac:dyDescent="0.3">
      <c r="B890" t="s">
        <v>11</v>
      </c>
      <c r="D890">
        <v>0</v>
      </c>
      <c r="E890">
        <v>0</v>
      </c>
      <c r="F890">
        <v>1</v>
      </c>
    </row>
    <row r="891" spans="2:6" x14ac:dyDescent="0.3">
      <c r="B891" t="s">
        <v>18</v>
      </c>
      <c r="D891">
        <v>1</v>
      </c>
      <c r="E891">
        <v>0</v>
      </c>
      <c r="F891">
        <v>1</v>
      </c>
    </row>
    <row r="892" spans="2:6" x14ac:dyDescent="0.3">
      <c r="B892" t="s">
        <v>11</v>
      </c>
      <c r="D892">
        <v>0</v>
      </c>
      <c r="E892">
        <v>0</v>
      </c>
      <c r="F892">
        <v>1</v>
      </c>
    </row>
    <row r="893" spans="2:6" x14ac:dyDescent="0.3">
      <c r="B893" t="s">
        <v>11</v>
      </c>
      <c r="D893">
        <v>0</v>
      </c>
      <c r="E893">
        <v>0</v>
      </c>
      <c r="F893">
        <v>1</v>
      </c>
    </row>
    <row r="894" spans="2:6" x14ac:dyDescent="0.3">
      <c r="B894" t="s">
        <v>11</v>
      </c>
      <c r="D894">
        <v>0</v>
      </c>
      <c r="E894">
        <v>0</v>
      </c>
      <c r="F894">
        <v>1</v>
      </c>
    </row>
    <row r="895" spans="2:6" x14ac:dyDescent="0.3">
      <c r="B895" t="s">
        <v>18</v>
      </c>
      <c r="D895">
        <v>1</v>
      </c>
      <c r="E895">
        <v>0</v>
      </c>
      <c r="F895">
        <v>1</v>
      </c>
    </row>
    <row r="896" spans="2:6" x14ac:dyDescent="0.3">
      <c r="B896" t="s">
        <v>18</v>
      </c>
      <c r="D896">
        <v>1</v>
      </c>
      <c r="E896">
        <v>0</v>
      </c>
      <c r="F896">
        <v>1</v>
      </c>
    </row>
    <row r="897" spans="2:6" x14ac:dyDescent="0.3">
      <c r="B897" t="s">
        <v>18</v>
      </c>
      <c r="D897">
        <v>1</v>
      </c>
      <c r="E897">
        <v>0</v>
      </c>
      <c r="F897">
        <v>1</v>
      </c>
    </row>
    <row r="898" spans="2:6" x14ac:dyDescent="0.3">
      <c r="B898" t="s">
        <v>18</v>
      </c>
      <c r="D898">
        <v>1</v>
      </c>
      <c r="E898">
        <v>0</v>
      </c>
      <c r="F898">
        <v>1</v>
      </c>
    </row>
    <row r="899" spans="2:6" x14ac:dyDescent="0.3">
      <c r="B899" t="s">
        <v>18</v>
      </c>
      <c r="D899">
        <v>1</v>
      </c>
      <c r="E899">
        <v>0</v>
      </c>
      <c r="F899">
        <v>1</v>
      </c>
    </row>
    <row r="900" spans="2:6" x14ac:dyDescent="0.3">
      <c r="B900" t="s">
        <v>18</v>
      </c>
      <c r="D900">
        <v>1</v>
      </c>
      <c r="E900">
        <v>0</v>
      </c>
      <c r="F900">
        <v>1</v>
      </c>
    </row>
    <row r="901" spans="2:6" x14ac:dyDescent="0.3">
      <c r="B901" t="s">
        <v>18</v>
      </c>
      <c r="D901">
        <v>1</v>
      </c>
      <c r="E901">
        <v>0</v>
      </c>
      <c r="F901">
        <v>1</v>
      </c>
    </row>
    <row r="902" spans="2:6" x14ac:dyDescent="0.3">
      <c r="B902" t="s">
        <v>11</v>
      </c>
      <c r="D902">
        <v>0</v>
      </c>
      <c r="E902">
        <v>0</v>
      </c>
      <c r="F902">
        <v>1</v>
      </c>
    </row>
    <row r="903" spans="2:6" x14ac:dyDescent="0.3">
      <c r="B903" t="s">
        <v>11</v>
      </c>
      <c r="D903">
        <v>0</v>
      </c>
      <c r="E903">
        <v>0</v>
      </c>
      <c r="F903">
        <v>1</v>
      </c>
    </row>
    <row r="904" spans="2:6" x14ac:dyDescent="0.3">
      <c r="B904" t="s">
        <v>18</v>
      </c>
      <c r="D904">
        <v>1</v>
      </c>
      <c r="E904">
        <v>0</v>
      </c>
      <c r="F904">
        <v>1</v>
      </c>
    </row>
    <row r="905" spans="2:6" x14ac:dyDescent="0.3">
      <c r="B905" t="s">
        <v>11</v>
      </c>
      <c r="D905">
        <v>0</v>
      </c>
      <c r="E905">
        <v>0</v>
      </c>
      <c r="F905">
        <v>1</v>
      </c>
    </row>
    <row r="906" spans="2:6" x14ac:dyDescent="0.3">
      <c r="B906" t="s">
        <v>18</v>
      </c>
      <c r="D906">
        <v>1</v>
      </c>
      <c r="E906">
        <v>0</v>
      </c>
      <c r="F906">
        <v>1</v>
      </c>
    </row>
    <row r="907" spans="2:6" x14ac:dyDescent="0.3">
      <c r="B907" t="s">
        <v>11</v>
      </c>
      <c r="D907">
        <v>0</v>
      </c>
      <c r="E907">
        <v>0</v>
      </c>
      <c r="F907">
        <v>1</v>
      </c>
    </row>
    <row r="908" spans="2:6" x14ac:dyDescent="0.3">
      <c r="B908" t="s">
        <v>11</v>
      </c>
      <c r="D908">
        <v>0</v>
      </c>
      <c r="E908">
        <v>0</v>
      </c>
      <c r="F908">
        <v>1</v>
      </c>
    </row>
    <row r="909" spans="2:6" x14ac:dyDescent="0.3">
      <c r="B909" t="s">
        <v>18</v>
      </c>
      <c r="D909">
        <v>1</v>
      </c>
      <c r="E909">
        <v>0</v>
      </c>
      <c r="F909">
        <v>1</v>
      </c>
    </row>
    <row r="910" spans="2:6" x14ac:dyDescent="0.3">
      <c r="B910" t="s">
        <v>11</v>
      </c>
      <c r="D910">
        <v>0</v>
      </c>
      <c r="E910">
        <v>0</v>
      </c>
      <c r="F910">
        <v>1</v>
      </c>
    </row>
    <row r="911" spans="2:6" x14ac:dyDescent="0.3">
      <c r="B911" t="s">
        <v>11</v>
      </c>
      <c r="D911">
        <v>0</v>
      </c>
      <c r="E911">
        <v>0</v>
      </c>
      <c r="F911">
        <v>1</v>
      </c>
    </row>
    <row r="912" spans="2:6" x14ac:dyDescent="0.3">
      <c r="B912" t="s">
        <v>11</v>
      </c>
      <c r="D912">
        <v>0</v>
      </c>
      <c r="E912">
        <v>0</v>
      </c>
      <c r="F912">
        <v>1</v>
      </c>
    </row>
    <row r="913" spans="2:6" x14ac:dyDescent="0.3">
      <c r="B913" t="s">
        <v>11</v>
      </c>
      <c r="D913">
        <v>0</v>
      </c>
      <c r="E913">
        <v>0</v>
      </c>
      <c r="F913">
        <v>1</v>
      </c>
    </row>
    <row r="914" spans="2:6" x14ac:dyDescent="0.3">
      <c r="B914" t="s">
        <v>11</v>
      </c>
      <c r="D914">
        <v>0</v>
      </c>
      <c r="E914">
        <v>0</v>
      </c>
      <c r="F914">
        <v>1</v>
      </c>
    </row>
    <row r="915" spans="2:6" x14ac:dyDescent="0.3">
      <c r="B915" t="s">
        <v>18</v>
      </c>
      <c r="D915">
        <v>1</v>
      </c>
      <c r="E915">
        <v>0</v>
      </c>
      <c r="F915">
        <v>1</v>
      </c>
    </row>
    <row r="916" spans="2:6" x14ac:dyDescent="0.3">
      <c r="B916" t="s">
        <v>11</v>
      </c>
      <c r="D916">
        <v>0</v>
      </c>
      <c r="E916">
        <v>0</v>
      </c>
      <c r="F916">
        <v>1</v>
      </c>
    </row>
    <row r="917" spans="2:6" x14ac:dyDescent="0.3">
      <c r="B917" t="s">
        <v>18</v>
      </c>
      <c r="D917">
        <v>1</v>
      </c>
      <c r="E917">
        <v>0</v>
      </c>
      <c r="F917">
        <v>1</v>
      </c>
    </row>
    <row r="918" spans="2:6" x14ac:dyDescent="0.3">
      <c r="B918" t="s">
        <v>18</v>
      </c>
      <c r="D918">
        <v>1</v>
      </c>
      <c r="E918">
        <v>0</v>
      </c>
      <c r="F918">
        <v>1</v>
      </c>
    </row>
    <row r="919" spans="2:6" x14ac:dyDescent="0.3">
      <c r="B919" t="s">
        <v>11</v>
      </c>
      <c r="D919">
        <v>0</v>
      </c>
      <c r="E919">
        <v>0</v>
      </c>
      <c r="F919">
        <v>1</v>
      </c>
    </row>
    <row r="920" spans="2:6" x14ac:dyDescent="0.3">
      <c r="B920" t="s">
        <v>11</v>
      </c>
      <c r="D920">
        <v>0</v>
      </c>
      <c r="E920">
        <v>0</v>
      </c>
      <c r="F920">
        <v>1</v>
      </c>
    </row>
    <row r="921" spans="2:6" x14ac:dyDescent="0.3">
      <c r="B921" t="s">
        <v>18</v>
      </c>
      <c r="D921">
        <v>1</v>
      </c>
      <c r="E921">
        <v>0</v>
      </c>
      <c r="F921">
        <v>1</v>
      </c>
    </row>
    <row r="922" spans="2:6" x14ac:dyDescent="0.3">
      <c r="B922" t="s">
        <v>18</v>
      </c>
      <c r="D922">
        <v>1</v>
      </c>
      <c r="E922">
        <v>0</v>
      </c>
      <c r="F922">
        <v>1</v>
      </c>
    </row>
    <row r="923" spans="2:6" x14ac:dyDescent="0.3">
      <c r="B923" t="s">
        <v>11</v>
      </c>
      <c r="D923">
        <v>0</v>
      </c>
      <c r="E923">
        <v>0</v>
      </c>
      <c r="F923">
        <v>1</v>
      </c>
    </row>
    <row r="924" spans="2:6" x14ac:dyDescent="0.3">
      <c r="B924" t="s">
        <v>11</v>
      </c>
      <c r="D924">
        <v>0</v>
      </c>
      <c r="E924">
        <v>0</v>
      </c>
      <c r="F924">
        <v>1</v>
      </c>
    </row>
    <row r="925" spans="2:6" x14ac:dyDescent="0.3">
      <c r="B925" t="s">
        <v>11</v>
      </c>
      <c r="D925">
        <v>0</v>
      </c>
      <c r="E925">
        <v>0</v>
      </c>
      <c r="F925">
        <v>1</v>
      </c>
    </row>
    <row r="926" spans="2:6" x14ac:dyDescent="0.3">
      <c r="B926" t="s">
        <v>18</v>
      </c>
      <c r="D926">
        <v>1</v>
      </c>
      <c r="E926">
        <v>0</v>
      </c>
      <c r="F926">
        <v>1</v>
      </c>
    </row>
    <row r="927" spans="2:6" x14ac:dyDescent="0.3">
      <c r="B927" t="s">
        <v>11</v>
      </c>
      <c r="D927">
        <v>0</v>
      </c>
      <c r="E927">
        <v>0</v>
      </c>
      <c r="F927">
        <v>1</v>
      </c>
    </row>
    <row r="928" spans="2:6" x14ac:dyDescent="0.3">
      <c r="B928" t="s">
        <v>11</v>
      </c>
      <c r="D928">
        <v>0</v>
      </c>
      <c r="E928">
        <v>0</v>
      </c>
      <c r="F928">
        <v>1</v>
      </c>
    </row>
    <row r="929" spans="2:6" x14ac:dyDescent="0.3">
      <c r="B929" t="s">
        <v>11</v>
      </c>
      <c r="D929">
        <v>0</v>
      </c>
      <c r="E929">
        <v>0</v>
      </c>
      <c r="F929">
        <v>1</v>
      </c>
    </row>
    <row r="930" spans="2:6" x14ac:dyDescent="0.3">
      <c r="B930" t="s">
        <v>11</v>
      </c>
      <c r="D930">
        <v>0</v>
      </c>
      <c r="E930">
        <v>0</v>
      </c>
      <c r="F930">
        <v>1</v>
      </c>
    </row>
    <row r="931" spans="2:6" x14ac:dyDescent="0.3">
      <c r="B931" t="s">
        <v>18</v>
      </c>
      <c r="D931">
        <v>1</v>
      </c>
      <c r="E931">
        <v>0</v>
      </c>
      <c r="F931">
        <v>1</v>
      </c>
    </row>
    <row r="932" spans="2:6" x14ac:dyDescent="0.3">
      <c r="B932" t="s">
        <v>18</v>
      </c>
      <c r="D932">
        <v>1</v>
      </c>
      <c r="E932">
        <v>0</v>
      </c>
      <c r="F932">
        <v>1</v>
      </c>
    </row>
    <row r="933" spans="2:6" x14ac:dyDescent="0.3">
      <c r="B933" t="s">
        <v>18</v>
      </c>
      <c r="D933">
        <v>1</v>
      </c>
      <c r="E933">
        <v>0</v>
      </c>
      <c r="F933">
        <v>1</v>
      </c>
    </row>
    <row r="934" spans="2:6" x14ac:dyDescent="0.3">
      <c r="B934" t="s">
        <v>18</v>
      </c>
      <c r="D934">
        <v>1</v>
      </c>
      <c r="E934">
        <v>0</v>
      </c>
      <c r="F934">
        <v>1</v>
      </c>
    </row>
    <row r="935" spans="2:6" x14ac:dyDescent="0.3">
      <c r="B935" t="s">
        <v>11</v>
      </c>
      <c r="D935">
        <v>0</v>
      </c>
      <c r="E935">
        <v>0</v>
      </c>
      <c r="F935">
        <v>1</v>
      </c>
    </row>
    <row r="936" spans="2:6" x14ac:dyDescent="0.3">
      <c r="B936" t="s">
        <v>11</v>
      </c>
      <c r="D936">
        <v>0</v>
      </c>
      <c r="E936">
        <v>0</v>
      </c>
      <c r="F936">
        <v>1</v>
      </c>
    </row>
    <row r="937" spans="2:6" x14ac:dyDescent="0.3">
      <c r="B937" t="s">
        <v>11</v>
      </c>
      <c r="D937">
        <v>0</v>
      </c>
      <c r="E937">
        <v>0</v>
      </c>
      <c r="F937">
        <v>1</v>
      </c>
    </row>
    <row r="938" spans="2:6" x14ac:dyDescent="0.3">
      <c r="B938" t="s">
        <v>18</v>
      </c>
      <c r="D938">
        <v>1</v>
      </c>
      <c r="E938">
        <v>0</v>
      </c>
      <c r="F938">
        <v>1</v>
      </c>
    </row>
    <row r="939" spans="2:6" x14ac:dyDescent="0.3">
      <c r="B939" t="s">
        <v>18</v>
      </c>
      <c r="D939">
        <v>1</v>
      </c>
      <c r="E939">
        <v>0</v>
      </c>
      <c r="F939">
        <v>1</v>
      </c>
    </row>
    <row r="940" spans="2:6" x14ac:dyDescent="0.3">
      <c r="B940" t="s">
        <v>18</v>
      </c>
      <c r="D940">
        <v>1</v>
      </c>
      <c r="E940">
        <v>0</v>
      </c>
      <c r="F940">
        <v>1</v>
      </c>
    </row>
    <row r="941" spans="2:6" x14ac:dyDescent="0.3">
      <c r="B941" t="s">
        <v>18</v>
      </c>
      <c r="D941">
        <v>1</v>
      </c>
      <c r="E941">
        <v>0</v>
      </c>
      <c r="F941">
        <v>1</v>
      </c>
    </row>
    <row r="942" spans="2:6" x14ac:dyDescent="0.3">
      <c r="B942" t="s">
        <v>11</v>
      </c>
      <c r="D942">
        <v>0</v>
      </c>
      <c r="E942">
        <v>0</v>
      </c>
      <c r="F942">
        <v>1</v>
      </c>
    </row>
    <row r="943" spans="2:6" x14ac:dyDescent="0.3">
      <c r="B943" t="s">
        <v>18</v>
      </c>
      <c r="D943">
        <v>1</v>
      </c>
      <c r="E943">
        <v>0</v>
      </c>
      <c r="F943">
        <v>1</v>
      </c>
    </row>
    <row r="944" spans="2:6" x14ac:dyDescent="0.3">
      <c r="B944" t="s">
        <v>11</v>
      </c>
      <c r="D944">
        <v>0</v>
      </c>
      <c r="E944">
        <v>0</v>
      </c>
      <c r="F944">
        <v>1</v>
      </c>
    </row>
    <row r="945" spans="2:6" x14ac:dyDescent="0.3">
      <c r="B945" t="s">
        <v>18</v>
      </c>
      <c r="D945">
        <v>1</v>
      </c>
      <c r="E945">
        <v>0</v>
      </c>
      <c r="F945">
        <v>1</v>
      </c>
    </row>
    <row r="946" spans="2:6" x14ac:dyDescent="0.3">
      <c r="B946" t="s">
        <v>18</v>
      </c>
      <c r="D946">
        <v>1</v>
      </c>
      <c r="E946">
        <v>0</v>
      </c>
      <c r="F946">
        <v>1</v>
      </c>
    </row>
    <row r="947" spans="2:6" x14ac:dyDescent="0.3">
      <c r="B947" t="s">
        <v>11</v>
      </c>
      <c r="D947">
        <v>0</v>
      </c>
      <c r="E947">
        <v>0</v>
      </c>
      <c r="F947">
        <v>1</v>
      </c>
    </row>
    <row r="948" spans="2:6" x14ac:dyDescent="0.3">
      <c r="B948" t="s">
        <v>18</v>
      </c>
      <c r="D948">
        <v>1</v>
      </c>
      <c r="E948">
        <v>0</v>
      </c>
      <c r="F948">
        <v>1</v>
      </c>
    </row>
    <row r="949" spans="2:6" x14ac:dyDescent="0.3">
      <c r="B949" t="s">
        <v>18</v>
      </c>
      <c r="D949">
        <v>1</v>
      </c>
      <c r="E949">
        <v>0</v>
      </c>
      <c r="F949">
        <v>1</v>
      </c>
    </row>
    <row r="950" spans="2:6" x14ac:dyDescent="0.3">
      <c r="B950" t="s">
        <v>18</v>
      </c>
      <c r="D950">
        <v>1</v>
      </c>
      <c r="E950">
        <v>0</v>
      </c>
      <c r="F950">
        <v>1</v>
      </c>
    </row>
    <row r="951" spans="2:6" x14ac:dyDescent="0.3">
      <c r="B951" t="s">
        <v>18</v>
      </c>
      <c r="D951">
        <v>1</v>
      </c>
      <c r="E951">
        <v>0</v>
      </c>
      <c r="F951">
        <v>1</v>
      </c>
    </row>
    <row r="952" spans="2:6" x14ac:dyDescent="0.3">
      <c r="B952" t="s">
        <v>18</v>
      </c>
      <c r="D952">
        <v>1</v>
      </c>
      <c r="E952">
        <v>0</v>
      </c>
      <c r="F952">
        <v>1</v>
      </c>
    </row>
    <row r="953" spans="2:6" x14ac:dyDescent="0.3">
      <c r="B953" t="s">
        <v>11</v>
      </c>
      <c r="D953">
        <v>0</v>
      </c>
      <c r="E953">
        <v>0</v>
      </c>
      <c r="F953">
        <v>1</v>
      </c>
    </row>
    <row r="954" spans="2:6" x14ac:dyDescent="0.3">
      <c r="B954" t="s">
        <v>18</v>
      </c>
      <c r="D954">
        <v>1</v>
      </c>
      <c r="E954">
        <v>0</v>
      </c>
      <c r="F954">
        <v>1</v>
      </c>
    </row>
    <row r="955" spans="2:6" x14ac:dyDescent="0.3">
      <c r="B955" t="s">
        <v>18</v>
      </c>
      <c r="D955">
        <v>1</v>
      </c>
      <c r="E955">
        <v>0</v>
      </c>
      <c r="F955">
        <v>1</v>
      </c>
    </row>
    <row r="956" spans="2:6" x14ac:dyDescent="0.3">
      <c r="B956" t="s">
        <v>18</v>
      </c>
      <c r="D956">
        <v>1</v>
      </c>
      <c r="E956">
        <v>0</v>
      </c>
      <c r="F956">
        <v>1</v>
      </c>
    </row>
    <row r="957" spans="2:6" x14ac:dyDescent="0.3">
      <c r="B957" t="s">
        <v>18</v>
      </c>
      <c r="D957">
        <v>1</v>
      </c>
      <c r="E957">
        <v>0</v>
      </c>
      <c r="F957">
        <v>1</v>
      </c>
    </row>
    <row r="958" spans="2:6" x14ac:dyDescent="0.3">
      <c r="B958" t="s">
        <v>18</v>
      </c>
      <c r="D958">
        <v>1</v>
      </c>
      <c r="E958">
        <v>0</v>
      </c>
      <c r="F958">
        <v>1</v>
      </c>
    </row>
    <row r="959" spans="2:6" x14ac:dyDescent="0.3">
      <c r="B959" t="s">
        <v>18</v>
      </c>
      <c r="D959">
        <v>1</v>
      </c>
      <c r="E959">
        <v>0</v>
      </c>
      <c r="F959">
        <v>1</v>
      </c>
    </row>
    <row r="960" spans="2:6" x14ac:dyDescent="0.3">
      <c r="B960" t="s">
        <v>18</v>
      </c>
      <c r="D960">
        <v>1</v>
      </c>
      <c r="E960">
        <v>0</v>
      </c>
      <c r="F960">
        <v>1</v>
      </c>
    </row>
    <row r="961" spans="2:6" x14ac:dyDescent="0.3">
      <c r="B961" t="s">
        <v>12</v>
      </c>
      <c r="D961">
        <v>3</v>
      </c>
      <c r="E961">
        <v>1</v>
      </c>
      <c r="F961">
        <v>1</v>
      </c>
    </row>
    <row r="962" spans="2:6" x14ac:dyDescent="0.3">
      <c r="B962" t="s">
        <v>13</v>
      </c>
      <c r="D962">
        <v>5</v>
      </c>
      <c r="E962">
        <v>3</v>
      </c>
      <c r="F962">
        <v>1</v>
      </c>
    </row>
    <row r="963" spans="2:6" x14ac:dyDescent="0.3">
      <c r="B963" t="s">
        <v>685</v>
      </c>
      <c r="D963">
        <v>11</v>
      </c>
      <c r="E963">
        <v>8</v>
      </c>
      <c r="F963">
        <v>1</v>
      </c>
    </row>
    <row r="964" spans="2:6" x14ac:dyDescent="0.3">
      <c r="B964" t="s">
        <v>481</v>
      </c>
      <c r="D964">
        <v>11</v>
      </c>
      <c r="E964">
        <v>13</v>
      </c>
      <c r="F964">
        <v>1</v>
      </c>
    </row>
    <row r="965" spans="2:6" x14ac:dyDescent="0.3">
      <c r="B965" t="s">
        <v>686</v>
      </c>
      <c r="D965">
        <v>21</v>
      </c>
      <c r="E965">
        <v>21</v>
      </c>
      <c r="F965">
        <v>1</v>
      </c>
    </row>
    <row r="966" spans="2:6" x14ac:dyDescent="0.3">
      <c r="B966" t="s">
        <v>687</v>
      </c>
      <c r="D966">
        <v>38</v>
      </c>
      <c r="E966">
        <v>42</v>
      </c>
      <c r="F966">
        <v>1</v>
      </c>
    </row>
    <row r="967" spans="2:6" x14ac:dyDescent="0.3">
      <c r="B967" t="s">
        <v>688</v>
      </c>
      <c r="D967">
        <v>66</v>
      </c>
      <c r="E967">
        <v>73</v>
      </c>
      <c r="F967">
        <v>1</v>
      </c>
    </row>
    <row r="968" spans="2:6" x14ac:dyDescent="0.3">
      <c r="B968" t="s">
        <v>689</v>
      </c>
      <c r="D968">
        <v>80</v>
      </c>
      <c r="E968">
        <v>94</v>
      </c>
      <c r="F968">
        <v>1</v>
      </c>
    </row>
    <row r="969" spans="2:6" x14ac:dyDescent="0.3">
      <c r="B969" t="s">
        <v>690</v>
      </c>
      <c r="D969">
        <v>81</v>
      </c>
      <c r="E969">
        <v>93</v>
      </c>
      <c r="F969">
        <v>1</v>
      </c>
    </row>
    <row r="970" spans="2:6" x14ac:dyDescent="0.3">
      <c r="B970" t="s">
        <v>691</v>
      </c>
      <c r="D970">
        <v>88</v>
      </c>
      <c r="E970">
        <v>194</v>
      </c>
      <c r="F970">
        <v>1</v>
      </c>
    </row>
    <row r="971" spans="2:6" x14ac:dyDescent="0.3">
      <c r="B971" t="s">
        <v>692</v>
      </c>
      <c r="D971">
        <v>98</v>
      </c>
      <c r="E971">
        <v>242</v>
      </c>
      <c r="F971">
        <v>1</v>
      </c>
    </row>
    <row r="972" spans="2:6" x14ac:dyDescent="0.3">
      <c r="B972" t="s">
        <v>693</v>
      </c>
      <c r="D972">
        <v>93</v>
      </c>
      <c r="E972">
        <v>179</v>
      </c>
      <c r="F972">
        <v>1</v>
      </c>
    </row>
    <row r="973" spans="2:6" x14ac:dyDescent="0.3">
      <c r="B973" t="s">
        <v>694</v>
      </c>
      <c r="D973">
        <v>94</v>
      </c>
      <c r="E973">
        <v>181</v>
      </c>
      <c r="F973">
        <v>1</v>
      </c>
    </row>
    <row r="974" spans="2:6" x14ac:dyDescent="0.3">
      <c r="B974" t="s">
        <v>695</v>
      </c>
      <c r="D974">
        <v>98</v>
      </c>
      <c r="E974">
        <v>204</v>
      </c>
      <c r="F974">
        <v>1</v>
      </c>
    </row>
    <row r="975" spans="2:6" x14ac:dyDescent="0.3">
      <c r="B975" t="s">
        <v>696</v>
      </c>
      <c r="D975">
        <v>107</v>
      </c>
      <c r="E975">
        <v>374</v>
      </c>
      <c r="F975">
        <v>1</v>
      </c>
    </row>
    <row r="976" spans="2:6" x14ac:dyDescent="0.3">
      <c r="B976" t="s">
        <v>697</v>
      </c>
      <c r="D976">
        <v>108</v>
      </c>
      <c r="E976">
        <v>480</v>
      </c>
      <c r="F976">
        <v>1</v>
      </c>
    </row>
    <row r="977" spans="2:6" x14ac:dyDescent="0.3">
      <c r="B977" t="s">
        <v>698</v>
      </c>
      <c r="D977">
        <v>108</v>
      </c>
      <c r="E977">
        <v>392</v>
      </c>
      <c r="F977">
        <v>1</v>
      </c>
    </row>
    <row r="978" spans="2:6" x14ac:dyDescent="0.3">
      <c r="B978" t="s">
        <v>699</v>
      </c>
      <c r="D978">
        <v>108</v>
      </c>
      <c r="E978">
        <v>858</v>
      </c>
      <c r="F978">
        <v>1</v>
      </c>
    </row>
    <row r="979" spans="2:6" x14ac:dyDescent="0.3">
      <c r="B979" t="s">
        <v>700</v>
      </c>
      <c r="D979">
        <v>122</v>
      </c>
      <c r="E979">
        <v>1095</v>
      </c>
      <c r="F979">
        <v>1</v>
      </c>
    </row>
    <row r="980" spans="2:6" x14ac:dyDescent="0.3">
      <c r="B980" t="s">
        <v>701</v>
      </c>
      <c r="D980">
        <v>114</v>
      </c>
      <c r="E980">
        <v>554</v>
      </c>
      <c r="F980">
        <v>1</v>
      </c>
    </row>
    <row r="981" spans="2:6" x14ac:dyDescent="0.3">
      <c r="B981" t="s">
        <v>702</v>
      </c>
      <c r="D981">
        <v>114</v>
      </c>
      <c r="E981">
        <v>719</v>
      </c>
      <c r="F981">
        <v>1</v>
      </c>
    </row>
    <row r="982" spans="2:6" x14ac:dyDescent="0.3">
      <c r="B982" t="s">
        <v>703</v>
      </c>
      <c r="D982">
        <v>119</v>
      </c>
      <c r="E982">
        <v>823</v>
      </c>
      <c r="F982">
        <v>1</v>
      </c>
    </row>
    <row r="983" spans="2:6" x14ac:dyDescent="0.3">
      <c r="B983" t="s">
        <v>704</v>
      </c>
      <c r="D983">
        <v>113</v>
      </c>
      <c r="E983">
        <v>572</v>
      </c>
      <c r="F983">
        <v>1</v>
      </c>
    </row>
    <row r="984" spans="2:6" x14ac:dyDescent="0.3">
      <c r="B984" t="s">
        <v>705</v>
      </c>
      <c r="D984">
        <v>117</v>
      </c>
      <c r="E984">
        <v>672</v>
      </c>
      <c r="F984">
        <v>1</v>
      </c>
    </row>
    <row r="985" spans="2:6" x14ac:dyDescent="0.3">
      <c r="B985" t="s">
        <v>706</v>
      </c>
      <c r="D985">
        <v>120</v>
      </c>
      <c r="E985">
        <v>938</v>
      </c>
      <c r="F985">
        <v>1</v>
      </c>
    </row>
    <row r="986" spans="2:6" x14ac:dyDescent="0.3">
      <c r="B986" t="s">
        <v>707</v>
      </c>
      <c r="D986">
        <v>121</v>
      </c>
      <c r="E986">
        <v>985</v>
      </c>
      <c r="F986">
        <v>1</v>
      </c>
    </row>
    <row r="987" spans="2:6" x14ac:dyDescent="0.3">
      <c r="B987" t="s">
        <v>708</v>
      </c>
      <c r="D987">
        <v>126</v>
      </c>
      <c r="E987">
        <v>1207</v>
      </c>
      <c r="F987">
        <v>1</v>
      </c>
    </row>
    <row r="988" spans="2:6" x14ac:dyDescent="0.3">
      <c r="B988" t="s">
        <v>709</v>
      </c>
      <c r="D988">
        <v>129</v>
      </c>
      <c r="E988">
        <v>1614</v>
      </c>
      <c r="F988">
        <v>1</v>
      </c>
    </row>
    <row r="989" spans="2:6" x14ac:dyDescent="0.3">
      <c r="B989" t="s">
        <v>710</v>
      </c>
      <c r="D989">
        <v>130</v>
      </c>
      <c r="E989">
        <v>1770</v>
      </c>
      <c r="F989">
        <v>1</v>
      </c>
    </row>
    <row r="990" spans="2:6" x14ac:dyDescent="0.3">
      <c r="B990" t="s">
        <v>711</v>
      </c>
      <c r="D990">
        <v>135</v>
      </c>
      <c r="E990">
        <v>2091</v>
      </c>
      <c r="F990">
        <v>1</v>
      </c>
    </row>
    <row r="991" spans="2:6" x14ac:dyDescent="0.3">
      <c r="B991" t="s">
        <v>712</v>
      </c>
      <c r="D991">
        <v>134</v>
      </c>
      <c r="E991">
        <v>2207</v>
      </c>
      <c r="F991">
        <v>1</v>
      </c>
    </row>
    <row r="992" spans="2:6" x14ac:dyDescent="0.3">
      <c r="B992" t="s">
        <v>713</v>
      </c>
      <c r="D992">
        <v>138</v>
      </c>
      <c r="E992">
        <v>2324</v>
      </c>
      <c r="F992">
        <v>1</v>
      </c>
    </row>
    <row r="993" spans="2:6" x14ac:dyDescent="0.3">
      <c r="B993" t="s">
        <v>714</v>
      </c>
      <c r="D993">
        <v>139</v>
      </c>
      <c r="E993">
        <v>2774</v>
      </c>
      <c r="F993">
        <v>1</v>
      </c>
    </row>
    <row r="994" spans="2:6" x14ac:dyDescent="0.3">
      <c r="B994" t="s">
        <v>715</v>
      </c>
      <c r="D994">
        <v>140</v>
      </c>
      <c r="E994">
        <v>2964</v>
      </c>
      <c r="F994">
        <v>1</v>
      </c>
    </row>
    <row r="995" spans="2:6" x14ac:dyDescent="0.3">
      <c r="B995" t="s">
        <v>716</v>
      </c>
      <c r="D995">
        <v>139</v>
      </c>
      <c r="E995">
        <v>2923</v>
      </c>
      <c r="F995">
        <v>1</v>
      </c>
    </row>
    <row r="996" spans="2:6" x14ac:dyDescent="0.3">
      <c r="B996" t="s">
        <v>717</v>
      </c>
      <c r="D996">
        <v>141</v>
      </c>
      <c r="E996">
        <v>3294</v>
      </c>
      <c r="F996">
        <v>1</v>
      </c>
    </row>
    <row r="997" spans="2:6" x14ac:dyDescent="0.3">
      <c r="B997" t="s">
        <v>718</v>
      </c>
      <c r="D997">
        <v>140</v>
      </c>
      <c r="E997">
        <v>3589</v>
      </c>
      <c r="F997">
        <v>1</v>
      </c>
    </row>
    <row r="998" spans="2:6" x14ac:dyDescent="0.3">
      <c r="B998" t="s">
        <v>719</v>
      </c>
      <c r="D998">
        <v>144</v>
      </c>
      <c r="E998">
        <v>3479</v>
      </c>
      <c r="F998">
        <v>1</v>
      </c>
    </row>
    <row r="999" spans="2:6" x14ac:dyDescent="0.3">
      <c r="B999" t="s">
        <v>720</v>
      </c>
      <c r="D999">
        <v>146</v>
      </c>
      <c r="E999">
        <v>3932</v>
      </c>
      <c r="F999">
        <v>1</v>
      </c>
    </row>
    <row r="1000" spans="2:6" x14ac:dyDescent="0.3">
      <c r="B1000" t="s">
        <v>721</v>
      </c>
      <c r="D1000">
        <v>148</v>
      </c>
      <c r="E1000">
        <v>4372</v>
      </c>
      <c r="F1000">
        <v>1</v>
      </c>
    </row>
    <row r="1001" spans="2:6" x14ac:dyDescent="0.3">
      <c r="B1001" t="s">
        <v>722</v>
      </c>
      <c r="D1001">
        <v>150</v>
      </c>
      <c r="E1001">
        <v>6278</v>
      </c>
      <c r="F1001">
        <v>1</v>
      </c>
    </row>
    <row r="1002" spans="2:6" x14ac:dyDescent="0.3">
      <c r="B1002" t="s">
        <v>723</v>
      </c>
      <c r="D1002">
        <v>153</v>
      </c>
      <c r="E1002">
        <v>6278</v>
      </c>
      <c r="F1002">
        <v>1</v>
      </c>
    </row>
    <row r="1003" spans="2:6" x14ac:dyDescent="0.3">
      <c r="B1003" t="s">
        <v>724</v>
      </c>
      <c r="D1003">
        <v>158</v>
      </c>
      <c r="E1003">
        <v>7434</v>
      </c>
      <c r="F1003">
        <v>1</v>
      </c>
    </row>
    <row r="1004" spans="2:6" x14ac:dyDescent="0.3">
      <c r="B1004" t="s">
        <v>725</v>
      </c>
      <c r="D1004">
        <v>161</v>
      </c>
      <c r="E1004">
        <v>9904</v>
      </c>
      <c r="F1004">
        <v>1</v>
      </c>
    </row>
    <row r="1005" spans="2:6" x14ac:dyDescent="0.3">
      <c r="B1005" t="s">
        <v>726</v>
      </c>
      <c r="D1005">
        <v>161</v>
      </c>
      <c r="E1005">
        <v>9484</v>
      </c>
      <c r="F1005">
        <v>1</v>
      </c>
    </row>
    <row r="1006" spans="2:6" x14ac:dyDescent="0.3">
      <c r="B1006" t="s">
        <v>727</v>
      </c>
      <c r="D1006">
        <v>161</v>
      </c>
      <c r="E1006">
        <v>9640</v>
      </c>
      <c r="F1006">
        <v>1</v>
      </c>
    </row>
    <row r="1007" spans="2:6" x14ac:dyDescent="0.3">
      <c r="B1007" t="s">
        <v>728</v>
      </c>
      <c r="D1007">
        <v>161</v>
      </c>
      <c r="E1007">
        <v>9084</v>
      </c>
      <c r="F1007">
        <v>1</v>
      </c>
    </row>
    <row r="1008" spans="2:6" x14ac:dyDescent="0.3">
      <c r="B1008" t="s">
        <v>729</v>
      </c>
      <c r="D1008">
        <v>162</v>
      </c>
      <c r="E1008">
        <v>10252</v>
      </c>
      <c r="F1008">
        <v>1</v>
      </c>
    </row>
    <row r="1009" spans="2:6" x14ac:dyDescent="0.3">
      <c r="B1009" t="s">
        <v>730</v>
      </c>
      <c r="D1009">
        <v>163</v>
      </c>
      <c r="E1009">
        <v>10968</v>
      </c>
      <c r="F1009">
        <v>1</v>
      </c>
    </row>
    <row r="1010" spans="2:6" x14ac:dyDescent="0.3">
      <c r="B1010" t="s">
        <v>731</v>
      </c>
      <c r="D1010">
        <v>159</v>
      </c>
      <c r="E1010">
        <v>8612</v>
      </c>
      <c r="F1010">
        <v>1</v>
      </c>
    </row>
    <row r="1011" spans="2:6" x14ac:dyDescent="0.3">
      <c r="B1011" t="s">
        <v>732</v>
      </c>
      <c r="D1011">
        <v>161</v>
      </c>
      <c r="E1011">
        <v>9832</v>
      </c>
      <c r="F1011">
        <v>1</v>
      </c>
    </row>
    <row r="1012" spans="2:6" x14ac:dyDescent="0.3">
      <c r="B1012" t="s">
        <v>733</v>
      </c>
      <c r="D1012">
        <v>160</v>
      </c>
      <c r="E1012">
        <v>9624</v>
      </c>
      <c r="F1012">
        <v>1</v>
      </c>
    </row>
    <row r="1013" spans="2:6" x14ac:dyDescent="0.3">
      <c r="B1013" t="s">
        <v>734</v>
      </c>
      <c r="D1013">
        <v>163</v>
      </c>
      <c r="E1013">
        <v>9624</v>
      </c>
      <c r="F1013">
        <v>1</v>
      </c>
    </row>
    <row r="1014" spans="2:6" x14ac:dyDescent="0.3">
      <c r="B1014" t="s">
        <v>735</v>
      </c>
      <c r="D1014">
        <v>163</v>
      </c>
      <c r="E1014">
        <v>11052</v>
      </c>
      <c r="F1014">
        <v>1</v>
      </c>
    </row>
    <row r="1015" spans="2:6" x14ac:dyDescent="0.3">
      <c r="B1015" t="s">
        <v>736</v>
      </c>
      <c r="D1015">
        <v>164</v>
      </c>
      <c r="E1015">
        <v>12156</v>
      </c>
      <c r="F1015">
        <v>1</v>
      </c>
    </row>
    <row r="1016" spans="2:6" x14ac:dyDescent="0.3">
      <c r="B1016" t="s">
        <v>737</v>
      </c>
      <c r="D1016">
        <v>165</v>
      </c>
      <c r="E1016">
        <v>11152</v>
      </c>
      <c r="F1016">
        <v>1</v>
      </c>
    </row>
    <row r="1017" spans="2:6" x14ac:dyDescent="0.3">
      <c r="B1017" t="s">
        <v>738</v>
      </c>
      <c r="D1017">
        <v>167</v>
      </c>
      <c r="E1017">
        <v>14160</v>
      </c>
      <c r="F1017">
        <v>1</v>
      </c>
    </row>
    <row r="1018" spans="2:6" x14ac:dyDescent="0.3">
      <c r="B1018" t="s">
        <v>739</v>
      </c>
      <c r="D1018">
        <v>168</v>
      </c>
      <c r="E1018">
        <v>13076</v>
      </c>
      <c r="F1018">
        <v>1</v>
      </c>
    </row>
    <row r="1019" spans="2:6" x14ac:dyDescent="0.3">
      <c r="B1019" t="s">
        <v>740</v>
      </c>
      <c r="D1019">
        <v>165</v>
      </c>
      <c r="E1019">
        <v>12476</v>
      </c>
      <c r="F1019">
        <v>1</v>
      </c>
    </row>
    <row r="1020" spans="2:6" x14ac:dyDescent="0.3">
      <c r="B1020" t="s">
        <v>741</v>
      </c>
      <c r="D1020">
        <v>166</v>
      </c>
      <c r="E1020">
        <v>12408</v>
      </c>
      <c r="F1020">
        <v>1</v>
      </c>
    </row>
    <row r="1021" spans="2:6" x14ac:dyDescent="0.3">
      <c r="B1021" t="s">
        <v>742</v>
      </c>
      <c r="D1021">
        <v>164</v>
      </c>
      <c r="E1021">
        <v>12292</v>
      </c>
      <c r="F1021">
        <v>1</v>
      </c>
    </row>
    <row r="1022" spans="2:6" x14ac:dyDescent="0.3">
      <c r="B1022" t="s">
        <v>743</v>
      </c>
      <c r="D1022">
        <v>162</v>
      </c>
      <c r="E1022">
        <v>10460</v>
      </c>
      <c r="F1022">
        <v>1</v>
      </c>
    </row>
    <row r="1023" spans="2:6" x14ac:dyDescent="0.3">
      <c r="B1023" t="s">
        <v>744</v>
      </c>
      <c r="D1023">
        <v>163</v>
      </c>
      <c r="E1023">
        <v>10468</v>
      </c>
      <c r="F1023">
        <v>1</v>
      </c>
    </row>
    <row r="1024" spans="2:6" x14ac:dyDescent="0.3">
      <c r="B1024" t="s">
        <v>745</v>
      </c>
      <c r="D1024">
        <v>162</v>
      </c>
      <c r="E1024">
        <v>9932</v>
      </c>
      <c r="F1024">
        <v>1</v>
      </c>
    </row>
    <row r="1025" spans="2:6" x14ac:dyDescent="0.3">
      <c r="B1025" t="s">
        <v>746</v>
      </c>
      <c r="D1025">
        <v>163</v>
      </c>
      <c r="E1025">
        <v>9792</v>
      </c>
      <c r="F1025">
        <v>1</v>
      </c>
    </row>
    <row r="1026" spans="2:6" x14ac:dyDescent="0.3">
      <c r="B1026" t="s">
        <v>747</v>
      </c>
      <c r="D1026">
        <v>167</v>
      </c>
      <c r="E1026">
        <v>12408</v>
      </c>
      <c r="F1026">
        <v>1</v>
      </c>
    </row>
    <row r="1027" spans="2:6" x14ac:dyDescent="0.3">
      <c r="B1027" t="s">
        <v>748</v>
      </c>
      <c r="D1027">
        <v>162</v>
      </c>
      <c r="E1027">
        <v>11124</v>
      </c>
      <c r="F1027">
        <v>1</v>
      </c>
    </row>
    <row r="1028" spans="2:6" x14ac:dyDescent="0.3">
      <c r="B1028" t="s">
        <v>749</v>
      </c>
      <c r="D1028">
        <v>167</v>
      </c>
      <c r="E1028">
        <v>11816</v>
      </c>
      <c r="F1028">
        <v>1</v>
      </c>
    </row>
    <row r="1029" spans="2:6" x14ac:dyDescent="0.3">
      <c r="B1029" t="s">
        <v>750</v>
      </c>
      <c r="D1029">
        <v>165</v>
      </c>
      <c r="E1029">
        <v>11164</v>
      </c>
      <c r="F1029">
        <v>1</v>
      </c>
    </row>
    <row r="1030" spans="2:6" x14ac:dyDescent="0.3">
      <c r="B1030" t="s">
        <v>751</v>
      </c>
      <c r="D1030">
        <v>164</v>
      </c>
      <c r="E1030">
        <v>11428</v>
      </c>
      <c r="F1030">
        <v>1</v>
      </c>
    </row>
    <row r="1031" spans="2:6" x14ac:dyDescent="0.3">
      <c r="B1031" t="s">
        <v>752</v>
      </c>
      <c r="D1031">
        <v>174</v>
      </c>
      <c r="E1031">
        <v>25680</v>
      </c>
      <c r="F1031">
        <v>1</v>
      </c>
    </row>
    <row r="1032" spans="2:6" x14ac:dyDescent="0.3">
      <c r="B1032" t="s">
        <v>753</v>
      </c>
      <c r="D1032">
        <v>178</v>
      </c>
      <c r="E1032">
        <v>25048</v>
      </c>
      <c r="F1032">
        <v>1</v>
      </c>
    </row>
    <row r="1033" spans="2:6" x14ac:dyDescent="0.3">
      <c r="B1033" t="s">
        <v>754</v>
      </c>
      <c r="D1033">
        <v>173</v>
      </c>
      <c r="E1033">
        <v>21088</v>
      </c>
      <c r="F1033">
        <v>1</v>
      </c>
    </row>
    <row r="1034" spans="2:6" x14ac:dyDescent="0.3">
      <c r="B1034" t="s">
        <v>755</v>
      </c>
      <c r="D1034">
        <v>173</v>
      </c>
      <c r="E1034">
        <v>16632</v>
      </c>
      <c r="F1034">
        <v>1</v>
      </c>
    </row>
    <row r="1035" spans="2:6" x14ac:dyDescent="0.3">
      <c r="B1035" t="s">
        <v>756</v>
      </c>
      <c r="D1035">
        <v>171</v>
      </c>
      <c r="E1035">
        <v>20008</v>
      </c>
      <c r="F1035">
        <v>1</v>
      </c>
    </row>
    <row r="1036" spans="2:6" x14ac:dyDescent="0.3">
      <c r="B1036" t="s">
        <v>757</v>
      </c>
      <c r="D1036">
        <v>161</v>
      </c>
      <c r="E1036">
        <v>11076</v>
      </c>
      <c r="F1036">
        <v>1</v>
      </c>
    </row>
    <row r="1037" spans="2:6" x14ac:dyDescent="0.3">
      <c r="B1037" t="s">
        <v>758</v>
      </c>
      <c r="D1037">
        <v>162</v>
      </c>
      <c r="E1037">
        <v>8684</v>
      </c>
      <c r="F1037">
        <v>1</v>
      </c>
    </row>
    <row r="1038" spans="2:6" x14ac:dyDescent="0.3">
      <c r="B1038" t="s">
        <v>759</v>
      </c>
      <c r="D1038">
        <v>165</v>
      </c>
      <c r="E1038">
        <v>10040</v>
      </c>
      <c r="F1038">
        <v>1</v>
      </c>
    </row>
    <row r="1039" spans="2:6" x14ac:dyDescent="0.3">
      <c r="B1039" t="s">
        <v>760</v>
      </c>
      <c r="D1039">
        <v>169</v>
      </c>
      <c r="E1039">
        <v>20152</v>
      </c>
      <c r="F1039">
        <v>1</v>
      </c>
    </row>
    <row r="1040" spans="2:6" x14ac:dyDescent="0.3">
      <c r="B1040" t="s">
        <v>761</v>
      </c>
      <c r="D1040">
        <v>167</v>
      </c>
      <c r="E1040">
        <v>14172</v>
      </c>
      <c r="F1040">
        <v>1</v>
      </c>
    </row>
    <row r="1041" spans="2:6" x14ac:dyDescent="0.3">
      <c r="B1041" t="s">
        <v>762</v>
      </c>
      <c r="D1041">
        <v>163</v>
      </c>
      <c r="E1041">
        <v>11304</v>
      </c>
      <c r="F1041">
        <v>1</v>
      </c>
    </row>
    <row r="1042" spans="2:6" x14ac:dyDescent="0.3">
      <c r="B1042" t="s">
        <v>763</v>
      </c>
      <c r="D1042">
        <v>168</v>
      </c>
      <c r="E1042">
        <v>14888</v>
      </c>
      <c r="F1042">
        <v>1</v>
      </c>
    </row>
    <row r="1043" spans="2:6" x14ac:dyDescent="0.3">
      <c r="B1043" t="s">
        <v>764</v>
      </c>
      <c r="D1043">
        <v>176</v>
      </c>
      <c r="E1043">
        <v>10180</v>
      </c>
      <c r="F1043">
        <v>1</v>
      </c>
    </row>
    <row r="1044" spans="2:6" x14ac:dyDescent="0.3">
      <c r="B1044" t="s">
        <v>765</v>
      </c>
      <c r="D1044">
        <v>165</v>
      </c>
      <c r="E1044">
        <v>11632</v>
      </c>
      <c r="F1044">
        <v>1</v>
      </c>
    </row>
    <row r="1045" spans="2:6" x14ac:dyDescent="0.3">
      <c r="B1045" t="s">
        <v>766</v>
      </c>
      <c r="D1045">
        <v>168</v>
      </c>
      <c r="E1045">
        <v>33472</v>
      </c>
      <c r="F1045">
        <v>1</v>
      </c>
    </row>
    <row r="1046" spans="2:6" x14ac:dyDescent="0.3">
      <c r="B1046" t="s">
        <v>767</v>
      </c>
      <c r="D1046">
        <v>174</v>
      </c>
      <c r="E1046">
        <v>17408</v>
      </c>
      <c r="F1046">
        <v>1</v>
      </c>
    </row>
    <row r="1047" spans="2:6" x14ac:dyDescent="0.3">
      <c r="B1047" t="s">
        <v>768</v>
      </c>
      <c r="D1047">
        <v>168</v>
      </c>
      <c r="E1047">
        <v>23048</v>
      </c>
      <c r="F1047">
        <v>1</v>
      </c>
    </row>
    <row r="1048" spans="2:6" x14ac:dyDescent="0.3">
      <c r="B1048" t="s">
        <v>769</v>
      </c>
      <c r="D1048">
        <v>171</v>
      </c>
      <c r="E1048">
        <v>15772</v>
      </c>
      <c r="F1048">
        <v>1</v>
      </c>
    </row>
    <row r="1049" spans="2:6" x14ac:dyDescent="0.3">
      <c r="B1049" t="s">
        <v>770</v>
      </c>
      <c r="D1049">
        <v>172</v>
      </c>
      <c r="E1049">
        <v>17296</v>
      </c>
      <c r="F1049">
        <v>1</v>
      </c>
    </row>
    <row r="1050" spans="2:6" x14ac:dyDescent="0.3">
      <c r="B1050" t="s">
        <v>771</v>
      </c>
      <c r="D1050">
        <v>166</v>
      </c>
      <c r="E1050">
        <v>10380</v>
      </c>
      <c r="F1050">
        <v>1</v>
      </c>
    </row>
    <row r="1051" spans="2:6" x14ac:dyDescent="0.3">
      <c r="B1051" t="s">
        <v>772</v>
      </c>
      <c r="D1051">
        <v>164</v>
      </c>
      <c r="E1051">
        <v>13436</v>
      </c>
      <c r="F1051">
        <v>1</v>
      </c>
    </row>
    <row r="1052" spans="2:6" x14ac:dyDescent="0.3">
      <c r="B1052" t="s">
        <v>773</v>
      </c>
      <c r="D1052">
        <v>183</v>
      </c>
      <c r="E1052">
        <v>19192</v>
      </c>
      <c r="F1052">
        <v>1</v>
      </c>
    </row>
    <row r="1053" spans="2:6" x14ac:dyDescent="0.3">
      <c r="B1053" t="s">
        <v>774</v>
      </c>
      <c r="D1053">
        <v>172</v>
      </c>
      <c r="E1053">
        <v>18792</v>
      </c>
      <c r="F1053">
        <v>1</v>
      </c>
    </row>
    <row r="1054" spans="2:6" x14ac:dyDescent="0.3">
      <c r="B1054" t="s">
        <v>775</v>
      </c>
      <c r="D1054">
        <v>168</v>
      </c>
      <c r="E1054">
        <v>14896</v>
      </c>
      <c r="F1054">
        <v>1</v>
      </c>
    </row>
    <row r="1055" spans="2:6" x14ac:dyDescent="0.3">
      <c r="B1055" t="s">
        <v>776</v>
      </c>
      <c r="D1055">
        <v>169</v>
      </c>
      <c r="E1055">
        <v>15308</v>
      </c>
      <c r="F1055">
        <v>1</v>
      </c>
    </row>
    <row r="1056" spans="2:6" x14ac:dyDescent="0.3">
      <c r="B1056" t="s">
        <v>777</v>
      </c>
      <c r="D1056">
        <v>168</v>
      </c>
      <c r="E1056">
        <v>15308</v>
      </c>
      <c r="F1056">
        <v>1</v>
      </c>
    </row>
    <row r="1057" spans="2:6" x14ac:dyDescent="0.3">
      <c r="B1057" t="s">
        <v>778</v>
      </c>
      <c r="D1057">
        <v>183</v>
      </c>
      <c r="E1057">
        <v>8208</v>
      </c>
      <c r="F1057">
        <v>1</v>
      </c>
    </row>
    <row r="1058" spans="2:6" x14ac:dyDescent="0.3">
      <c r="B1058" t="s">
        <v>779</v>
      </c>
      <c r="D1058">
        <v>187</v>
      </c>
      <c r="E1058">
        <v>41424</v>
      </c>
      <c r="F1058">
        <v>1</v>
      </c>
    </row>
    <row r="1059" spans="2:6" x14ac:dyDescent="0.3">
      <c r="B1059" t="s">
        <v>780</v>
      </c>
      <c r="D1059">
        <v>170</v>
      </c>
      <c r="E1059">
        <v>15520</v>
      </c>
      <c r="F1059">
        <v>1</v>
      </c>
    </row>
    <row r="1060" spans="2:6" x14ac:dyDescent="0.3">
      <c r="B1060" t="s">
        <v>781</v>
      </c>
      <c r="D1060">
        <v>168</v>
      </c>
      <c r="E1060">
        <v>11748</v>
      </c>
      <c r="F1060">
        <v>1</v>
      </c>
    </row>
    <row r="1061" spans="2:6" x14ac:dyDescent="0.3">
      <c r="B1061" t="s">
        <v>782</v>
      </c>
      <c r="D1061">
        <v>165</v>
      </c>
      <c r="E1061">
        <v>11208</v>
      </c>
      <c r="F1061">
        <v>1</v>
      </c>
    </row>
    <row r="1062" spans="2:6" x14ac:dyDescent="0.3">
      <c r="B1062" t="s">
        <v>783</v>
      </c>
      <c r="D1062">
        <v>165</v>
      </c>
      <c r="E1062">
        <v>9204</v>
      </c>
      <c r="F1062">
        <v>1</v>
      </c>
    </row>
    <row r="1063" spans="2:6" x14ac:dyDescent="0.3">
      <c r="B1063" t="s">
        <v>784</v>
      </c>
      <c r="D1063">
        <v>172</v>
      </c>
      <c r="E1063">
        <v>13056</v>
      </c>
      <c r="F1063">
        <v>1</v>
      </c>
    </row>
    <row r="1064" spans="2:6" x14ac:dyDescent="0.3">
      <c r="B1064" t="s">
        <v>785</v>
      </c>
      <c r="D1064">
        <v>191</v>
      </c>
      <c r="E1064">
        <v>11052</v>
      </c>
      <c r="F1064">
        <v>1</v>
      </c>
    </row>
    <row r="1065" spans="2:6" x14ac:dyDescent="0.3">
      <c r="B1065" t="s">
        <v>786</v>
      </c>
      <c r="D1065">
        <v>193</v>
      </c>
      <c r="E1065">
        <v>14836</v>
      </c>
      <c r="F1065">
        <v>1</v>
      </c>
    </row>
    <row r="1066" spans="2:6" x14ac:dyDescent="0.3">
      <c r="B1066" t="s">
        <v>787</v>
      </c>
      <c r="D1066">
        <v>191</v>
      </c>
      <c r="E1066">
        <v>45520</v>
      </c>
      <c r="F1066">
        <v>1</v>
      </c>
    </row>
    <row r="1067" spans="2:6" x14ac:dyDescent="0.3">
      <c r="B1067" t="s">
        <v>788</v>
      </c>
      <c r="D1067">
        <v>191</v>
      </c>
      <c r="E1067">
        <v>45424</v>
      </c>
      <c r="F1067">
        <v>1</v>
      </c>
    </row>
    <row r="1068" spans="2:6" x14ac:dyDescent="0.3">
      <c r="B1068" t="s">
        <v>789</v>
      </c>
      <c r="D1068">
        <v>191</v>
      </c>
      <c r="E1068">
        <v>46576</v>
      </c>
      <c r="F1068">
        <v>1</v>
      </c>
    </row>
    <row r="1069" spans="2:6" x14ac:dyDescent="0.3">
      <c r="B1069" t="s">
        <v>790</v>
      </c>
      <c r="D1069">
        <v>192</v>
      </c>
      <c r="E1069">
        <v>49872</v>
      </c>
      <c r="F1069">
        <v>1</v>
      </c>
    </row>
    <row r="1070" spans="2:6" x14ac:dyDescent="0.3">
      <c r="B1070" t="s">
        <v>791</v>
      </c>
      <c r="D1070">
        <v>193</v>
      </c>
      <c r="E1070">
        <v>47024</v>
      </c>
      <c r="F1070">
        <v>1</v>
      </c>
    </row>
    <row r="1071" spans="2:6" x14ac:dyDescent="0.3">
      <c r="B1071" t="s">
        <v>792</v>
      </c>
      <c r="D1071">
        <v>194</v>
      </c>
      <c r="E1071">
        <v>49264</v>
      </c>
      <c r="F1071">
        <v>1</v>
      </c>
    </row>
    <row r="1072" spans="2:6" x14ac:dyDescent="0.3">
      <c r="B1072" t="s">
        <v>793</v>
      </c>
      <c r="D1072">
        <v>195</v>
      </c>
      <c r="E1072">
        <v>54112</v>
      </c>
      <c r="F1072">
        <v>1</v>
      </c>
    </row>
    <row r="1073" spans="2:6" x14ac:dyDescent="0.3">
      <c r="B1073" t="s">
        <v>794</v>
      </c>
      <c r="D1073">
        <v>195</v>
      </c>
      <c r="E1073">
        <v>56944</v>
      </c>
      <c r="F1073">
        <v>1</v>
      </c>
    </row>
    <row r="1074" spans="2:6" x14ac:dyDescent="0.3">
      <c r="B1074" t="s">
        <v>795</v>
      </c>
      <c r="D1074">
        <v>195</v>
      </c>
      <c r="E1074">
        <v>57904</v>
      </c>
      <c r="F1074">
        <v>1</v>
      </c>
    </row>
    <row r="1075" spans="2:6" x14ac:dyDescent="0.3">
      <c r="B1075" t="s">
        <v>796</v>
      </c>
      <c r="D1075">
        <v>195</v>
      </c>
      <c r="E1075">
        <v>56736</v>
      </c>
      <c r="F1075">
        <v>1</v>
      </c>
    </row>
    <row r="1076" spans="2:6" x14ac:dyDescent="0.3">
      <c r="B1076" t="s">
        <v>797</v>
      </c>
      <c r="D1076">
        <v>195</v>
      </c>
      <c r="E1076">
        <v>59552</v>
      </c>
      <c r="F1076">
        <v>1</v>
      </c>
    </row>
    <row r="1077" spans="2:6" x14ac:dyDescent="0.3">
      <c r="B1077" t="s">
        <v>798</v>
      </c>
      <c r="D1077">
        <v>186</v>
      </c>
      <c r="E1077">
        <v>21832</v>
      </c>
      <c r="F1077">
        <v>1</v>
      </c>
    </row>
    <row r="1078" spans="2:6" x14ac:dyDescent="0.3">
      <c r="B1078" t="s">
        <v>799</v>
      </c>
      <c r="D1078">
        <v>169</v>
      </c>
      <c r="E1078">
        <v>12312</v>
      </c>
      <c r="F1078">
        <v>1</v>
      </c>
    </row>
    <row r="1079" spans="2:6" x14ac:dyDescent="0.3">
      <c r="B1079" t="s">
        <v>800</v>
      </c>
      <c r="D1079">
        <v>191</v>
      </c>
      <c r="E1079">
        <v>59152</v>
      </c>
      <c r="F1079">
        <v>1</v>
      </c>
    </row>
    <row r="1080" spans="2:6" x14ac:dyDescent="0.3">
      <c r="B1080" t="s">
        <v>801</v>
      </c>
      <c r="D1080">
        <v>164</v>
      </c>
      <c r="E1080">
        <v>10344</v>
      </c>
      <c r="F1080">
        <v>1</v>
      </c>
    </row>
    <row r="1081" spans="2:6" x14ac:dyDescent="0.3">
      <c r="B1081" t="s">
        <v>802</v>
      </c>
      <c r="D1081">
        <v>193</v>
      </c>
      <c r="E1081">
        <v>55216</v>
      </c>
      <c r="F1081">
        <v>1</v>
      </c>
    </row>
    <row r="1082" spans="2:6" x14ac:dyDescent="0.3">
      <c r="B1082" t="s">
        <v>803</v>
      </c>
      <c r="D1082">
        <v>193</v>
      </c>
      <c r="E1082">
        <v>53360</v>
      </c>
      <c r="F1082">
        <v>1</v>
      </c>
    </row>
    <row r="1083" spans="2:6" x14ac:dyDescent="0.3">
      <c r="B1083" t="s">
        <v>804</v>
      </c>
      <c r="D1083">
        <v>192</v>
      </c>
      <c r="E1083">
        <v>53952</v>
      </c>
      <c r="F1083">
        <v>1</v>
      </c>
    </row>
    <row r="1084" spans="2:6" x14ac:dyDescent="0.3">
      <c r="B1084" t="s">
        <v>805</v>
      </c>
      <c r="D1084">
        <v>191</v>
      </c>
      <c r="E1084">
        <v>26848</v>
      </c>
      <c r="F1084">
        <v>1</v>
      </c>
    </row>
    <row r="1085" spans="2:6" x14ac:dyDescent="0.3">
      <c r="B1085" t="s">
        <v>806</v>
      </c>
      <c r="D1085">
        <v>190</v>
      </c>
      <c r="E1085">
        <v>44544</v>
      </c>
      <c r="F1085">
        <v>1</v>
      </c>
    </row>
    <row r="1086" spans="2:6" x14ac:dyDescent="0.3">
      <c r="B1086" t="s">
        <v>807</v>
      </c>
      <c r="D1086">
        <v>189</v>
      </c>
      <c r="E1086">
        <v>44128</v>
      </c>
      <c r="F1086">
        <v>1</v>
      </c>
    </row>
    <row r="1087" spans="2:6" x14ac:dyDescent="0.3">
      <c r="B1087" t="s">
        <v>808</v>
      </c>
      <c r="D1087">
        <v>188</v>
      </c>
      <c r="E1087">
        <v>34672</v>
      </c>
      <c r="F1087">
        <v>1</v>
      </c>
    </row>
    <row r="1088" spans="2:6" x14ac:dyDescent="0.3">
      <c r="B1088" t="s">
        <v>809</v>
      </c>
      <c r="D1088">
        <v>187</v>
      </c>
      <c r="E1088">
        <v>39552</v>
      </c>
      <c r="F1088">
        <v>1</v>
      </c>
    </row>
    <row r="1089" spans="2:6" x14ac:dyDescent="0.3">
      <c r="B1089" t="s">
        <v>810</v>
      </c>
      <c r="D1089">
        <v>189</v>
      </c>
      <c r="E1089">
        <v>17736</v>
      </c>
      <c r="F1089">
        <v>1</v>
      </c>
    </row>
    <row r="1090" spans="2:6" x14ac:dyDescent="0.3">
      <c r="B1090" t="s">
        <v>811</v>
      </c>
      <c r="D1090">
        <v>187</v>
      </c>
      <c r="E1090">
        <v>42000</v>
      </c>
      <c r="F1090">
        <v>1</v>
      </c>
    </row>
    <row r="1091" spans="2:6" x14ac:dyDescent="0.3">
      <c r="B1091" t="s">
        <v>812</v>
      </c>
      <c r="D1091">
        <v>184</v>
      </c>
      <c r="E1091">
        <v>42000</v>
      </c>
      <c r="F1091">
        <v>1</v>
      </c>
    </row>
    <row r="1092" spans="2:6" x14ac:dyDescent="0.3">
      <c r="B1092" t="s">
        <v>813</v>
      </c>
      <c r="D1092">
        <v>185</v>
      </c>
      <c r="E1092">
        <v>37920</v>
      </c>
      <c r="F1092">
        <v>1</v>
      </c>
    </row>
    <row r="1093" spans="2:6" x14ac:dyDescent="0.3">
      <c r="B1093" t="s">
        <v>814</v>
      </c>
      <c r="D1093">
        <v>184</v>
      </c>
      <c r="E1093">
        <v>35424</v>
      </c>
      <c r="F1093">
        <v>1</v>
      </c>
    </row>
    <row r="1094" spans="2:6" x14ac:dyDescent="0.3">
      <c r="B1094" t="s">
        <v>815</v>
      </c>
      <c r="D1094">
        <v>185</v>
      </c>
      <c r="E1094">
        <v>38080</v>
      </c>
      <c r="F1094">
        <v>1</v>
      </c>
    </row>
    <row r="1095" spans="2:6" x14ac:dyDescent="0.3">
      <c r="B1095" t="s">
        <v>816</v>
      </c>
      <c r="D1095">
        <v>185</v>
      </c>
      <c r="E1095">
        <v>38480</v>
      </c>
      <c r="F1095">
        <v>1</v>
      </c>
    </row>
    <row r="1096" spans="2:6" x14ac:dyDescent="0.3">
      <c r="B1096" t="s">
        <v>817</v>
      </c>
      <c r="D1096">
        <v>180</v>
      </c>
      <c r="E1096">
        <v>38480</v>
      </c>
      <c r="F1096">
        <v>1</v>
      </c>
    </row>
    <row r="1097" spans="2:6" x14ac:dyDescent="0.3">
      <c r="B1097" t="s">
        <v>818</v>
      </c>
      <c r="D1097">
        <v>185</v>
      </c>
      <c r="E1097">
        <v>34976</v>
      </c>
      <c r="F1097">
        <v>1</v>
      </c>
    </row>
    <row r="1098" spans="2:6" x14ac:dyDescent="0.3">
      <c r="B1098" t="s">
        <v>819</v>
      </c>
      <c r="D1098">
        <v>167</v>
      </c>
      <c r="E1098">
        <v>9840</v>
      </c>
      <c r="F1098">
        <v>1</v>
      </c>
    </row>
    <row r="1099" spans="2:6" x14ac:dyDescent="0.3">
      <c r="B1099" t="s">
        <v>820</v>
      </c>
      <c r="D1099">
        <v>184</v>
      </c>
      <c r="E1099">
        <v>33760</v>
      </c>
      <c r="F1099">
        <v>1</v>
      </c>
    </row>
    <row r="1100" spans="2:6" x14ac:dyDescent="0.3">
      <c r="B1100" t="s">
        <v>821</v>
      </c>
      <c r="D1100">
        <v>183</v>
      </c>
      <c r="E1100">
        <v>32344</v>
      </c>
      <c r="F1100">
        <v>1</v>
      </c>
    </row>
    <row r="1101" spans="2:6" x14ac:dyDescent="0.3">
      <c r="B1101" t="s">
        <v>822</v>
      </c>
      <c r="D1101">
        <v>184</v>
      </c>
      <c r="E1101">
        <v>35136</v>
      </c>
      <c r="F1101">
        <v>1</v>
      </c>
    </row>
    <row r="1102" spans="2:6" x14ac:dyDescent="0.3">
      <c r="B1102" t="s">
        <v>823</v>
      </c>
      <c r="D1102">
        <v>181</v>
      </c>
      <c r="E1102">
        <v>28144</v>
      </c>
      <c r="F1102">
        <v>1</v>
      </c>
    </row>
    <row r="1103" spans="2:6" x14ac:dyDescent="0.3">
      <c r="B1103" t="s">
        <v>824</v>
      </c>
      <c r="D1103">
        <v>183</v>
      </c>
      <c r="E1103">
        <v>29344</v>
      </c>
      <c r="F1103">
        <v>1</v>
      </c>
    </row>
    <row r="1104" spans="2:6" x14ac:dyDescent="0.3">
      <c r="B1104" t="s">
        <v>825</v>
      </c>
      <c r="D1104">
        <v>183</v>
      </c>
      <c r="E1104">
        <v>28448</v>
      </c>
      <c r="F1104">
        <v>1</v>
      </c>
    </row>
    <row r="1105" spans="2:6" x14ac:dyDescent="0.3">
      <c r="B1105" t="s">
        <v>826</v>
      </c>
      <c r="D1105">
        <v>180</v>
      </c>
      <c r="E1105">
        <v>26632</v>
      </c>
      <c r="F1105">
        <v>1</v>
      </c>
    </row>
    <row r="1106" spans="2:6" x14ac:dyDescent="0.3">
      <c r="B1106" t="s">
        <v>827</v>
      </c>
      <c r="D1106">
        <v>179</v>
      </c>
      <c r="E1106">
        <v>26760</v>
      </c>
      <c r="F1106">
        <v>1</v>
      </c>
    </row>
    <row r="1107" spans="2:6" x14ac:dyDescent="0.3">
      <c r="B1107" t="s">
        <v>828</v>
      </c>
      <c r="D1107">
        <v>179</v>
      </c>
      <c r="E1107">
        <v>25640</v>
      </c>
      <c r="F1107">
        <v>1</v>
      </c>
    </row>
    <row r="1108" spans="2:6" x14ac:dyDescent="0.3">
      <c r="B1108" t="s">
        <v>829</v>
      </c>
      <c r="D1108">
        <v>179</v>
      </c>
      <c r="E1108">
        <v>26968</v>
      </c>
      <c r="F1108">
        <v>1</v>
      </c>
    </row>
    <row r="1109" spans="2:6" x14ac:dyDescent="0.3">
      <c r="B1109" t="s">
        <v>830</v>
      </c>
      <c r="D1109">
        <v>179</v>
      </c>
      <c r="E1109">
        <v>25624</v>
      </c>
      <c r="F1109">
        <v>1</v>
      </c>
    </row>
    <row r="1110" spans="2:6" x14ac:dyDescent="0.3">
      <c r="B1110" t="s">
        <v>831</v>
      </c>
      <c r="D1110">
        <v>180</v>
      </c>
      <c r="E1110">
        <v>26104</v>
      </c>
      <c r="F1110">
        <v>1</v>
      </c>
    </row>
    <row r="1111" spans="2:6" x14ac:dyDescent="0.3">
      <c r="B1111" t="s">
        <v>832</v>
      </c>
      <c r="D1111">
        <v>179</v>
      </c>
      <c r="E1111">
        <v>25784</v>
      </c>
      <c r="F1111">
        <v>1</v>
      </c>
    </row>
    <row r="1112" spans="2:6" x14ac:dyDescent="0.3">
      <c r="B1112" t="s">
        <v>833</v>
      </c>
      <c r="D1112">
        <v>181</v>
      </c>
      <c r="E1112">
        <v>27304</v>
      </c>
      <c r="F1112">
        <v>1</v>
      </c>
    </row>
    <row r="1113" spans="2:6" x14ac:dyDescent="0.3">
      <c r="B1113" t="s">
        <v>834</v>
      </c>
      <c r="D1113">
        <v>180</v>
      </c>
      <c r="E1113">
        <v>27784</v>
      </c>
      <c r="F1113">
        <v>1</v>
      </c>
    </row>
    <row r="1114" spans="2:6" x14ac:dyDescent="0.3">
      <c r="B1114" t="s">
        <v>835</v>
      </c>
      <c r="D1114">
        <v>183</v>
      </c>
      <c r="E1114">
        <v>29368</v>
      </c>
      <c r="F1114">
        <v>1</v>
      </c>
    </row>
    <row r="1115" spans="2:6" x14ac:dyDescent="0.3">
      <c r="B1115" t="s">
        <v>836</v>
      </c>
      <c r="D1115">
        <v>183</v>
      </c>
      <c r="E1115">
        <v>31688</v>
      </c>
      <c r="F1115">
        <v>1</v>
      </c>
    </row>
    <row r="1116" spans="2:6" x14ac:dyDescent="0.3">
      <c r="B1116" t="s">
        <v>837</v>
      </c>
      <c r="D1116">
        <v>181</v>
      </c>
      <c r="E1116">
        <v>31752</v>
      </c>
      <c r="F1116">
        <v>1</v>
      </c>
    </row>
    <row r="1117" spans="2:6" x14ac:dyDescent="0.3">
      <c r="B1117" t="s">
        <v>838</v>
      </c>
      <c r="D1117">
        <v>161</v>
      </c>
      <c r="E1117">
        <v>9456</v>
      </c>
      <c r="F1117">
        <v>1</v>
      </c>
    </row>
    <row r="1118" spans="2:6" x14ac:dyDescent="0.3">
      <c r="B1118" t="s">
        <v>839</v>
      </c>
      <c r="D1118">
        <v>178</v>
      </c>
      <c r="E1118">
        <v>26664</v>
      </c>
      <c r="F1118">
        <v>1</v>
      </c>
    </row>
    <row r="1119" spans="2:6" x14ac:dyDescent="0.3">
      <c r="B1119" t="s">
        <v>840</v>
      </c>
      <c r="D1119">
        <v>163</v>
      </c>
      <c r="E1119">
        <v>8044</v>
      </c>
      <c r="F1119">
        <v>1</v>
      </c>
    </row>
    <row r="1120" spans="2:6" x14ac:dyDescent="0.3">
      <c r="B1120" t="s">
        <v>841</v>
      </c>
      <c r="D1120">
        <v>181</v>
      </c>
      <c r="E1120">
        <v>24224</v>
      </c>
      <c r="F1120">
        <v>1</v>
      </c>
    </row>
    <row r="1121" spans="2:6" x14ac:dyDescent="0.3">
      <c r="B1121" t="s">
        <v>842</v>
      </c>
      <c r="D1121">
        <v>179</v>
      </c>
      <c r="E1121">
        <v>26816</v>
      </c>
      <c r="F1121">
        <v>1</v>
      </c>
    </row>
    <row r="1122" spans="2:6" x14ac:dyDescent="0.3">
      <c r="B1122" t="s">
        <v>843</v>
      </c>
      <c r="D1122">
        <v>180</v>
      </c>
      <c r="E1122">
        <v>28232</v>
      </c>
      <c r="F1122">
        <v>1</v>
      </c>
    </row>
    <row r="1123" spans="2:6" x14ac:dyDescent="0.3">
      <c r="B1123" t="s">
        <v>844</v>
      </c>
      <c r="D1123">
        <v>180</v>
      </c>
      <c r="E1123">
        <v>28688</v>
      </c>
      <c r="F1123">
        <v>1</v>
      </c>
    </row>
    <row r="1124" spans="2:6" x14ac:dyDescent="0.3">
      <c r="B1124" t="s">
        <v>845</v>
      </c>
      <c r="D1124">
        <v>181</v>
      </c>
      <c r="E1124">
        <v>29432</v>
      </c>
      <c r="F1124">
        <v>1</v>
      </c>
    </row>
    <row r="1125" spans="2:6" x14ac:dyDescent="0.3">
      <c r="B1125" t="s">
        <v>845</v>
      </c>
      <c r="D1125">
        <v>181</v>
      </c>
      <c r="E1125">
        <v>29432</v>
      </c>
      <c r="F1125">
        <v>1</v>
      </c>
    </row>
    <row r="1126" spans="2:6" x14ac:dyDescent="0.3">
      <c r="B1126" t="s">
        <v>846</v>
      </c>
      <c r="D1126">
        <v>182</v>
      </c>
      <c r="E1126">
        <v>30776</v>
      </c>
      <c r="F1126">
        <v>1</v>
      </c>
    </row>
    <row r="1127" spans="2:6" x14ac:dyDescent="0.3">
      <c r="B1127" t="s">
        <v>847</v>
      </c>
      <c r="D1127">
        <v>155</v>
      </c>
      <c r="E1127">
        <v>19336</v>
      </c>
      <c r="F1127">
        <v>1</v>
      </c>
    </row>
    <row r="1128" spans="2:6" x14ac:dyDescent="0.3">
      <c r="B1128" t="s">
        <v>848</v>
      </c>
      <c r="D1128">
        <v>182</v>
      </c>
      <c r="E1128">
        <v>31232</v>
      </c>
      <c r="F1128">
        <v>1</v>
      </c>
    </row>
    <row r="1129" spans="2:6" x14ac:dyDescent="0.3">
      <c r="B1129" t="s">
        <v>849</v>
      </c>
      <c r="D1129">
        <v>175</v>
      </c>
      <c r="E1129">
        <v>21904</v>
      </c>
      <c r="F1129">
        <v>1</v>
      </c>
    </row>
    <row r="1130" spans="2:6" x14ac:dyDescent="0.3">
      <c r="B1130" t="s">
        <v>850</v>
      </c>
      <c r="D1130">
        <v>183</v>
      </c>
      <c r="E1130">
        <v>33152</v>
      </c>
      <c r="F1130">
        <v>1</v>
      </c>
    </row>
    <row r="1131" spans="2:6" x14ac:dyDescent="0.3">
      <c r="B1131" t="s">
        <v>851</v>
      </c>
      <c r="D1131">
        <v>184</v>
      </c>
      <c r="E1131">
        <v>34592</v>
      </c>
      <c r="F1131">
        <v>1</v>
      </c>
    </row>
    <row r="1132" spans="2:6" x14ac:dyDescent="0.3">
      <c r="B1132" t="s">
        <v>852</v>
      </c>
      <c r="D1132">
        <v>183</v>
      </c>
      <c r="E1132">
        <v>32696</v>
      </c>
      <c r="F1132">
        <v>1</v>
      </c>
    </row>
    <row r="1133" spans="2:6" x14ac:dyDescent="0.3">
      <c r="B1133" t="s">
        <v>853</v>
      </c>
      <c r="D1133">
        <v>154</v>
      </c>
      <c r="E1133">
        <v>30296</v>
      </c>
      <c r="F1133">
        <v>1</v>
      </c>
    </row>
    <row r="1134" spans="2:6" x14ac:dyDescent="0.3">
      <c r="B1134" t="s">
        <v>854</v>
      </c>
      <c r="D1134">
        <v>160</v>
      </c>
      <c r="E1134">
        <v>35600</v>
      </c>
      <c r="F1134">
        <v>1</v>
      </c>
    </row>
    <row r="1135" spans="2:6" x14ac:dyDescent="0.3">
      <c r="B1135" t="s">
        <v>855</v>
      </c>
      <c r="D1135">
        <v>184</v>
      </c>
      <c r="E1135">
        <v>35152</v>
      </c>
      <c r="F1135">
        <v>1</v>
      </c>
    </row>
    <row r="1136" spans="2:6" x14ac:dyDescent="0.3">
      <c r="B1136" t="s">
        <v>856</v>
      </c>
      <c r="D1136">
        <v>184</v>
      </c>
      <c r="E1136">
        <v>19328</v>
      </c>
      <c r="F1136">
        <v>1</v>
      </c>
    </row>
    <row r="1137" spans="2:6" x14ac:dyDescent="0.3">
      <c r="B1137" t="s">
        <v>857</v>
      </c>
      <c r="D1137">
        <v>183</v>
      </c>
      <c r="E1137">
        <v>31912</v>
      </c>
      <c r="F1137">
        <v>1</v>
      </c>
    </row>
    <row r="1138" spans="2:6" x14ac:dyDescent="0.3">
      <c r="B1138" t="s">
        <v>858</v>
      </c>
      <c r="D1138">
        <v>184</v>
      </c>
      <c r="E1138">
        <v>34608</v>
      </c>
      <c r="F1138">
        <v>1</v>
      </c>
    </row>
    <row r="1139" spans="2:6" x14ac:dyDescent="0.3">
      <c r="B1139" t="s">
        <v>859</v>
      </c>
      <c r="D1139">
        <v>182</v>
      </c>
      <c r="E1139">
        <v>35728</v>
      </c>
      <c r="F1139">
        <v>1</v>
      </c>
    </row>
    <row r="1140" spans="2:6" x14ac:dyDescent="0.3">
      <c r="B1140" t="s">
        <v>860</v>
      </c>
      <c r="D1140">
        <v>183</v>
      </c>
      <c r="E1140">
        <v>35648</v>
      </c>
      <c r="F1140">
        <v>1</v>
      </c>
    </row>
    <row r="1141" spans="2:6" x14ac:dyDescent="0.3">
      <c r="B1141" t="s">
        <v>861</v>
      </c>
      <c r="D1141">
        <v>184</v>
      </c>
      <c r="E1141">
        <v>35552</v>
      </c>
      <c r="F1141">
        <v>1</v>
      </c>
    </row>
    <row r="1142" spans="2:6" x14ac:dyDescent="0.3">
      <c r="B1142" t="s">
        <v>862</v>
      </c>
      <c r="D1142">
        <v>184</v>
      </c>
      <c r="E1142">
        <v>35968</v>
      </c>
      <c r="F1142">
        <v>1</v>
      </c>
    </row>
    <row r="1143" spans="2:6" x14ac:dyDescent="0.3">
      <c r="B1143" t="s">
        <v>863</v>
      </c>
      <c r="D1143">
        <v>184</v>
      </c>
      <c r="E1143">
        <v>35312</v>
      </c>
      <c r="F1143">
        <v>1</v>
      </c>
    </row>
    <row r="1144" spans="2:6" x14ac:dyDescent="0.3">
      <c r="B1144" t="s">
        <v>864</v>
      </c>
      <c r="D1144">
        <v>184</v>
      </c>
      <c r="E1144">
        <v>35120</v>
      </c>
      <c r="F1144">
        <v>1</v>
      </c>
    </row>
    <row r="1145" spans="2:6" x14ac:dyDescent="0.3">
      <c r="B1145" t="s">
        <v>865</v>
      </c>
      <c r="D1145">
        <v>184</v>
      </c>
      <c r="E1145">
        <v>37168</v>
      </c>
      <c r="F1145">
        <v>1</v>
      </c>
    </row>
    <row r="1146" spans="2:6" x14ac:dyDescent="0.3">
      <c r="B1146" t="s">
        <v>866</v>
      </c>
      <c r="D1146">
        <v>185</v>
      </c>
      <c r="E1146">
        <v>35760</v>
      </c>
      <c r="F1146">
        <v>1</v>
      </c>
    </row>
    <row r="1147" spans="2:6" x14ac:dyDescent="0.3">
      <c r="B1147" t="s">
        <v>867</v>
      </c>
      <c r="D1147">
        <v>183</v>
      </c>
      <c r="E1147">
        <v>37776</v>
      </c>
      <c r="F1147">
        <v>1</v>
      </c>
    </row>
    <row r="1148" spans="2:6" x14ac:dyDescent="0.3">
      <c r="B1148" t="s">
        <v>868</v>
      </c>
      <c r="D1148">
        <v>186</v>
      </c>
      <c r="E1148">
        <v>38912</v>
      </c>
      <c r="F1148">
        <v>1</v>
      </c>
    </row>
    <row r="1149" spans="2:6" x14ac:dyDescent="0.3">
      <c r="B1149" t="s">
        <v>869</v>
      </c>
      <c r="D1149">
        <v>186</v>
      </c>
      <c r="E1149">
        <v>41392</v>
      </c>
      <c r="F1149">
        <v>1</v>
      </c>
    </row>
    <row r="1150" spans="2:6" x14ac:dyDescent="0.3">
      <c r="B1150" t="s">
        <v>870</v>
      </c>
      <c r="D1150">
        <v>184</v>
      </c>
      <c r="E1150">
        <v>9652</v>
      </c>
      <c r="F1150">
        <v>1</v>
      </c>
    </row>
    <row r="1151" spans="2:6" x14ac:dyDescent="0.3">
      <c r="B1151" t="s">
        <v>871</v>
      </c>
      <c r="D1151">
        <v>183</v>
      </c>
      <c r="E1151">
        <v>38912</v>
      </c>
      <c r="F1151">
        <v>1</v>
      </c>
    </row>
    <row r="1152" spans="2:6" x14ac:dyDescent="0.3">
      <c r="B1152" t="s">
        <v>872</v>
      </c>
      <c r="D1152">
        <v>155</v>
      </c>
      <c r="E1152">
        <v>7386</v>
      </c>
      <c r="F1152">
        <v>1</v>
      </c>
    </row>
    <row r="1153" spans="2:6" x14ac:dyDescent="0.3">
      <c r="B1153" t="s">
        <v>873</v>
      </c>
      <c r="D1153">
        <v>183</v>
      </c>
      <c r="E1153">
        <v>7386</v>
      </c>
      <c r="F1153">
        <v>1</v>
      </c>
    </row>
    <row r="1154" spans="2:6" x14ac:dyDescent="0.3">
      <c r="B1154" t="s">
        <v>874</v>
      </c>
      <c r="D1154">
        <v>169</v>
      </c>
      <c r="E1154">
        <v>31960</v>
      </c>
      <c r="F1154">
        <v>1</v>
      </c>
    </row>
    <row r="1155" spans="2:6" x14ac:dyDescent="0.3">
      <c r="B1155" t="s">
        <v>875</v>
      </c>
      <c r="D1155">
        <v>181</v>
      </c>
      <c r="E1155">
        <v>17760</v>
      </c>
      <c r="F1155">
        <v>1</v>
      </c>
    </row>
    <row r="1156" spans="2:6" x14ac:dyDescent="0.3">
      <c r="B1156" t="s">
        <v>812</v>
      </c>
      <c r="D1156">
        <v>184</v>
      </c>
      <c r="E1156">
        <v>42000</v>
      </c>
      <c r="F1156">
        <v>1</v>
      </c>
    </row>
    <row r="1157" spans="2:6" x14ac:dyDescent="0.3">
      <c r="B1157" t="s">
        <v>876</v>
      </c>
      <c r="D1157">
        <v>172</v>
      </c>
      <c r="E1157">
        <v>39776</v>
      </c>
      <c r="F1157">
        <v>1</v>
      </c>
    </row>
    <row r="1158" spans="2:6" x14ac:dyDescent="0.3">
      <c r="B1158" t="s">
        <v>877</v>
      </c>
      <c r="D1158">
        <v>182</v>
      </c>
      <c r="E1158">
        <v>37968</v>
      </c>
      <c r="F1158">
        <v>1</v>
      </c>
    </row>
    <row r="1159" spans="2:6" x14ac:dyDescent="0.3">
      <c r="B1159" t="s">
        <v>878</v>
      </c>
      <c r="D1159">
        <v>181</v>
      </c>
      <c r="E1159">
        <v>36624</v>
      </c>
      <c r="F1159">
        <v>1</v>
      </c>
    </row>
    <row r="1160" spans="2:6" x14ac:dyDescent="0.3">
      <c r="B1160" t="s">
        <v>879</v>
      </c>
      <c r="D1160">
        <v>180</v>
      </c>
      <c r="E1160">
        <v>35104</v>
      </c>
      <c r="F1160">
        <v>1</v>
      </c>
    </row>
    <row r="1161" spans="2:6" x14ac:dyDescent="0.3">
      <c r="B1161" t="s">
        <v>880</v>
      </c>
      <c r="D1161">
        <v>179</v>
      </c>
      <c r="E1161">
        <v>33088</v>
      </c>
      <c r="F1161">
        <v>1</v>
      </c>
    </row>
    <row r="1162" spans="2:6" x14ac:dyDescent="0.3">
      <c r="B1162" t="s">
        <v>881</v>
      </c>
      <c r="D1162">
        <v>177</v>
      </c>
      <c r="E1162">
        <v>31400</v>
      </c>
      <c r="F1162">
        <v>1</v>
      </c>
    </row>
    <row r="1163" spans="2:6" x14ac:dyDescent="0.3">
      <c r="B1163" t="s">
        <v>882</v>
      </c>
      <c r="D1163">
        <v>176</v>
      </c>
      <c r="E1163">
        <v>27784</v>
      </c>
      <c r="F1163">
        <v>1</v>
      </c>
    </row>
    <row r="1164" spans="2:6" x14ac:dyDescent="0.3">
      <c r="B1164" t="s">
        <v>883</v>
      </c>
      <c r="D1164">
        <v>175</v>
      </c>
      <c r="E1164">
        <v>27008</v>
      </c>
      <c r="F1164">
        <v>1</v>
      </c>
    </row>
    <row r="1165" spans="2:6" x14ac:dyDescent="0.3">
      <c r="B1165" t="s">
        <v>884</v>
      </c>
      <c r="D1165">
        <v>172</v>
      </c>
      <c r="E1165">
        <v>26064</v>
      </c>
      <c r="F1165">
        <v>1</v>
      </c>
    </row>
    <row r="1166" spans="2:6" x14ac:dyDescent="0.3">
      <c r="B1166" t="s">
        <v>885</v>
      </c>
      <c r="D1166">
        <v>166</v>
      </c>
      <c r="E1166">
        <v>4302</v>
      </c>
      <c r="F1166">
        <v>1</v>
      </c>
    </row>
    <row r="1167" spans="2:6" x14ac:dyDescent="0.3">
      <c r="B1167" t="s">
        <v>886</v>
      </c>
      <c r="D1167">
        <v>143</v>
      </c>
      <c r="E1167">
        <v>3826</v>
      </c>
      <c r="F1167">
        <v>1</v>
      </c>
    </row>
    <row r="1168" spans="2:6" x14ac:dyDescent="0.3">
      <c r="B1168" t="s">
        <v>887</v>
      </c>
      <c r="D1168">
        <v>143</v>
      </c>
      <c r="E1168">
        <v>2997</v>
      </c>
      <c r="F1168">
        <v>1</v>
      </c>
    </row>
    <row r="1169" spans="2:6" x14ac:dyDescent="0.3">
      <c r="B1169" t="s">
        <v>888</v>
      </c>
      <c r="D1169">
        <v>164</v>
      </c>
      <c r="E1169">
        <v>12568</v>
      </c>
      <c r="F1169">
        <v>1</v>
      </c>
    </row>
    <row r="1170" spans="2:6" x14ac:dyDescent="0.3">
      <c r="B1170" t="s">
        <v>889</v>
      </c>
      <c r="D1170">
        <v>161</v>
      </c>
      <c r="E1170">
        <v>10152</v>
      </c>
      <c r="F1170">
        <v>1</v>
      </c>
    </row>
    <row r="1171" spans="2:6" x14ac:dyDescent="0.3">
      <c r="B1171" t="s">
        <v>890</v>
      </c>
      <c r="D1171">
        <v>158</v>
      </c>
      <c r="E1171">
        <v>7942</v>
      </c>
      <c r="F1171">
        <v>1</v>
      </c>
    </row>
    <row r="1172" spans="2:6" x14ac:dyDescent="0.3">
      <c r="B1172" t="s">
        <v>891</v>
      </c>
      <c r="D1172">
        <v>154</v>
      </c>
      <c r="E1172">
        <v>6812</v>
      </c>
      <c r="F1172">
        <v>1</v>
      </c>
    </row>
    <row r="1173" spans="2:6" x14ac:dyDescent="0.3">
      <c r="B1173" t="s">
        <v>892</v>
      </c>
      <c r="D1173">
        <v>148</v>
      </c>
      <c r="E1173">
        <v>4642</v>
      </c>
      <c r="F1173">
        <v>1</v>
      </c>
    </row>
    <row r="1174" spans="2:6" x14ac:dyDescent="0.3">
      <c r="B1174" t="s">
        <v>893</v>
      </c>
      <c r="D1174">
        <v>144</v>
      </c>
      <c r="E1174">
        <v>4230</v>
      </c>
      <c r="F1174">
        <v>1</v>
      </c>
    </row>
    <row r="1175" spans="2:6" x14ac:dyDescent="0.3">
      <c r="B1175" t="s">
        <v>894</v>
      </c>
      <c r="D1175">
        <v>140</v>
      </c>
      <c r="E1175">
        <v>3159</v>
      </c>
      <c r="F1175">
        <v>1</v>
      </c>
    </row>
    <row r="1176" spans="2:6" x14ac:dyDescent="0.3">
      <c r="B1176" t="s">
        <v>895</v>
      </c>
      <c r="D1176">
        <v>132</v>
      </c>
      <c r="E1176">
        <v>1593</v>
      </c>
      <c r="F1176">
        <v>1</v>
      </c>
    </row>
    <row r="1177" spans="2:6" x14ac:dyDescent="0.3">
      <c r="B1177" t="s">
        <v>896</v>
      </c>
      <c r="D1177">
        <v>128</v>
      </c>
      <c r="E1177">
        <v>1246</v>
      </c>
      <c r="F1177">
        <v>1</v>
      </c>
    </row>
    <row r="1178" spans="2:6" x14ac:dyDescent="0.3">
      <c r="B1178" t="s">
        <v>897</v>
      </c>
      <c r="D1178">
        <v>124</v>
      </c>
      <c r="E1178">
        <v>1008</v>
      </c>
      <c r="F1178">
        <v>1</v>
      </c>
    </row>
    <row r="1179" spans="2:6" x14ac:dyDescent="0.3">
      <c r="B1179" t="s">
        <v>898</v>
      </c>
      <c r="D1179">
        <v>120</v>
      </c>
      <c r="E1179">
        <v>775</v>
      </c>
      <c r="F1179">
        <v>1</v>
      </c>
    </row>
    <row r="1180" spans="2:6" x14ac:dyDescent="0.3">
      <c r="B1180" t="s">
        <v>899</v>
      </c>
      <c r="D1180">
        <v>113</v>
      </c>
      <c r="E1180">
        <v>553</v>
      </c>
      <c r="F1180">
        <v>1</v>
      </c>
    </row>
    <row r="1181" spans="2:6" x14ac:dyDescent="0.3">
      <c r="B1181" t="s">
        <v>900</v>
      </c>
      <c r="D1181">
        <v>108</v>
      </c>
      <c r="E1181">
        <v>419</v>
      </c>
      <c r="F1181">
        <v>1</v>
      </c>
    </row>
    <row r="1182" spans="2:6" x14ac:dyDescent="0.3">
      <c r="B1182" t="s">
        <v>901</v>
      </c>
      <c r="D1182">
        <v>101</v>
      </c>
      <c r="E1182">
        <v>264</v>
      </c>
      <c r="F1182">
        <v>1</v>
      </c>
    </row>
    <row r="1183" spans="2:6" x14ac:dyDescent="0.3">
      <c r="B1183" t="s">
        <v>902</v>
      </c>
      <c r="D1183">
        <v>92</v>
      </c>
      <c r="E1183">
        <v>159</v>
      </c>
      <c r="F1183">
        <v>1</v>
      </c>
    </row>
    <row r="1184" spans="2:6" x14ac:dyDescent="0.3">
      <c r="B1184" t="s">
        <v>903</v>
      </c>
      <c r="D1184">
        <v>80</v>
      </c>
      <c r="E1184">
        <v>82</v>
      </c>
      <c r="F1184">
        <v>1</v>
      </c>
    </row>
    <row r="1185" spans="2:6" x14ac:dyDescent="0.3">
      <c r="B1185" t="s">
        <v>904</v>
      </c>
      <c r="D1185">
        <v>56</v>
      </c>
      <c r="E1185">
        <v>50</v>
      </c>
      <c r="F1185">
        <v>1</v>
      </c>
    </row>
    <row r="1186" spans="2:6" x14ac:dyDescent="0.3">
      <c r="B1186" t="s">
        <v>905</v>
      </c>
      <c r="D1186">
        <v>29</v>
      </c>
      <c r="E1186">
        <v>29</v>
      </c>
      <c r="F1186">
        <v>1</v>
      </c>
    </row>
    <row r="1187" spans="2:6" x14ac:dyDescent="0.3">
      <c r="B1187" t="s">
        <v>906</v>
      </c>
      <c r="D1187">
        <v>13</v>
      </c>
      <c r="E1187">
        <v>10</v>
      </c>
      <c r="F1187">
        <v>1</v>
      </c>
    </row>
    <row r="1188" spans="2:6" x14ac:dyDescent="0.3">
      <c r="B1188" t="s">
        <v>684</v>
      </c>
      <c r="D1188">
        <v>6</v>
      </c>
      <c r="E1188">
        <v>4</v>
      </c>
      <c r="F1188">
        <v>1</v>
      </c>
    </row>
    <row r="1189" spans="2:6" x14ac:dyDescent="0.3">
      <c r="B1189" t="s">
        <v>12</v>
      </c>
      <c r="D1189">
        <v>3</v>
      </c>
      <c r="E1189">
        <v>1</v>
      </c>
      <c r="F1189">
        <v>1</v>
      </c>
    </row>
    <row r="1190" spans="2:6" x14ac:dyDescent="0.3">
      <c r="B1190" t="s">
        <v>18</v>
      </c>
      <c r="D1190">
        <v>1</v>
      </c>
      <c r="E1190">
        <v>0</v>
      </c>
      <c r="F1190">
        <v>1</v>
      </c>
    </row>
    <row r="1191" spans="2:6" x14ac:dyDescent="0.3">
      <c r="B1191" t="s">
        <v>18</v>
      </c>
      <c r="D1191">
        <v>1</v>
      </c>
      <c r="E1191">
        <v>0</v>
      </c>
      <c r="F1191">
        <v>1</v>
      </c>
    </row>
    <row r="1192" spans="2:6" x14ac:dyDescent="0.3">
      <c r="B1192" t="s">
        <v>18</v>
      </c>
      <c r="D1192">
        <v>1</v>
      </c>
      <c r="E1192">
        <v>0</v>
      </c>
      <c r="F1192">
        <v>1</v>
      </c>
    </row>
    <row r="1193" spans="2:6" x14ac:dyDescent="0.3">
      <c r="B1193" t="s">
        <v>18</v>
      </c>
      <c r="D1193">
        <v>1</v>
      </c>
      <c r="E1193">
        <v>0</v>
      </c>
      <c r="F1193">
        <v>1</v>
      </c>
    </row>
    <row r="1194" spans="2:6" x14ac:dyDescent="0.3">
      <c r="B1194" t="s">
        <v>18</v>
      </c>
      <c r="D1194">
        <v>1</v>
      </c>
      <c r="E1194">
        <v>0</v>
      </c>
      <c r="F1194">
        <v>1</v>
      </c>
    </row>
    <row r="1195" spans="2:6" x14ac:dyDescent="0.3">
      <c r="B1195" t="s">
        <v>18</v>
      </c>
      <c r="D1195">
        <v>1</v>
      </c>
      <c r="E1195">
        <v>0</v>
      </c>
      <c r="F1195">
        <v>1</v>
      </c>
    </row>
    <row r="1196" spans="2:6" x14ac:dyDescent="0.3">
      <c r="B1196" t="s">
        <v>18</v>
      </c>
      <c r="D1196">
        <v>1</v>
      </c>
      <c r="E1196">
        <v>0</v>
      </c>
      <c r="F1196">
        <v>1</v>
      </c>
    </row>
    <row r="1197" spans="2:6" x14ac:dyDescent="0.3">
      <c r="B1197" t="s">
        <v>18</v>
      </c>
      <c r="D1197">
        <v>1</v>
      </c>
      <c r="E1197">
        <v>0</v>
      </c>
      <c r="F1197">
        <v>1</v>
      </c>
    </row>
    <row r="1198" spans="2:6" x14ac:dyDescent="0.3">
      <c r="B1198" t="s">
        <v>18</v>
      </c>
      <c r="D1198">
        <v>1</v>
      </c>
      <c r="E1198">
        <v>0</v>
      </c>
      <c r="F1198">
        <v>1</v>
      </c>
    </row>
    <row r="1199" spans="2:6" x14ac:dyDescent="0.3">
      <c r="B1199" t="s">
        <v>18</v>
      </c>
      <c r="D1199">
        <v>1</v>
      </c>
      <c r="E1199">
        <v>0</v>
      </c>
      <c r="F1199">
        <v>1</v>
      </c>
    </row>
    <row r="1200" spans="2:6" x14ac:dyDescent="0.3">
      <c r="B1200" t="s">
        <v>18</v>
      </c>
      <c r="D1200">
        <v>1</v>
      </c>
      <c r="E1200">
        <v>0</v>
      </c>
      <c r="F1200">
        <v>1</v>
      </c>
    </row>
    <row r="1201" spans="2:6" x14ac:dyDescent="0.3">
      <c r="B1201" t="s">
        <v>18</v>
      </c>
      <c r="D1201">
        <v>1</v>
      </c>
      <c r="E1201">
        <v>0</v>
      </c>
      <c r="F1201">
        <v>1</v>
      </c>
    </row>
    <row r="1202" spans="2:6" x14ac:dyDescent="0.3">
      <c r="B1202" t="s">
        <v>18</v>
      </c>
      <c r="D1202">
        <v>1</v>
      </c>
      <c r="E1202">
        <v>0</v>
      </c>
      <c r="F1202">
        <v>1</v>
      </c>
    </row>
    <row r="1203" spans="2:6" x14ac:dyDescent="0.3">
      <c r="B1203" t="s">
        <v>18</v>
      </c>
      <c r="D1203">
        <v>1</v>
      </c>
      <c r="E1203">
        <v>0</v>
      </c>
      <c r="F1203">
        <v>1</v>
      </c>
    </row>
    <row r="1204" spans="2:6" x14ac:dyDescent="0.3">
      <c r="B1204" t="s">
        <v>18</v>
      </c>
      <c r="D1204">
        <v>1</v>
      </c>
      <c r="E1204">
        <v>0</v>
      </c>
      <c r="F1204">
        <v>1</v>
      </c>
    </row>
    <row r="1205" spans="2:6" x14ac:dyDescent="0.3">
      <c r="B1205" t="s">
        <v>18</v>
      </c>
      <c r="D1205">
        <v>1</v>
      </c>
      <c r="E1205">
        <v>0</v>
      </c>
      <c r="F1205">
        <v>1</v>
      </c>
    </row>
    <row r="1206" spans="2:6" x14ac:dyDescent="0.3">
      <c r="B1206" t="s">
        <v>18</v>
      </c>
      <c r="D1206">
        <v>1</v>
      </c>
      <c r="E1206">
        <v>0</v>
      </c>
      <c r="F1206">
        <v>1</v>
      </c>
    </row>
    <row r="1207" spans="2:6" x14ac:dyDescent="0.3">
      <c r="B1207" t="s">
        <v>18</v>
      </c>
      <c r="D1207">
        <v>1</v>
      </c>
      <c r="E1207">
        <v>0</v>
      </c>
      <c r="F1207">
        <v>1</v>
      </c>
    </row>
    <row r="1208" spans="2:6" x14ac:dyDescent="0.3">
      <c r="B1208" t="s">
        <v>18</v>
      </c>
      <c r="D1208">
        <v>1</v>
      </c>
      <c r="E1208">
        <v>0</v>
      </c>
      <c r="F1208">
        <v>1</v>
      </c>
    </row>
    <row r="1209" spans="2:6" x14ac:dyDescent="0.3">
      <c r="B1209" t="s">
        <v>18</v>
      </c>
      <c r="D1209">
        <v>1</v>
      </c>
      <c r="E1209">
        <v>0</v>
      </c>
      <c r="F1209">
        <v>1</v>
      </c>
    </row>
    <row r="1210" spans="2:6" x14ac:dyDescent="0.3">
      <c r="B1210" t="s">
        <v>18</v>
      </c>
      <c r="D1210">
        <v>1</v>
      </c>
      <c r="E1210">
        <v>0</v>
      </c>
      <c r="F1210">
        <v>1</v>
      </c>
    </row>
    <row r="1211" spans="2:6" x14ac:dyDescent="0.3">
      <c r="B1211" t="s">
        <v>18</v>
      </c>
      <c r="D1211">
        <v>1</v>
      </c>
      <c r="E1211">
        <v>0</v>
      </c>
      <c r="F1211">
        <v>1</v>
      </c>
    </row>
    <row r="1212" spans="2:6" x14ac:dyDescent="0.3">
      <c r="B1212" t="s">
        <v>18</v>
      </c>
      <c r="D1212">
        <v>1</v>
      </c>
      <c r="E1212">
        <v>0</v>
      </c>
      <c r="F1212">
        <v>1</v>
      </c>
    </row>
    <row r="1213" spans="2:6" x14ac:dyDescent="0.3">
      <c r="B1213" t="s">
        <v>18</v>
      </c>
      <c r="D1213">
        <v>1</v>
      </c>
      <c r="E1213">
        <v>0</v>
      </c>
      <c r="F1213">
        <v>1</v>
      </c>
    </row>
    <row r="1214" spans="2:6" x14ac:dyDescent="0.3">
      <c r="B1214" t="s">
        <v>18</v>
      </c>
      <c r="D1214">
        <v>1</v>
      </c>
      <c r="E1214">
        <v>0</v>
      </c>
      <c r="F1214">
        <v>1</v>
      </c>
    </row>
    <row r="1215" spans="2:6" x14ac:dyDescent="0.3">
      <c r="B1215" t="s">
        <v>18</v>
      </c>
      <c r="D1215">
        <v>1</v>
      </c>
      <c r="E1215">
        <v>0</v>
      </c>
      <c r="F1215">
        <v>1</v>
      </c>
    </row>
    <row r="1216" spans="2:6" x14ac:dyDescent="0.3">
      <c r="B1216" t="s">
        <v>18</v>
      </c>
      <c r="D1216">
        <v>1</v>
      </c>
      <c r="E1216">
        <v>0</v>
      </c>
      <c r="F1216">
        <v>1</v>
      </c>
    </row>
    <row r="1217" spans="2:6" x14ac:dyDescent="0.3">
      <c r="B1217" t="s">
        <v>18</v>
      </c>
      <c r="D1217">
        <v>1</v>
      </c>
      <c r="E1217">
        <v>0</v>
      </c>
      <c r="F1217">
        <v>1</v>
      </c>
    </row>
    <row r="1218" spans="2:6" x14ac:dyDescent="0.3">
      <c r="B1218" t="s">
        <v>18</v>
      </c>
      <c r="D1218">
        <v>1</v>
      </c>
      <c r="E1218">
        <v>0</v>
      </c>
      <c r="F1218">
        <v>1</v>
      </c>
    </row>
    <row r="1219" spans="2:6" x14ac:dyDescent="0.3">
      <c r="B1219" t="s">
        <v>18</v>
      </c>
      <c r="D1219">
        <v>1</v>
      </c>
      <c r="E1219">
        <v>0</v>
      </c>
      <c r="F1219">
        <v>1</v>
      </c>
    </row>
    <row r="1220" spans="2:6" x14ac:dyDescent="0.3">
      <c r="B1220" t="s">
        <v>18</v>
      </c>
      <c r="D1220">
        <v>1</v>
      </c>
      <c r="E1220">
        <v>0</v>
      </c>
      <c r="F1220">
        <v>1</v>
      </c>
    </row>
    <row r="1221" spans="2:6" x14ac:dyDescent="0.3">
      <c r="B1221" t="s">
        <v>18</v>
      </c>
      <c r="D1221">
        <v>1</v>
      </c>
      <c r="E1221">
        <v>0</v>
      </c>
      <c r="F1221">
        <v>1</v>
      </c>
    </row>
    <row r="1222" spans="2:6" x14ac:dyDescent="0.3">
      <c r="B1222" t="s">
        <v>18</v>
      </c>
      <c r="D1222">
        <v>1</v>
      </c>
      <c r="E1222">
        <v>0</v>
      </c>
      <c r="F1222">
        <v>1</v>
      </c>
    </row>
    <row r="1223" spans="2:6" x14ac:dyDescent="0.3">
      <c r="B1223" t="s">
        <v>18</v>
      </c>
      <c r="D1223">
        <v>1</v>
      </c>
      <c r="E1223">
        <v>0</v>
      </c>
      <c r="F1223">
        <v>1</v>
      </c>
    </row>
    <row r="1224" spans="2:6" x14ac:dyDescent="0.3">
      <c r="B1224" t="s">
        <v>18</v>
      </c>
      <c r="D1224">
        <v>1</v>
      </c>
      <c r="E1224">
        <v>0</v>
      </c>
      <c r="F1224">
        <v>1</v>
      </c>
    </row>
    <row r="1225" spans="2:6" x14ac:dyDescent="0.3">
      <c r="B1225" t="s">
        <v>18</v>
      </c>
      <c r="D1225">
        <v>1</v>
      </c>
      <c r="E1225">
        <v>0</v>
      </c>
      <c r="F1225">
        <v>1</v>
      </c>
    </row>
    <row r="1226" spans="2:6" x14ac:dyDescent="0.3">
      <c r="B1226" t="s">
        <v>18</v>
      </c>
      <c r="D1226">
        <v>1</v>
      </c>
      <c r="E1226">
        <v>0</v>
      </c>
      <c r="F1226">
        <v>1</v>
      </c>
    </row>
    <row r="1227" spans="2:6" x14ac:dyDescent="0.3">
      <c r="B1227" t="s">
        <v>18</v>
      </c>
      <c r="D1227">
        <v>1</v>
      </c>
      <c r="E1227">
        <v>0</v>
      </c>
      <c r="F1227">
        <v>1</v>
      </c>
    </row>
    <row r="1228" spans="2:6" x14ac:dyDescent="0.3">
      <c r="B1228" t="s">
        <v>18</v>
      </c>
      <c r="D1228">
        <v>1</v>
      </c>
      <c r="E1228">
        <v>0</v>
      </c>
      <c r="F1228">
        <v>1</v>
      </c>
    </row>
    <row r="1229" spans="2:6" x14ac:dyDescent="0.3">
      <c r="B1229" t="s">
        <v>18</v>
      </c>
      <c r="D1229">
        <v>1</v>
      </c>
      <c r="E1229">
        <v>0</v>
      </c>
      <c r="F1229">
        <v>1</v>
      </c>
    </row>
    <row r="1230" spans="2:6" x14ac:dyDescent="0.3">
      <c r="B1230" t="s">
        <v>18</v>
      </c>
      <c r="D1230">
        <v>1</v>
      </c>
      <c r="E1230">
        <v>0</v>
      </c>
      <c r="F1230">
        <v>1</v>
      </c>
    </row>
    <row r="1231" spans="2:6" x14ac:dyDescent="0.3">
      <c r="B1231" t="s">
        <v>18</v>
      </c>
      <c r="D1231">
        <v>1</v>
      </c>
      <c r="E1231">
        <v>0</v>
      </c>
      <c r="F1231">
        <v>1</v>
      </c>
    </row>
    <row r="1232" spans="2:6" x14ac:dyDescent="0.3">
      <c r="B1232" t="s">
        <v>18</v>
      </c>
      <c r="D1232">
        <v>1</v>
      </c>
      <c r="E1232">
        <v>0</v>
      </c>
      <c r="F1232">
        <v>1</v>
      </c>
    </row>
    <row r="1233" spans="2:6" x14ac:dyDescent="0.3">
      <c r="B1233" t="s">
        <v>18</v>
      </c>
      <c r="D1233">
        <v>1</v>
      </c>
      <c r="E1233">
        <v>0</v>
      </c>
      <c r="F1233">
        <v>1</v>
      </c>
    </row>
    <row r="1234" spans="2:6" x14ac:dyDescent="0.3">
      <c r="B1234" t="s">
        <v>18</v>
      </c>
      <c r="D1234">
        <v>1</v>
      </c>
      <c r="E1234">
        <v>0</v>
      </c>
      <c r="F1234">
        <v>1</v>
      </c>
    </row>
    <row r="1235" spans="2:6" x14ac:dyDescent="0.3">
      <c r="B1235" t="s">
        <v>18</v>
      </c>
      <c r="D1235">
        <v>1</v>
      </c>
      <c r="E1235">
        <v>0</v>
      </c>
      <c r="F1235">
        <v>1</v>
      </c>
    </row>
    <row r="1236" spans="2:6" x14ac:dyDescent="0.3">
      <c r="B1236" t="s">
        <v>18</v>
      </c>
      <c r="D1236">
        <v>1</v>
      </c>
      <c r="E1236">
        <v>0</v>
      </c>
      <c r="F1236">
        <v>1</v>
      </c>
    </row>
    <row r="1237" spans="2:6" x14ac:dyDescent="0.3">
      <c r="B1237" t="s">
        <v>18</v>
      </c>
      <c r="D1237">
        <v>1</v>
      </c>
      <c r="E1237">
        <v>0</v>
      </c>
      <c r="F1237">
        <v>1</v>
      </c>
    </row>
    <row r="1238" spans="2:6" x14ac:dyDescent="0.3">
      <c r="B1238" t="s">
        <v>18</v>
      </c>
      <c r="D1238">
        <v>1</v>
      </c>
      <c r="E1238">
        <v>0</v>
      </c>
      <c r="F1238">
        <v>1</v>
      </c>
    </row>
    <row r="1239" spans="2:6" x14ac:dyDescent="0.3">
      <c r="B1239" t="s">
        <v>18</v>
      </c>
      <c r="D1239">
        <v>1</v>
      </c>
      <c r="E1239">
        <v>0</v>
      </c>
      <c r="F1239">
        <v>1</v>
      </c>
    </row>
    <row r="1240" spans="2:6" x14ac:dyDescent="0.3">
      <c r="B1240" t="s">
        <v>18</v>
      </c>
      <c r="D1240">
        <v>1</v>
      </c>
      <c r="E1240">
        <v>0</v>
      </c>
      <c r="F1240">
        <v>1</v>
      </c>
    </row>
    <row r="1241" spans="2:6" x14ac:dyDescent="0.3">
      <c r="B1241" t="s">
        <v>18</v>
      </c>
      <c r="D1241">
        <v>1</v>
      </c>
      <c r="E1241">
        <v>0</v>
      </c>
      <c r="F1241">
        <v>1</v>
      </c>
    </row>
    <row r="1242" spans="2:6" x14ac:dyDescent="0.3">
      <c r="B1242" t="s">
        <v>18</v>
      </c>
      <c r="D1242">
        <v>1</v>
      </c>
      <c r="E1242">
        <v>0</v>
      </c>
      <c r="F1242">
        <v>1</v>
      </c>
    </row>
    <row r="1243" spans="2:6" x14ac:dyDescent="0.3">
      <c r="B1243" t="s">
        <v>18</v>
      </c>
      <c r="D1243">
        <v>1</v>
      </c>
      <c r="E1243">
        <v>0</v>
      </c>
      <c r="F1243">
        <v>1</v>
      </c>
    </row>
    <row r="1244" spans="2:6" x14ac:dyDescent="0.3">
      <c r="B1244" t="s">
        <v>18</v>
      </c>
      <c r="D1244">
        <v>1</v>
      </c>
      <c r="E1244">
        <v>0</v>
      </c>
      <c r="F1244">
        <v>1</v>
      </c>
    </row>
    <row r="1245" spans="2:6" x14ac:dyDescent="0.3">
      <c r="B1245" t="s">
        <v>18</v>
      </c>
      <c r="D1245">
        <v>1</v>
      </c>
      <c r="E1245">
        <v>0</v>
      </c>
      <c r="F1245">
        <v>1</v>
      </c>
    </row>
    <row r="1246" spans="2:6" x14ac:dyDescent="0.3">
      <c r="B1246" t="s">
        <v>18</v>
      </c>
      <c r="D1246">
        <v>1</v>
      </c>
      <c r="E1246">
        <v>0</v>
      </c>
      <c r="F1246">
        <v>1</v>
      </c>
    </row>
    <row r="1247" spans="2:6" x14ac:dyDescent="0.3">
      <c r="B1247" t="s">
        <v>18</v>
      </c>
      <c r="D1247">
        <v>1</v>
      </c>
      <c r="E1247">
        <v>0</v>
      </c>
      <c r="F1247">
        <v>1</v>
      </c>
    </row>
    <row r="1248" spans="2:6" x14ac:dyDescent="0.3">
      <c r="B1248" t="s">
        <v>18</v>
      </c>
      <c r="D1248">
        <v>1</v>
      </c>
      <c r="E1248">
        <v>0</v>
      </c>
      <c r="F1248">
        <v>1</v>
      </c>
    </row>
    <row r="1249" spans="2:6" x14ac:dyDescent="0.3">
      <c r="B1249" t="s">
        <v>18</v>
      </c>
      <c r="D1249">
        <v>1</v>
      </c>
      <c r="E1249">
        <v>0</v>
      </c>
      <c r="F1249">
        <v>1</v>
      </c>
    </row>
    <row r="1250" spans="2:6" x14ac:dyDescent="0.3">
      <c r="B1250" t="s">
        <v>18</v>
      </c>
      <c r="D1250">
        <v>1</v>
      </c>
      <c r="E1250">
        <v>0</v>
      </c>
      <c r="F1250">
        <v>1</v>
      </c>
    </row>
    <row r="1251" spans="2:6" x14ac:dyDescent="0.3">
      <c r="B1251" t="s">
        <v>18</v>
      </c>
      <c r="D1251">
        <v>1</v>
      </c>
      <c r="E1251">
        <v>0</v>
      </c>
      <c r="F1251">
        <v>1</v>
      </c>
    </row>
    <row r="1252" spans="2:6" x14ac:dyDescent="0.3">
      <c r="B1252" t="s">
        <v>18</v>
      </c>
      <c r="D1252">
        <v>1</v>
      </c>
      <c r="E1252">
        <v>0</v>
      </c>
      <c r="F1252">
        <v>1</v>
      </c>
    </row>
    <row r="1253" spans="2:6" x14ac:dyDescent="0.3">
      <c r="B1253" t="s">
        <v>18</v>
      </c>
      <c r="D1253">
        <v>1</v>
      </c>
      <c r="E1253">
        <v>0</v>
      </c>
      <c r="F1253">
        <v>1</v>
      </c>
    </row>
    <row r="1254" spans="2:6" x14ac:dyDescent="0.3">
      <c r="B1254" t="s">
        <v>18</v>
      </c>
      <c r="D1254">
        <v>1</v>
      </c>
      <c r="E1254">
        <v>0</v>
      </c>
      <c r="F1254">
        <v>1</v>
      </c>
    </row>
    <row r="1255" spans="2:6" x14ac:dyDescent="0.3">
      <c r="B1255" t="s">
        <v>18</v>
      </c>
      <c r="D1255">
        <v>1</v>
      </c>
      <c r="E1255">
        <v>0</v>
      </c>
      <c r="F1255">
        <v>1</v>
      </c>
    </row>
    <row r="1256" spans="2:6" x14ac:dyDescent="0.3">
      <c r="B1256" t="s">
        <v>18</v>
      </c>
      <c r="D1256">
        <v>1</v>
      </c>
      <c r="E1256">
        <v>0</v>
      </c>
      <c r="F1256">
        <v>1</v>
      </c>
    </row>
    <row r="1257" spans="2:6" x14ac:dyDescent="0.3">
      <c r="B1257" t="s">
        <v>18</v>
      </c>
      <c r="D1257">
        <v>1</v>
      </c>
      <c r="E1257">
        <v>0</v>
      </c>
      <c r="F1257">
        <v>1</v>
      </c>
    </row>
    <row r="1258" spans="2:6" x14ac:dyDescent="0.3">
      <c r="B1258" t="s">
        <v>18</v>
      </c>
      <c r="D1258">
        <v>1</v>
      </c>
      <c r="E1258">
        <v>0</v>
      </c>
      <c r="F1258">
        <v>1</v>
      </c>
    </row>
    <row r="1259" spans="2:6" x14ac:dyDescent="0.3">
      <c r="B1259" t="s">
        <v>18</v>
      </c>
      <c r="D1259">
        <v>1</v>
      </c>
      <c r="E1259">
        <v>0</v>
      </c>
      <c r="F1259">
        <v>1</v>
      </c>
    </row>
    <row r="1260" spans="2:6" x14ac:dyDescent="0.3">
      <c r="B1260" t="s">
        <v>18</v>
      </c>
      <c r="D1260">
        <v>1</v>
      </c>
      <c r="E1260">
        <v>0</v>
      </c>
      <c r="F1260">
        <v>1</v>
      </c>
    </row>
    <row r="1261" spans="2:6" x14ac:dyDescent="0.3">
      <c r="B1261" t="s">
        <v>18</v>
      </c>
      <c r="D1261">
        <v>1</v>
      </c>
      <c r="E1261">
        <v>0</v>
      </c>
      <c r="F1261">
        <v>1</v>
      </c>
    </row>
    <row r="1262" spans="2:6" x14ac:dyDescent="0.3">
      <c r="B1262" t="s">
        <v>18</v>
      </c>
      <c r="D1262">
        <v>1</v>
      </c>
      <c r="E1262">
        <v>0</v>
      </c>
      <c r="F1262">
        <v>1</v>
      </c>
    </row>
    <row r="1263" spans="2:6" x14ac:dyDescent="0.3">
      <c r="B1263" t="s">
        <v>18</v>
      </c>
      <c r="D1263">
        <v>1</v>
      </c>
      <c r="E1263">
        <v>0</v>
      </c>
      <c r="F1263">
        <v>1</v>
      </c>
    </row>
    <row r="1264" spans="2:6" x14ac:dyDescent="0.3">
      <c r="B1264" t="s">
        <v>18</v>
      </c>
      <c r="D1264">
        <v>1</v>
      </c>
      <c r="E1264">
        <v>0</v>
      </c>
      <c r="F1264">
        <v>1</v>
      </c>
    </row>
    <row r="1265" spans="2:6" x14ac:dyDescent="0.3">
      <c r="B1265" t="s">
        <v>18</v>
      </c>
      <c r="D1265">
        <v>1</v>
      </c>
      <c r="E1265">
        <v>0</v>
      </c>
      <c r="F1265">
        <v>1</v>
      </c>
    </row>
    <row r="1266" spans="2:6" x14ac:dyDescent="0.3">
      <c r="B1266" t="s">
        <v>18</v>
      </c>
      <c r="D1266">
        <v>1</v>
      </c>
      <c r="E1266">
        <v>0</v>
      </c>
      <c r="F1266">
        <v>1</v>
      </c>
    </row>
    <row r="1267" spans="2:6" x14ac:dyDescent="0.3">
      <c r="B1267" t="s">
        <v>19</v>
      </c>
      <c r="D1267">
        <v>1</v>
      </c>
      <c r="E1267">
        <v>1</v>
      </c>
      <c r="F1267">
        <v>1</v>
      </c>
    </row>
    <row r="1268" spans="2:6" x14ac:dyDescent="0.3">
      <c r="B1268" t="s">
        <v>483</v>
      </c>
      <c r="D1268">
        <v>3</v>
      </c>
      <c r="E1268">
        <v>2</v>
      </c>
      <c r="F1268">
        <v>1</v>
      </c>
    </row>
    <row r="1269" spans="2:6" x14ac:dyDescent="0.3">
      <c r="B1269" t="s">
        <v>348</v>
      </c>
      <c r="D1269">
        <v>6</v>
      </c>
      <c r="E1269">
        <v>6</v>
      </c>
      <c r="F1269">
        <v>1</v>
      </c>
    </row>
    <row r="1270" spans="2:6" x14ac:dyDescent="0.3">
      <c r="B1270" t="s">
        <v>907</v>
      </c>
      <c r="D1270">
        <v>14</v>
      </c>
      <c r="E1270">
        <v>12</v>
      </c>
      <c r="F1270">
        <v>1</v>
      </c>
    </row>
    <row r="1271" spans="2:6" x14ac:dyDescent="0.3">
      <c r="B1271" t="s">
        <v>15</v>
      </c>
      <c r="D1271">
        <v>31</v>
      </c>
      <c r="E1271">
        <v>32</v>
      </c>
      <c r="F1271">
        <v>1</v>
      </c>
    </row>
    <row r="1272" spans="2:6" x14ac:dyDescent="0.3">
      <c r="B1272" t="s">
        <v>908</v>
      </c>
      <c r="D1272">
        <v>60</v>
      </c>
      <c r="E1272">
        <v>53</v>
      </c>
      <c r="F1272">
        <v>1</v>
      </c>
    </row>
    <row r="1273" spans="2:6" x14ac:dyDescent="0.3">
      <c r="B1273" t="s">
        <v>909</v>
      </c>
      <c r="D1273">
        <v>83</v>
      </c>
      <c r="E1273">
        <v>85</v>
      </c>
      <c r="F1273">
        <v>1</v>
      </c>
    </row>
    <row r="1274" spans="2:6" x14ac:dyDescent="0.3">
      <c r="B1274" t="s">
        <v>910</v>
      </c>
      <c r="D1274">
        <v>83</v>
      </c>
      <c r="E1274">
        <v>164</v>
      </c>
      <c r="F1274">
        <v>1</v>
      </c>
    </row>
    <row r="1275" spans="2:6" x14ac:dyDescent="0.3">
      <c r="B1275" t="s">
        <v>911</v>
      </c>
      <c r="D1275">
        <v>95</v>
      </c>
      <c r="E1275">
        <v>297</v>
      </c>
      <c r="F1275">
        <v>1</v>
      </c>
    </row>
    <row r="1276" spans="2:6" x14ac:dyDescent="0.3">
      <c r="B1276" t="s">
        <v>912</v>
      </c>
      <c r="D1276">
        <v>105</v>
      </c>
      <c r="E1276">
        <v>464</v>
      </c>
      <c r="F1276">
        <v>1</v>
      </c>
    </row>
    <row r="1277" spans="2:6" x14ac:dyDescent="0.3">
      <c r="B1277" t="s">
        <v>913</v>
      </c>
      <c r="D1277">
        <v>112</v>
      </c>
      <c r="E1277">
        <v>610</v>
      </c>
      <c r="F1277">
        <v>1</v>
      </c>
    </row>
    <row r="1278" spans="2:6" x14ac:dyDescent="0.3">
      <c r="B1278" t="s">
        <v>914</v>
      </c>
      <c r="D1278">
        <v>119</v>
      </c>
      <c r="E1278">
        <v>757</v>
      </c>
      <c r="F1278">
        <v>1</v>
      </c>
    </row>
    <row r="1279" spans="2:6" x14ac:dyDescent="0.3">
      <c r="B1279" t="s">
        <v>915</v>
      </c>
      <c r="D1279">
        <v>124</v>
      </c>
      <c r="E1279">
        <v>1076</v>
      </c>
      <c r="F1279">
        <v>1</v>
      </c>
    </row>
    <row r="1280" spans="2:6" x14ac:dyDescent="0.3">
      <c r="B1280" t="s">
        <v>916</v>
      </c>
      <c r="D1280">
        <v>131</v>
      </c>
      <c r="E1280">
        <v>1951</v>
      </c>
      <c r="F1280">
        <v>1</v>
      </c>
    </row>
    <row r="1281" spans="2:6" x14ac:dyDescent="0.3">
      <c r="B1281" t="s">
        <v>917</v>
      </c>
      <c r="D1281">
        <v>134</v>
      </c>
      <c r="E1281">
        <v>1746</v>
      </c>
      <c r="F1281">
        <v>1</v>
      </c>
    </row>
    <row r="1282" spans="2:6" x14ac:dyDescent="0.3">
      <c r="B1282" t="s">
        <v>918</v>
      </c>
      <c r="D1282">
        <v>136</v>
      </c>
      <c r="E1282">
        <v>2260</v>
      </c>
      <c r="F1282">
        <v>1</v>
      </c>
    </row>
    <row r="1283" spans="2:6" x14ac:dyDescent="0.3">
      <c r="B1283" t="s">
        <v>919</v>
      </c>
      <c r="D1283">
        <v>139</v>
      </c>
      <c r="E1283">
        <v>2534</v>
      </c>
      <c r="F1283">
        <v>1</v>
      </c>
    </row>
    <row r="1284" spans="2:6" x14ac:dyDescent="0.3">
      <c r="B1284" t="s">
        <v>920</v>
      </c>
      <c r="D1284">
        <v>139</v>
      </c>
      <c r="E1284">
        <v>2505</v>
      </c>
      <c r="F1284">
        <v>1</v>
      </c>
    </row>
    <row r="1285" spans="2:6" x14ac:dyDescent="0.3">
      <c r="B1285" t="s">
        <v>921</v>
      </c>
      <c r="D1285">
        <v>140</v>
      </c>
      <c r="E1285">
        <v>2556</v>
      </c>
      <c r="F1285">
        <v>1</v>
      </c>
    </row>
    <row r="1286" spans="2:6" x14ac:dyDescent="0.3">
      <c r="B1286" t="s">
        <v>922</v>
      </c>
      <c r="D1286">
        <v>142</v>
      </c>
      <c r="E1286">
        <v>2747</v>
      </c>
      <c r="F1286">
        <v>1</v>
      </c>
    </row>
    <row r="1287" spans="2:6" x14ac:dyDescent="0.3">
      <c r="B1287" t="s">
        <v>923</v>
      </c>
      <c r="D1287">
        <v>144</v>
      </c>
      <c r="E1287">
        <v>3146</v>
      </c>
      <c r="F1287">
        <v>1</v>
      </c>
    </row>
    <row r="1288" spans="2:6" x14ac:dyDescent="0.3">
      <c r="B1288" t="s">
        <v>924</v>
      </c>
      <c r="D1288">
        <v>143</v>
      </c>
      <c r="E1288">
        <v>3047</v>
      </c>
      <c r="F1288">
        <v>1</v>
      </c>
    </row>
    <row r="1289" spans="2:6" x14ac:dyDescent="0.3">
      <c r="B1289" t="s">
        <v>925</v>
      </c>
      <c r="D1289">
        <v>146</v>
      </c>
      <c r="E1289">
        <v>3767</v>
      </c>
      <c r="F1289">
        <v>1</v>
      </c>
    </row>
    <row r="1290" spans="2:6" x14ac:dyDescent="0.3">
      <c r="B1290" t="s">
        <v>926</v>
      </c>
      <c r="D1290">
        <v>146</v>
      </c>
      <c r="E1290">
        <v>4354</v>
      </c>
      <c r="F1290">
        <v>1</v>
      </c>
    </row>
    <row r="1291" spans="2:6" x14ac:dyDescent="0.3">
      <c r="B1291" t="s">
        <v>927</v>
      </c>
      <c r="D1291">
        <v>146</v>
      </c>
      <c r="E1291">
        <v>3967</v>
      </c>
      <c r="F1291">
        <v>1</v>
      </c>
    </row>
    <row r="1292" spans="2:6" x14ac:dyDescent="0.3">
      <c r="B1292" t="s">
        <v>928</v>
      </c>
      <c r="D1292">
        <v>146</v>
      </c>
      <c r="E1292">
        <v>3578</v>
      </c>
      <c r="F1292">
        <v>1</v>
      </c>
    </row>
    <row r="1293" spans="2:6" x14ac:dyDescent="0.3">
      <c r="B1293" t="s">
        <v>929</v>
      </c>
      <c r="D1293">
        <v>147</v>
      </c>
      <c r="E1293">
        <v>3807</v>
      </c>
      <c r="F1293">
        <v>1</v>
      </c>
    </row>
    <row r="1294" spans="2:6" x14ac:dyDescent="0.3">
      <c r="B1294" t="s">
        <v>930</v>
      </c>
      <c r="D1294">
        <v>148</v>
      </c>
      <c r="E1294">
        <v>4236</v>
      </c>
      <c r="F1294">
        <v>1</v>
      </c>
    </row>
    <row r="1295" spans="2:6" x14ac:dyDescent="0.3">
      <c r="B1295" t="s">
        <v>931</v>
      </c>
      <c r="D1295">
        <v>150</v>
      </c>
      <c r="E1295">
        <v>5196</v>
      </c>
      <c r="F1295">
        <v>1</v>
      </c>
    </row>
    <row r="1296" spans="2:6" x14ac:dyDescent="0.3">
      <c r="B1296" t="s">
        <v>932</v>
      </c>
      <c r="D1296">
        <v>152</v>
      </c>
      <c r="E1296">
        <v>5446</v>
      </c>
      <c r="F1296">
        <v>1</v>
      </c>
    </row>
    <row r="1297" spans="2:6" x14ac:dyDescent="0.3">
      <c r="B1297" t="s">
        <v>933</v>
      </c>
      <c r="D1297">
        <v>152</v>
      </c>
      <c r="E1297">
        <v>5746</v>
      </c>
      <c r="F1297">
        <v>1</v>
      </c>
    </row>
    <row r="1298" spans="2:6" x14ac:dyDescent="0.3">
      <c r="B1298" t="s">
        <v>934</v>
      </c>
      <c r="D1298">
        <v>152</v>
      </c>
      <c r="E1298">
        <v>4892</v>
      </c>
      <c r="F1298">
        <v>1</v>
      </c>
    </row>
    <row r="1299" spans="2:6" x14ac:dyDescent="0.3">
      <c r="B1299" t="s">
        <v>935</v>
      </c>
      <c r="D1299">
        <v>151</v>
      </c>
      <c r="E1299">
        <v>4348</v>
      </c>
      <c r="F1299">
        <v>1</v>
      </c>
    </row>
    <row r="1300" spans="2:6" x14ac:dyDescent="0.3">
      <c r="B1300" t="s">
        <v>936</v>
      </c>
      <c r="D1300">
        <v>152</v>
      </c>
      <c r="E1300">
        <v>5298</v>
      </c>
      <c r="F1300">
        <v>1</v>
      </c>
    </row>
    <row r="1301" spans="2:6" x14ac:dyDescent="0.3">
      <c r="B1301" t="s">
        <v>937</v>
      </c>
      <c r="D1301">
        <v>152</v>
      </c>
      <c r="E1301">
        <v>5984</v>
      </c>
      <c r="F1301">
        <v>1</v>
      </c>
    </row>
    <row r="1302" spans="2:6" x14ac:dyDescent="0.3">
      <c r="B1302" t="s">
        <v>938</v>
      </c>
      <c r="D1302">
        <v>153</v>
      </c>
      <c r="E1302">
        <v>5470</v>
      </c>
      <c r="F1302">
        <v>1</v>
      </c>
    </row>
    <row r="1303" spans="2:6" x14ac:dyDescent="0.3">
      <c r="B1303" t="s">
        <v>939</v>
      </c>
      <c r="D1303">
        <v>153</v>
      </c>
      <c r="E1303">
        <v>6210</v>
      </c>
      <c r="F1303">
        <v>1</v>
      </c>
    </row>
    <row r="1304" spans="2:6" x14ac:dyDescent="0.3">
      <c r="B1304" t="s">
        <v>940</v>
      </c>
      <c r="D1304">
        <v>154</v>
      </c>
      <c r="E1304">
        <v>5790</v>
      </c>
      <c r="F1304">
        <v>1</v>
      </c>
    </row>
    <row r="1305" spans="2:6" x14ac:dyDescent="0.3">
      <c r="B1305" t="s">
        <v>941</v>
      </c>
      <c r="D1305">
        <v>154</v>
      </c>
      <c r="E1305">
        <v>5942</v>
      </c>
      <c r="F1305">
        <v>1</v>
      </c>
    </row>
    <row r="1306" spans="2:6" x14ac:dyDescent="0.3">
      <c r="B1306" t="s">
        <v>942</v>
      </c>
      <c r="D1306">
        <v>157</v>
      </c>
      <c r="E1306">
        <v>7664</v>
      </c>
      <c r="F1306">
        <v>1</v>
      </c>
    </row>
    <row r="1307" spans="2:6" x14ac:dyDescent="0.3">
      <c r="B1307" t="s">
        <v>943</v>
      </c>
      <c r="D1307">
        <v>154</v>
      </c>
      <c r="E1307">
        <v>6352</v>
      </c>
      <c r="F1307">
        <v>1</v>
      </c>
    </row>
    <row r="1308" spans="2:6" x14ac:dyDescent="0.3">
      <c r="B1308" t="s">
        <v>944</v>
      </c>
      <c r="D1308">
        <v>156</v>
      </c>
      <c r="E1308">
        <v>6844</v>
      </c>
      <c r="F1308">
        <v>1</v>
      </c>
    </row>
    <row r="1309" spans="2:6" x14ac:dyDescent="0.3">
      <c r="B1309" t="s">
        <v>945</v>
      </c>
      <c r="D1309">
        <v>156</v>
      </c>
      <c r="E1309">
        <v>6992</v>
      </c>
      <c r="F1309">
        <v>1</v>
      </c>
    </row>
    <row r="1310" spans="2:6" x14ac:dyDescent="0.3">
      <c r="B1310" t="s">
        <v>946</v>
      </c>
      <c r="D1310">
        <v>156</v>
      </c>
      <c r="E1310">
        <v>6546</v>
      </c>
      <c r="F1310">
        <v>1</v>
      </c>
    </row>
    <row r="1311" spans="2:6" x14ac:dyDescent="0.3">
      <c r="B1311" t="s">
        <v>947</v>
      </c>
      <c r="D1311">
        <v>157</v>
      </c>
      <c r="E1311">
        <v>7348</v>
      </c>
      <c r="F1311">
        <v>1</v>
      </c>
    </row>
    <row r="1312" spans="2:6" x14ac:dyDescent="0.3">
      <c r="B1312" t="s">
        <v>948</v>
      </c>
      <c r="D1312">
        <v>160</v>
      </c>
      <c r="E1312">
        <v>7948</v>
      </c>
      <c r="F1312">
        <v>1</v>
      </c>
    </row>
    <row r="1313" spans="2:6" x14ac:dyDescent="0.3">
      <c r="B1313" t="s">
        <v>949</v>
      </c>
      <c r="D1313">
        <v>160</v>
      </c>
      <c r="E1313">
        <v>9168</v>
      </c>
      <c r="F1313">
        <v>1</v>
      </c>
    </row>
    <row r="1314" spans="2:6" x14ac:dyDescent="0.3">
      <c r="B1314" t="s">
        <v>950</v>
      </c>
      <c r="D1314">
        <v>162</v>
      </c>
      <c r="E1314">
        <v>11008</v>
      </c>
      <c r="F1314">
        <v>1</v>
      </c>
    </row>
    <row r="1315" spans="2:6" x14ac:dyDescent="0.3">
      <c r="B1315" t="s">
        <v>951</v>
      </c>
      <c r="D1315">
        <v>164</v>
      </c>
      <c r="E1315">
        <v>10736</v>
      </c>
      <c r="F1315">
        <v>1</v>
      </c>
    </row>
    <row r="1316" spans="2:6" x14ac:dyDescent="0.3">
      <c r="B1316" t="s">
        <v>952</v>
      </c>
      <c r="D1316">
        <v>164</v>
      </c>
      <c r="E1316">
        <v>10324</v>
      </c>
      <c r="F1316">
        <v>1</v>
      </c>
    </row>
    <row r="1317" spans="2:6" x14ac:dyDescent="0.3">
      <c r="B1317" t="s">
        <v>953</v>
      </c>
      <c r="D1317">
        <v>163</v>
      </c>
      <c r="E1317">
        <v>10796</v>
      </c>
      <c r="F1317">
        <v>1</v>
      </c>
    </row>
    <row r="1318" spans="2:6" x14ac:dyDescent="0.3">
      <c r="B1318" t="s">
        <v>954</v>
      </c>
      <c r="D1318">
        <v>164</v>
      </c>
      <c r="E1318">
        <v>11080</v>
      </c>
      <c r="F1318">
        <v>1</v>
      </c>
    </row>
    <row r="1319" spans="2:6" x14ac:dyDescent="0.3">
      <c r="B1319" t="s">
        <v>955</v>
      </c>
      <c r="D1319">
        <v>164</v>
      </c>
      <c r="E1319">
        <v>10688</v>
      </c>
      <c r="F1319">
        <v>1</v>
      </c>
    </row>
    <row r="1320" spans="2:6" x14ac:dyDescent="0.3">
      <c r="B1320" t="s">
        <v>956</v>
      </c>
      <c r="D1320">
        <v>165</v>
      </c>
      <c r="E1320">
        <v>12148</v>
      </c>
      <c r="F1320">
        <v>1</v>
      </c>
    </row>
    <row r="1321" spans="2:6" x14ac:dyDescent="0.3">
      <c r="B1321" t="s">
        <v>957</v>
      </c>
      <c r="D1321">
        <v>170</v>
      </c>
      <c r="E1321">
        <v>15796</v>
      </c>
      <c r="F1321">
        <v>1</v>
      </c>
    </row>
    <row r="1322" spans="2:6" x14ac:dyDescent="0.3">
      <c r="B1322" t="s">
        <v>958</v>
      </c>
      <c r="D1322">
        <v>171</v>
      </c>
      <c r="E1322">
        <v>15728</v>
      </c>
      <c r="F1322">
        <v>1</v>
      </c>
    </row>
    <row r="1323" spans="2:6" x14ac:dyDescent="0.3">
      <c r="B1323" t="s">
        <v>959</v>
      </c>
      <c r="D1323">
        <v>173</v>
      </c>
      <c r="E1323">
        <v>16148</v>
      </c>
      <c r="F1323">
        <v>1</v>
      </c>
    </row>
    <row r="1324" spans="2:6" x14ac:dyDescent="0.3">
      <c r="B1324" t="s">
        <v>960</v>
      </c>
      <c r="D1324">
        <v>173</v>
      </c>
      <c r="E1324">
        <v>15816</v>
      </c>
      <c r="F1324">
        <v>1</v>
      </c>
    </row>
    <row r="1325" spans="2:6" x14ac:dyDescent="0.3">
      <c r="B1325" t="s">
        <v>961</v>
      </c>
      <c r="D1325">
        <v>173</v>
      </c>
      <c r="E1325">
        <v>15728</v>
      </c>
      <c r="F1325">
        <v>1</v>
      </c>
    </row>
    <row r="1326" spans="2:6" x14ac:dyDescent="0.3">
      <c r="B1326" t="s">
        <v>962</v>
      </c>
      <c r="D1326">
        <v>174</v>
      </c>
      <c r="E1326">
        <v>16976</v>
      </c>
      <c r="F1326">
        <v>1</v>
      </c>
    </row>
    <row r="1327" spans="2:6" x14ac:dyDescent="0.3">
      <c r="B1327" t="s">
        <v>963</v>
      </c>
      <c r="D1327">
        <v>174</v>
      </c>
      <c r="E1327">
        <v>17616</v>
      </c>
      <c r="F1327">
        <v>1</v>
      </c>
    </row>
    <row r="1328" spans="2:6" x14ac:dyDescent="0.3">
      <c r="B1328" t="s">
        <v>964</v>
      </c>
      <c r="D1328">
        <v>176</v>
      </c>
      <c r="E1328">
        <v>20744</v>
      </c>
      <c r="F1328">
        <v>1</v>
      </c>
    </row>
    <row r="1329" spans="2:6" x14ac:dyDescent="0.3">
      <c r="B1329" t="s">
        <v>965</v>
      </c>
      <c r="D1329">
        <v>174</v>
      </c>
      <c r="E1329">
        <v>19064</v>
      </c>
      <c r="F1329">
        <v>1</v>
      </c>
    </row>
    <row r="1330" spans="2:6" x14ac:dyDescent="0.3">
      <c r="B1330" t="s">
        <v>966</v>
      </c>
      <c r="D1330">
        <v>179</v>
      </c>
      <c r="E1330">
        <v>24288</v>
      </c>
      <c r="F1330">
        <v>1</v>
      </c>
    </row>
    <row r="1331" spans="2:6" x14ac:dyDescent="0.3">
      <c r="B1331" t="s">
        <v>967</v>
      </c>
      <c r="D1331">
        <v>176</v>
      </c>
      <c r="E1331">
        <v>17472</v>
      </c>
      <c r="F1331">
        <v>1</v>
      </c>
    </row>
    <row r="1332" spans="2:6" x14ac:dyDescent="0.3">
      <c r="B1332" t="s">
        <v>968</v>
      </c>
      <c r="D1332">
        <v>176</v>
      </c>
      <c r="E1332">
        <v>17960</v>
      </c>
      <c r="F1332">
        <v>1</v>
      </c>
    </row>
    <row r="1333" spans="2:6" x14ac:dyDescent="0.3">
      <c r="B1333" t="s">
        <v>969</v>
      </c>
      <c r="D1333">
        <v>175</v>
      </c>
      <c r="E1333">
        <v>17992</v>
      </c>
      <c r="F1333">
        <v>1</v>
      </c>
    </row>
    <row r="1334" spans="2:6" x14ac:dyDescent="0.3">
      <c r="B1334" t="s">
        <v>970</v>
      </c>
      <c r="D1334">
        <v>174</v>
      </c>
      <c r="E1334">
        <v>17224</v>
      </c>
      <c r="F1334">
        <v>1</v>
      </c>
    </row>
    <row r="1335" spans="2:6" x14ac:dyDescent="0.3">
      <c r="B1335" t="s">
        <v>971</v>
      </c>
      <c r="D1335">
        <v>171</v>
      </c>
      <c r="E1335">
        <v>16116</v>
      </c>
      <c r="F1335">
        <v>1</v>
      </c>
    </row>
    <row r="1336" spans="2:6" x14ac:dyDescent="0.3">
      <c r="B1336" t="s">
        <v>972</v>
      </c>
      <c r="D1336">
        <v>163</v>
      </c>
      <c r="E1336">
        <v>12492</v>
      </c>
      <c r="F1336">
        <v>1</v>
      </c>
    </row>
    <row r="1337" spans="2:6" x14ac:dyDescent="0.3">
      <c r="B1337" t="s">
        <v>973</v>
      </c>
      <c r="D1337">
        <v>166</v>
      </c>
      <c r="E1337">
        <v>10300</v>
      </c>
      <c r="F1337">
        <v>1</v>
      </c>
    </row>
    <row r="1338" spans="2:6" x14ac:dyDescent="0.3">
      <c r="B1338" t="s">
        <v>974</v>
      </c>
      <c r="D1338">
        <v>171</v>
      </c>
      <c r="E1338">
        <v>12940</v>
      </c>
      <c r="F1338">
        <v>1</v>
      </c>
    </row>
    <row r="1339" spans="2:6" x14ac:dyDescent="0.3">
      <c r="B1339" t="s">
        <v>975</v>
      </c>
      <c r="D1339">
        <v>172</v>
      </c>
      <c r="E1339">
        <v>14816</v>
      </c>
      <c r="F1339">
        <v>1</v>
      </c>
    </row>
    <row r="1340" spans="2:6" x14ac:dyDescent="0.3">
      <c r="B1340" t="s">
        <v>976</v>
      </c>
      <c r="D1340">
        <v>171</v>
      </c>
      <c r="E1340">
        <v>15068</v>
      </c>
      <c r="F1340">
        <v>1</v>
      </c>
    </row>
    <row r="1341" spans="2:6" x14ac:dyDescent="0.3">
      <c r="B1341" t="s">
        <v>977</v>
      </c>
      <c r="D1341">
        <v>170</v>
      </c>
      <c r="E1341">
        <v>11996</v>
      </c>
      <c r="F1341">
        <v>1</v>
      </c>
    </row>
    <row r="1342" spans="2:6" x14ac:dyDescent="0.3">
      <c r="B1342" t="s">
        <v>978</v>
      </c>
      <c r="D1342">
        <v>171</v>
      </c>
      <c r="E1342">
        <v>12548</v>
      </c>
      <c r="F1342">
        <v>1</v>
      </c>
    </row>
    <row r="1343" spans="2:6" x14ac:dyDescent="0.3">
      <c r="B1343" t="s">
        <v>979</v>
      </c>
      <c r="D1343">
        <v>173</v>
      </c>
      <c r="E1343">
        <v>13204</v>
      </c>
      <c r="F1343">
        <v>1</v>
      </c>
    </row>
    <row r="1344" spans="2:6" x14ac:dyDescent="0.3">
      <c r="B1344" t="s">
        <v>980</v>
      </c>
      <c r="D1344">
        <v>171</v>
      </c>
      <c r="E1344">
        <v>14580</v>
      </c>
      <c r="F1344">
        <v>1</v>
      </c>
    </row>
    <row r="1345" spans="2:6" x14ac:dyDescent="0.3">
      <c r="B1345" t="s">
        <v>981</v>
      </c>
      <c r="D1345">
        <v>172</v>
      </c>
      <c r="E1345">
        <v>13272</v>
      </c>
      <c r="F1345">
        <v>1</v>
      </c>
    </row>
    <row r="1346" spans="2:6" x14ac:dyDescent="0.3">
      <c r="B1346" t="s">
        <v>982</v>
      </c>
      <c r="D1346">
        <v>172</v>
      </c>
      <c r="E1346">
        <v>13300</v>
      </c>
      <c r="F1346">
        <v>1</v>
      </c>
    </row>
    <row r="1347" spans="2:6" x14ac:dyDescent="0.3">
      <c r="B1347" t="s">
        <v>983</v>
      </c>
      <c r="D1347">
        <v>172</v>
      </c>
      <c r="E1347">
        <v>13396</v>
      </c>
      <c r="F1347">
        <v>1</v>
      </c>
    </row>
    <row r="1348" spans="2:6" x14ac:dyDescent="0.3">
      <c r="B1348" t="s">
        <v>984</v>
      </c>
      <c r="D1348">
        <v>171</v>
      </c>
      <c r="E1348">
        <v>12428</v>
      </c>
      <c r="F1348">
        <v>1</v>
      </c>
    </row>
    <row r="1349" spans="2:6" x14ac:dyDescent="0.3">
      <c r="B1349" t="s">
        <v>985</v>
      </c>
      <c r="D1349">
        <v>172</v>
      </c>
      <c r="E1349">
        <v>12476</v>
      </c>
      <c r="F1349">
        <v>1</v>
      </c>
    </row>
    <row r="1350" spans="2:6" x14ac:dyDescent="0.3">
      <c r="B1350" t="s">
        <v>986</v>
      </c>
      <c r="D1350">
        <v>173</v>
      </c>
      <c r="E1350">
        <v>14344</v>
      </c>
      <c r="F1350">
        <v>1</v>
      </c>
    </row>
    <row r="1351" spans="2:6" x14ac:dyDescent="0.3">
      <c r="B1351" t="s">
        <v>987</v>
      </c>
      <c r="D1351">
        <v>174</v>
      </c>
      <c r="E1351">
        <v>15124</v>
      </c>
      <c r="F1351">
        <v>1</v>
      </c>
    </row>
    <row r="1352" spans="2:6" x14ac:dyDescent="0.3">
      <c r="B1352" t="s">
        <v>988</v>
      </c>
      <c r="D1352">
        <v>175</v>
      </c>
      <c r="E1352">
        <v>15096</v>
      </c>
      <c r="F1352">
        <v>1</v>
      </c>
    </row>
    <row r="1353" spans="2:6" x14ac:dyDescent="0.3">
      <c r="B1353" t="s">
        <v>989</v>
      </c>
      <c r="D1353">
        <v>175</v>
      </c>
      <c r="E1353">
        <v>15524</v>
      </c>
      <c r="F1353">
        <v>1</v>
      </c>
    </row>
    <row r="1354" spans="2:6" x14ac:dyDescent="0.3">
      <c r="B1354" t="s">
        <v>990</v>
      </c>
      <c r="D1354">
        <v>174</v>
      </c>
      <c r="E1354">
        <v>16904</v>
      </c>
      <c r="F1354">
        <v>1</v>
      </c>
    </row>
    <row r="1355" spans="2:6" x14ac:dyDescent="0.3">
      <c r="B1355" t="s">
        <v>991</v>
      </c>
      <c r="D1355">
        <v>174</v>
      </c>
      <c r="E1355">
        <v>19672</v>
      </c>
      <c r="F1355">
        <v>1</v>
      </c>
    </row>
    <row r="1356" spans="2:6" x14ac:dyDescent="0.3">
      <c r="B1356" t="s">
        <v>992</v>
      </c>
      <c r="D1356">
        <v>176</v>
      </c>
      <c r="E1356">
        <v>17744</v>
      </c>
      <c r="F1356">
        <v>1</v>
      </c>
    </row>
    <row r="1357" spans="2:6" x14ac:dyDescent="0.3">
      <c r="B1357" t="s">
        <v>993</v>
      </c>
      <c r="D1357">
        <v>183</v>
      </c>
      <c r="E1357">
        <v>29704</v>
      </c>
      <c r="F1357">
        <v>1</v>
      </c>
    </row>
    <row r="1358" spans="2:6" x14ac:dyDescent="0.3">
      <c r="B1358" t="s">
        <v>994</v>
      </c>
      <c r="D1358">
        <v>177</v>
      </c>
      <c r="E1358">
        <v>18064</v>
      </c>
      <c r="F1358">
        <v>1</v>
      </c>
    </row>
    <row r="1359" spans="2:6" x14ac:dyDescent="0.3">
      <c r="B1359" t="s">
        <v>995</v>
      </c>
      <c r="D1359">
        <v>174</v>
      </c>
      <c r="E1359">
        <v>16896</v>
      </c>
      <c r="F1359">
        <v>1</v>
      </c>
    </row>
    <row r="1360" spans="2:6" x14ac:dyDescent="0.3">
      <c r="B1360" t="s">
        <v>996</v>
      </c>
      <c r="D1360">
        <v>175</v>
      </c>
      <c r="E1360">
        <v>17784</v>
      </c>
      <c r="F1360">
        <v>1</v>
      </c>
    </row>
    <row r="1361" spans="2:6" x14ac:dyDescent="0.3">
      <c r="B1361" t="s">
        <v>997</v>
      </c>
      <c r="D1361">
        <v>173</v>
      </c>
      <c r="E1361">
        <v>16256</v>
      </c>
      <c r="F1361">
        <v>1</v>
      </c>
    </row>
    <row r="1362" spans="2:6" x14ac:dyDescent="0.3">
      <c r="B1362" t="s">
        <v>998</v>
      </c>
      <c r="D1362">
        <v>178</v>
      </c>
      <c r="E1362">
        <v>19992</v>
      </c>
      <c r="F1362">
        <v>1</v>
      </c>
    </row>
    <row r="1363" spans="2:6" x14ac:dyDescent="0.3">
      <c r="B1363" t="s">
        <v>999</v>
      </c>
      <c r="D1363">
        <v>185</v>
      </c>
      <c r="E1363">
        <v>32408</v>
      </c>
      <c r="F1363">
        <v>1</v>
      </c>
    </row>
    <row r="1364" spans="2:6" x14ac:dyDescent="0.3">
      <c r="B1364" t="s">
        <v>1000</v>
      </c>
      <c r="D1364">
        <v>180</v>
      </c>
      <c r="E1364">
        <v>34448</v>
      </c>
      <c r="F1364">
        <v>1</v>
      </c>
    </row>
    <row r="1365" spans="2:6" x14ac:dyDescent="0.3">
      <c r="B1365" t="s">
        <v>1001</v>
      </c>
      <c r="D1365">
        <v>185</v>
      </c>
      <c r="E1365">
        <v>49536</v>
      </c>
      <c r="F1365">
        <v>1</v>
      </c>
    </row>
    <row r="1366" spans="2:6" x14ac:dyDescent="0.3">
      <c r="B1366" t="s">
        <v>1002</v>
      </c>
      <c r="D1366">
        <v>191</v>
      </c>
      <c r="E1366">
        <v>27736</v>
      </c>
      <c r="F1366">
        <v>1</v>
      </c>
    </row>
    <row r="1367" spans="2:6" x14ac:dyDescent="0.3">
      <c r="B1367" t="s">
        <v>1003</v>
      </c>
      <c r="D1367">
        <v>194</v>
      </c>
      <c r="E1367">
        <v>56784</v>
      </c>
      <c r="F1367">
        <v>1</v>
      </c>
    </row>
    <row r="1368" spans="2:6" x14ac:dyDescent="0.3">
      <c r="B1368" t="s">
        <v>1004</v>
      </c>
      <c r="D1368">
        <v>189</v>
      </c>
      <c r="E1368">
        <v>59808</v>
      </c>
      <c r="F1368">
        <v>1</v>
      </c>
    </row>
    <row r="1369" spans="2:6" x14ac:dyDescent="0.3">
      <c r="B1369" t="s">
        <v>1005</v>
      </c>
      <c r="D1369">
        <v>188</v>
      </c>
      <c r="E1369">
        <v>37360</v>
      </c>
      <c r="F1369">
        <v>1</v>
      </c>
    </row>
    <row r="1370" spans="2:6" x14ac:dyDescent="0.3">
      <c r="B1370" t="s">
        <v>1006</v>
      </c>
      <c r="D1370">
        <v>193</v>
      </c>
      <c r="E1370">
        <v>48416</v>
      </c>
      <c r="F1370">
        <v>1</v>
      </c>
    </row>
    <row r="1371" spans="2:6" x14ac:dyDescent="0.3">
      <c r="B1371" t="s">
        <v>1007</v>
      </c>
      <c r="D1371">
        <v>189</v>
      </c>
      <c r="E1371">
        <v>40912</v>
      </c>
      <c r="F1371">
        <v>1</v>
      </c>
    </row>
    <row r="1372" spans="2:6" x14ac:dyDescent="0.3">
      <c r="B1372" t="s">
        <v>1008</v>
      </c>
      <c r="D1372">
        <v>183</v>
      </c>
      <c r="E1372">
        <v>29096</v>
      </c>
      <c r="F1372">
        <v>1</v>
      </c>
    </row>
    <row r="1373" spans="2:6" x14ac:dyDescent="0.3">
      <c r="B1373" t="s">
        <v>1009</v>
      </c>
      <c r="D1373">
        <v>183</v>
      </c>
      <c r="E1373">
        <v>33136</v>
      </c>
      <c r="F1373">
        <v>1</v>
      </c>
    </row>
    <row r="1374" spans="2:6" x14ac:dyDescent="0.3">
      <c r="B1374" t="s">
        <v>1010</v>
      </c>
      <c r="D1374">
        <v>181</v>
      </c>
      <c r="E1374">
        <v>27368</v>
      </c>
      <c r="F1374">
        <v>1</v>
      </c>
    </row>
    <row r="1375" spans="2:6" x14ac:dyDescent="0.3">
      <c r="B1375" t="s">
        <v>1011</v>
      </c>
      <c r="D1375">
        <v>183</v>
      </c>
      <c r="E1375">
        <v>52544</v>
      </c>
      <c r="F1375">
        <v>1</v>
      </c>
    </row>
    <row r="1376" spans="2:6" x14ac:dyDescent="0.3">
      <c r="B1376" t="s">
        <v>1012</v>
      </c>
      <c r="D1376">
        <v>184</v>
      </c>
      <c r="E1376">
        <v>29920</v>
      </c>
      <c r="F1376">
        <v>1</v>
      </c>
    </row>
    <row r="1377" spans="2:6" x14ac:dyDescent="0.3">
      <c r="B1377" t="s">
        <v>1013</v>
      </c>
      <c r="D1377">
        <v>182</v>
      </c>
      <c r="E1377">
        <v>27112</v>
      </c>
      <c r="F1377">
        <v>1</v>
      </c>
    </row>
    <row r="1378" spans="2:6" x14ac:dyDescent="0.3">
      <c r="B1378" t="s">
        <v>1014</v>
      </c>
      <c r="D1378">
        <v>184</v>
      </c>
      <c r="E1378">
        <v>31360</v>
      </c>
      <c r="F1378">
        <v>1</v>
      </c>
    </row>
    <row r="1379" spans="2:6" x14ac:dyDescent="0.3">
      <c r="B1379" t="s">
        <v>993</v>
      </c>
      <c r="D1379">
        <v>183</v>
      </c>
      <c r="E1379">
        <v>29704</v>
      </c>
      <c r="F1379">
        <v>1</v>
      </c>
    </row>
    <row r="1380" spans="2:6" x14ac:dyDescent="0.3">
      <c r="B1380" t="s">
        <v>1015</v>
      </c>
      <c r="D1380">
        <v>183</v>
      </c>
      <c r="E1380">
        <v>38096</v>
      </c>
      <c r="F1380">
        <v>1</v>
      </c>
    </row>
    <row r="1381" spans="2:6" x14ac:dyDescent="0.3">
      <c r="B1381" t="s">
        <v>1016</v>
      </c>
      <c r="D1381">
        <v>186</v>
      </c>
      <c r="E1381">
        <v>47440</v>
      </c>
      <c r="F1381">
        <v>1</v>
      </c>
    </row>
    <row r="1382" spans="2:6" x14ac:dyDescent="0.3">
      <c r="B1382" t="s">
        <v>1017</v>
      </c>
      <c r="D1382">
        <v>179</v>
      </c>
      <c r="E1382">
        <v>29104</v>
      </c>
      <c r="F1382">
        <v>1</v>
      </c>
    </row>
    <row r="1383" spans="2:6" x14ac:dyDescent="0.3">
      <c r="B1383" t="s">
        <v>1018</v>
      </c>
      <c r="D1383">
        <v>176</v>
      </c>
      <c r="E1383">
        <v>20536</v>
      </c>
      <c r="F1383">
        <v>1</v>
      </c>
    </row>
    <row r="1384" spans="2:6" x14ac:dyDescent="0.3">
      <c r="B1384" t="s">
        <v>1019</v>
      </c>
      <c r="D1384">
        <v>177</v>
      </c>
      <c r="E1384">
        <v>21760</v>
      </c>
      <c r="F1384">
        <v>1</v>
      </c>
    </row>
    <row r="1385" spans="2:6" x14ac:dyDescent="0.3">
      <c r="B1385" t="s">
        <v>1020</v>
      </c>
      <c r="D1385">
        <v>176</v>
      </c>
      <c r="E1385">
        <v>21200</v>
      </c>
      <c r="F1385">
        <v>1</v>
      </c>
    </row>
    <row r="1386" spans="2:6" x14ac:dyDescent="0.3">
      <c r="B1386" t="s">
        <v>1021</v>
      </c>
      <c r="D1386">
        <v>173</v>
      </c>
      <c r="E1386">
        <v>21200</v>
      </c>
      <c r="F1386">
        <v>1</v>
      </c>
    </row>
    <row r="1387" spans="2:6" x14ac:dyDescent="0.3">
      <c r="B1387" t="s">
        <v>1022</v>
      </c>
      <c r="D1387">
        <v>179</v>
      </c>
      <c r="E1387">
        <v>20960</v>
      </c>
      <c r="F1387">
        <v>1</v>
      </c>
    </row>
    <row r="1388" spans="2:6" x14ac:dyDescent="0.3">
      <c r="B1388" t="s">
        <v>1023</v>
      </c>
      <c r="D1388">
        <v>171</v>
      </c>
      <c r="E1388">
        <v>17704</v>
      </c>
      <c r="F1388">
        <v>1</v>
      </c>
    </row>
    <row r="1389" spans="2:6" x14ac:dyDescent="0.3">
      <c r="B1389" t="s">
        <v>1024</v>
      </c>
      <c r="D1389">
        <v>171</v>
      </c>
      <c r="E1389">
        <v>14880</v>
      </c>
      <c r="F1389">
        <v>1</v>
      </c>
    </row>
    <row r="1390" spans="2:6" x14ac:dyDescent="0.3">
      <c r="B1390" t="s">
        <v>1025</v>
      </c>
      <c r="D1390">
        <v>171</v>
      </c>
      <c r="E1390">
        <v>11868</v>
      </c>
      <c r="F1390">
        <v>1</v>
      </c>
    </row>
    <row r="1391" spans="2:6" x14ac:dyDescent="0.3">
      <c r="B1391" t="s">
        <v>1026</v>
      </c>
      <c r="D1391">
        <v>170</v>
      </c>
      <c r="E1391">
        <v>13872</v>
      </c>
      <c r="F1391">
        <v>1</v>
      </c>
    </row>
    <row r="1392" spans="2:6" x14ac:dyDescent="0.3">
      <c r="B1392" t="s">
        <v>1027</v>
      </c>
      <c r="D1392">
        <v>174</v>
      </c>
      <c r="E1392">
        <v>18704</v>
      </c>
      <c r="F1392">
        <v>1</v>
      </c>
    </row>
    <row r="1393" spans="2:6" x14ac:dyDescent="0.3">
      <c r="B1393" t="s">
        <v>1028</v>
      </c>
      <c r="D1393">
        <v>172</v>
      </c>
      <c r="E1393">
        <v>16664</v>
      </c>
      <c r="F1393">
        <v>1</v>
      </c>
    </row>
    <row r="1394" spans="2:6" x14ac:dyDescent="0.3">
      <c r="B1394" t="s">
        <v>1029</v>
      </c>
      <c r="D1394">
        <v>175</v>
      </c>
      <c r="E1394">
        <v>25328</v>
      </c>
      <c r="F1394">
        <v>1</v>
      </c>
    </row>
    <row r="1395" spans="2:6" x14ac:dyDescent="0.3">
      <c r="B1395" t="s">
        <v>1030</v>
      </c>
      <c r="D1395">
        <v>171</v>
      </c>
      <c r="E1395">
        <v>15636</v>
      </c>
      <c r="F1395">
        <v>1</v>
      </c>
    </row>
    <row r="1396" spans="2:6" x14ac:dyDescent="0.3">
      <c r="B1396" t="s">
        <v>1031</v>
      </c>
      <c r="D1396">
        <v>172</v>
      </c>
      <c r="E1396">
        <v>13164</v>
      </c>
      <c r="F1396">
        <v>1</v>
      </c>
    </row>
    <row r="1397" spans="2:6" x14ac:dyDescent="0.3">
      <c r="B1397" t="s">
        <v>1032</v>
      </c>
      <c r="D1397">
        <v>172</v>
      </c>
      <c r="E1397">
        <v>22792</v>
      </c>
      <c r="F1397">
        <v>1</v>
      </c>
    </row>
    <row r="1398" spans="2:6" x14ac:dyDescent="0.3">
      <c r="B1398" t="s">
        <v>1033</v>
      </c>
      <c r="D1398">
        <v>171</v>
      </c>
      <c r="E1398">
        <v>13408</v>
      </c>
      <c r="F1398">
        <v>1</v>
      </c>
    </row>
    <row r="1399" spans="2:6" x14ac:dyDescent="0.3">
      <c r="B1399" t="s">
        <v>1034</v>
      </c>
      <c r="D1399">
        <v>172</v>
      </c>
      <c r="E1399">
        <v>13064</v>
      </c>
      <c r="F1399">
        <v>1</v>
      </c>
    </row>
    <row r="1400" spans="2:6" x14ac:dyDescent="0.3">
      <c r="B1400" t="s">
        <v>1035</v>
      </c>
      <c r="D1400">
        <v>173</v>
      </c>
      <c r="E1400">
        <v>17688</v>
      </c>
      <c r="F1400">
        <v>1</v>
      </c>
    </row>
    <row r="1401" spans="2:6" x14ac:dyDescent="0.3">
      <c r="B1401" t="s">
        <v>1036</v>
      </c>
      <c r="D1401">
        <v>172</v>
      </c>
      <c r="E1401">
        <v>17112</v>
      </c>
      <c r="F1401">
        <v>1</v>
      </c>
    </row>
    <row r="1402" spans="2:6" x14ac:dyDescent="0.3">
      <c r="B1402" t="s">
        <v>1037</v>
      </c>
      <c r="D1402">
        <v>179</v>
      </c>
      <c r="E1402">
        <v>14296</v>
      </c>
      <c r="F1402">
        <v>1</v>
      </c>
    </row>
    <row r="1403" spans="2:6" x14ac:dyDescent="0.3">
      <c r="B1403" t="s">
        <v>1038</v>
      </c>
      <c r="D1403">
        <v>171</v>
      </c>
      <c r="E1403">
        <v>14860</v>
      </c>
      <c r="F1403">
        <v>1</v>
      </c>
    </row>
    <row r="1404" spans="2:6" x14ac:dyDescent="0.3">
      <c r="B1404" t="s">
        <v>1039</v>
      </c>
      <c r="D1404">
        <v>174</v>
      </c>
      <c r="E1404">
        <v>17912</v>
      </c>
      <c r="F1404">
        <v>1</v>
      </c>
    </row>
    <row r="1405" spans="2:6" x14ac:dyDescent="0.3">
      <c r="B1405" t="s">
        <v>1040</v>
      </c>
      <c r="D1405">
        <v>173</v>
      </c>
      <c r="E1405">
        <v>16308</v>
      </c>
      <c r="F1405">
        <v>1</v>
      </c>
    </row>
    <row r="1406" spans="2:6" x14ac:dyDescent="0.3">
      <c r="B1406" t="s">
        <v>1041</v>
      </c>
      <c r="D1406">
        <v>174</v>
      </c>
      <c r="E1406">
        <v>19368</v>
      </c>
      <c r="F1406">
        <v>1</v>
      </c>
    </row>
    <row r="1407" spans="2:6" x14ac:dyDescent="0.3">
      <c r="B1407" t="s">
        <v>1042</v>
      </c>
      <c r="D1407">
        <v>172</v>
      </c>
      <c r="E1407">
        <v>16632</v>
      </c>
      <c r="F1407">
        <v>1</v>
      </c>
    </row>
    <row r="1408" spans="2:6" x14ac:dyDescent="0.3">
      <c r="B1408" t="s">
        <v>1043</v>
      </c>
      <c r="D1408">
        <v>173</v>
      </c>
      <c r="E1408">
        <v>17992</v>
      </c>
      <c r="F1408">
        <v>1</v>
      </c>
    </row>
    <row r="1409" spans="2:6" x14ac:dyDescent="0.3">
      <c r="B1409" t="s">
        <v>1044</v>
      </c>
      <c r="D1409">
        <v>176</v>
      </c>
      <c r="E1409">
        <v>34224</v>
      </c>
      <c r="F1409">
        <v>1</v>
      </c>
    </row>
    <row r="1410" spans="2:6" x14ac:dyDescent="0.3">
      <c r="B1410" t="s">
        <v>1045</v>
      </c>
      <c r="D1410">
        <v>175</v>
      </c>
      <c r="E1410">
        <v>17136</v>
      </c>
      <c r="F1410">
        <v>1</v>
      </c>
    </row>
    <row r="1411" spans="2:6" x14ac:dyDescent="0.3">
      <c r="B1411" t="s">
        <v>1046</v>
      </c>
      <c r="D1411">
        <v>175</v>
      </c>
      <c r="E1411">
        <v>21144</v>
      </c>
      <c r="F1411">
        <v>1</v>
      </c>
    </row>
    <row r="1412" spans="2:6" x14ac:dyDescent="0.3">
      <c r="B1412" t="s">
        <v>1047</v>
      </c>
      <c r="D1412">
        <v>178</v>
      </c>
      <c r="E1412">
        <v>20872</v>
      </c>
      <c r="F1412">
        <v>1</v>
      </c>
    </row>
    <row r="1413" spans="2:6" x14ac:dyDescent="0.3">
      <c r="B1413" t="s">
        <v>1048</v>
      </c>
      <c r="D1413">
        <v>174</v>
      </c>
      <c r="E1413">
        <v>17520</v>
      </c>
      <c r="F1413">
        <v>1</v>
      </c>
    </row>
    <row r="1414" spans="2:6" x14ac:dyDescent="0.3">
      <c r="B1414" t="s">
        <v>1049</v>
      </c>
      <c r="D1414">
        <v>176</v>
      </c>
      <c r="E1414">
        <v>20480</v>
      </c>
      <c r="F1414">
        <v>1</v>
      </c>
    </row>
    <row r="1415" spans="2:6" x14ac:dyDescent="0.3">
      <c r="B1415" t="s">
        <v>1050</v>
      </c>
      <c r="D1415">
        <v>163</v>
      </c>
      <c r="E1415">
        <v>13212</v>
      </c>
      <c r="F1415">
        <v>1</v>
      </c>
    </row>
    <row r="1416" spans="2:6" x14ac:dyDescent="0.3">
      <c r="B1416" t="s">
        <v>1051</v>
      </c>
      <c r="D1416">
        <v>168</v>
      </c>
      <c r="E1416">
        <v>11264</v>
      </c>
      <c r="F1416">
        <v>1</v>
      </c>
    </row>
    <row r="1417" spans="2:6" x14ac:dyDescent="0.3">
      <c r="B1417" t="s">
        <v>1052</v>
      </c>
      <c r="D1417">
        <v>169</v>
      </c>
      <c r="E1417">
        <v>12220</v>
      </c>
      <c r="F1417">
        <v>1</v>
      </c>
    </row>
    <row r="1418" spans="2:6" x14ac:dyDescent="0.3">
      <c r="B1418" t="s">
        <v>1053</v>
      </c>
      <c r="D1418">
        <v>166</v>
      </c>
      <c r="E1418">
        <v>9968</v>
      </c>
      <c r="F1418">
        <v>1</v>
      </c>
    </row>
    <row r="1419" spans="2:6" x14ac:dyDescent="0.3">
      <c r="B1419" t="s">
        <v>1054</v>
      </c>
      <c r="D1419">
        <v>164</v>
      </c>
      <c r="E1419">
        <v>9780</v>
      </c>
      <c r="F1419">
        <v>1</v>
      </c>
    </row>
    <row r="1420" spans="2:6" x14ac:dyDescent="0.3">
      <c r="B1420" t="s">
        <v>1055</v>
      </c>
      <c r="D1420">
        <v>162</v>
      </c>
      <c r="E1420">
        <v>8416</v>
      </c>
      <c r="F1420">
        <v>1</v>
      </c>
    </row>
    <row r="1421" spans="2:6" x14ac:dyDescent="0.3">
      <c r="B1421" t="s">
        <v>1056</v>
      </c>
      <c r="D1421">
        <v>162</v>
      </c>
      <c r="E1421">
        <v>9024</v>
      </c>
      <c r="F1421">
        <v>1</v>
      </c>
    </row>
    <row r="1422" spans="2:6" x14ac:dyDescent="0.3">
      <c r="B1422" t="s">
        <v>1057</v>
      </c>
      <c r="D1422">
        <v>162</v>
      </c>
      <c r="E1422">
        <v>8500</v>
      </c>
      <c r="F1422">
        <v>1</v>
      </c>
    </row>
    <row r="1423" spans="2:6" x14ac:dyDescent="0.3">
      <c r="B1423" t="s">
        <v>1058</v>
      </c>
      <c r="D1423">
        <v>162</v>
      </c>
      <c r="E1423">
        <v>9876</v>
      </c>
      <c r="F1423">
        <v>1</v>
      </c>
    </row>
    <row r="1424" spans="2:6" x14ac:dyDescent="0.3">
      <c r="B1424" t="s">
        <v>1059</v>
      </c>
      <c r="D1424">
        <v>157</v>
      </c>
      <c r="E1424">
        <v>7712</v>
      </c>
      <c r="F1424">
        <v>1</v>
      </c>
    </row>
    <row r="1425" spans="2:6" x14ac:dyDescent="0.3">
      <c r="B1425" t="s">
        <v>1060</v>
      </c>
      <c r="D1425">
        <v>154</v>
      </c>
      <c r="E1425">
        <v>6072</v>
      </c>
      <c r="F1425">
        <v>1</v>
      </c>
    </row>
    <row r="1426" spans="2:6" x14ac:dyDescent="0.3">
      <c r="B1426" t="s">
        <v>1061</v>
      </c>
      <c r="D1426">
        <v>154</v>
      </c>
      <c r="E1426">
        <v>5708</v>
      </c>
      <c r="F1426">
        <v>1</v>
      </c>
    </row>
    <row r="1427" spans="2:6" x14ac:dyDescent="0.3">
      <c r="B1427" t="s">
        <v>1062</v>
      </c>
      <c r="D1427">
        <v>155</v>
      </c>
      <c r="E1427">
        <v>5520</v>
      </c>
      <c r="F1427">
        <v>1</v>
      </c>
    </row>
    <row r="1428" spans="2:6" x14ac:dyDescent="0.3">
      <c r="B1428" t="s">
        <v>1063</v>
      </c>
      <c r="D1428">
        <v>159</v>
      </c>
      <c r="E1428">
        <v>6484</v>
      </c>
      <c r="F1428">
        <v>1</v>
      </c>
    </row>
    <row r="1429" spans="2:6" x14ac:dyDescent="0.3">
      <c r="B1429" t="s">
        <v>1064</v>
      </c>
      <c r="D1429">
        <v>159</v>
      </c>
      <c r="E1429">
        <v>7332</v>
      </c>
      <c r="F1429">
        <v>1</v>
      </c>
    </row>
    <row r="1430" spans="2:6" x14ac:dyDescent="0.3">
      <c r="B1430" t="s">
        <v>1065</v>
      </c>
      <c r="D1430">
        <v>160</v>
      </c>
      <c r="E1430">
        <v>7716</v>
      </c>
      <c r="F1430">
        <v>1</v>
      </c>
    </row>
    <row r="1431" spans="2:6" x14ac:dyDescent="0.3">
      <c r="B1431" t="s">
        <v>1066</v>
      </c>
      <c r="D1431">
        <v>158</v>
      </c>
      <c r="E1431">
        <v>7312</v>
      </c>
      <c r="F1431">
        <v>1</v>
      </c>
    </row>
    <row r="1432" spans="2:6" x14ac:dyDescent="0.3">
      <c r="B1432" t="s">
        <v>1067</v>
      </c>
      <c r="D1432">
        <v>163</v>
      </c>
      <c r="E1432">
        <v>8144</v>
      </c>
      <c r="F1432">
        <v>1</v>
      </c>
    </row>
    <row r="1433" spans="2:6" x14ac:dyDescent="0.3">
      <c r="B1433" t="s">
        <v>1068</v>
      </c>
      <c r="D1433">
        <v>170</v>
      </c>
      <c r="E1433">
        <v>8536</v>
      </c>
      <c r="F1433">
        <v>1</v>
      </c>
    </row>
    <row r="1434" spans="2:6" x14ac:dyDescent="0.3">
      <c r="B1434" t="s">
        <v>1069</v>
      </c>
      <c r="D1434">
        <v>171</v>
      </c>
      <c r="E1434">
        <v>17192</v>
      </c>
      <c r="F1434">
        <v>1</v>
      </c>
    </row>
    <row r="1435" spans="2:6" x14ac:dyDescent="0.3">
      <c r="B1435" t="s">
        <v>1070</v>
      </c>
      <c r="D1435">
        <v>163</v>
      </c>
      <c r="E1435">
        <v>12612</v>
      </c>
      <c r="F1435">
        <v>1</v>
      </c>
    </row>
    <row r="1436" spans="2:6" x14ac:dyDescent="0.3">
      <c r="B1436" t="s">
        <v>1071</v>
      </c>
      <c r="D1436">
        <v>158</v>
      </c>
      <c r="E1436">
        <v>6974</v>
      </c>
      <c r="F1436">
        <v>1</v>
      </c>
    </row>
    <row r="1437" spans="2:6" x14ac:dyDescent="0.3">
      <c r="B1437" t="s">
        <v>1072</v>
      </c>
      <c r="D1437">
        <v>157</v>
      </c>
      <c r="E1437">
        <v>6648</v>
      </c>
      <c r="F1437">
        <v>1</v>
      </c>
    </row>
    <row r="1438" spans="2:6" x14ac:dyDescent="0.3">
      <c r="B1438" t="s">
        <v>1073</v>
      </c>
      <c r="D1438">
        <v>155</v>
      </c>
      <c r="E1438">
        <v>5662</v>
      </c>
      <c r="F1438">
        <v>1</v>
      </c>
    </row>
    <row r="1439" spans="2:6" x14ac:dyDescent="0.3">
      <c r="B1439" t="s">
        <v>1074</v>
      </c>
      <c r="D1439">
        <v>153</v>
      </c>
      <c r="E1439">
        <v>5218</v>
      </c>
      <c r="F1439">
        <v>1</v>
      </c>
    </row>
    <row r="1440" spans="2:6" x14ac:dyDescent="0.3">
      <c r="B1440" t="s">
        <v>1075</v>
      </c>
      <c r="D1440">
        <v>149</v>
      </c>
      <c r="E1440">
        <v>4500</v>
      </c>
      <c r="F1440">
        <v>1</v>
      </c>
    </row>
    <row r="1441" spans="2:6" x14ac:dyDescent="0.3">
      <c r="B1441" t="s">
        <v>1076</v>
      </c>
      <c r="D1441">
        <v>148</v>
      </c>
      <c r="E1441">
        <v>4428</v>
      </c>
      <c r="F1441">
        <v>1</v>
      </c>
    </row>
    <row r="1442" spans="2:6" x14ac:dyDescent="0.3">
      <c r="B1442" t="s">
        <v>1077</v>
      </c>
      <c r="D1442">
        <v>147</v>
      </c>
      <c r="E1442">
        <v>3938</v>
      </c>
      <c r="F1442">
        <v>1</v>
      </c>
    </row>
    <row r="1443" spans="2:6" x14ac:dyDescent="0.3">
      <c r="B1443" t="s">
        <v>1078</v>
      </c>
      <c r="D1443">
        <v>147</v>
      </c>
      <c r="E1443">
        <v>3917</v>
      </c>
      <c r="F1443">
        <v>1</v>
      </c>
    </row>
    <row r="1444" spans="2:6" x14ac:dyDescent="0.3">
      <c r="B1444" t="s">
        <v>1079</v>
      </c>
      <c r="D1444">
        <v>147</v>
      </c>
      <c r="E1444">
        <v>4086</v>
      </c>
      <c r="F1444">
        <v>1</v>
      </c>
    </row>
    <row r="1445" spans="2:6" x14ac:dyDescent="0.3">
      <c r="B1445" t="s">
        <v>1080</v>
      </c>
      <c r="D1445">
        <v>150</v>
      </c>
      <c r="E1445">
        <v>4464</v>
      </c>
      <c r="F1445">
        <v>1</v>
      </c>
    </row>
    <row r="1446" spans="2:6" x14ac:dyDescent="0.3">
      <c r="B1446" t="s">
        <v>1081</v>
      </c>
      <c r="D1446">
        <v>149</v>
      </c>
      <c r="E1446">
        <v>4320</v>
      </c>
      <c r="F1446">
        <v>1</v>
      </c>
    </row>
    <row r="1447" spans="2:6" x14ac:dyDescent="0.3">
      <c r="B1447" t="s">
        <v>1082</v>
      </c>
      <c r="D1447">
        <v>147</v>
      </c>
      <c r="E1447">
        <v>3798</v>
      </c>
      <c r="F1447">
        <v>1</v>
      </c>
    </row>
    <row r="1448" spans="2:6" x14ac:dyDescent="0.3">
      <c r="B1448" t="s">
        <v>1083</v>
      </c>
      <c r="D1448">
        <v>146</v>
      </c>
      <c r="E1448">
        <v>3569</v>
      </c>
      <c r="F1448">
        <v>1</v>
      </c>
    </row>
    <row r="1449" spans="2:6" x14ac:dyDescent="0.3">
      <c r="B1449" t="s">
        <v>1084</v>
      </c>
      <c r="D1449">
        <v>146</v>
      </c>
      <c r="E1449">
        <v>3617</v>
      </c>
      <c r="F1449">
        <v>1</v>
      </c>
    </row>
    <row r="1450" spans="2:6" x14ac:dyDescent="0.3">
      <c r="B1450" t="s">
        <v>1085</v>
      </c>
      <c r="D1450">
        <v>141</v>
      </c>
      <c r="E1450">
        <v>2499</v>
      </c>
      <c r="F1450">
        <v>1</v>
      </c>
    </row>
    <row r="1451" spans="2:6" x14ac:dyDescent="0.3">
      <c r="B1451" t="s">
        <v>1086</v>
      </c>
      <c r="D1451">
        <v>138</v>
      </c>
      <c r="E1451">
        <v>2182</v>
      </c>
      <c r="F1451">
        <v>1</v>
      </c>
    </row>
    <row r="1452" spans="2:6" x14ac:dyDescent="0.3">
      <c r="B1452" t="s">
        <v>1087</v>
      </c>
      <c r="D1452">
        <v>135</v>
      </c>
      <c r="E1452">
        <v>2057</v>
      </c>
      <c r="F1452">
        <v>1</v>
      </c>
    </row>
    <row r="1453" spans="2:6" x14ac:dyDescent="0.3">
      <c r="B1453" t="s">
        <v>1088</v>
      </c>
      <c r="D1453">
        <v>135</v>
      </c>
      <c r="E1453">
        <v>1804</v>
      </c>
      <c r="F1453">
        <v>1</v>
      </c>
    </row>
    <row r="1454" spans="2:6" x14ac:dyDescent="0.3">
      <c r="B1454" t="s">
        <v>1089</v>
      </c>
      <c r="D1454">
        <v>134</v>
      </c>
      <c r="E1454">
        <v>1823</v>
      </c>
      <c r="F1454">
        <v>1</v>
      </c>
    </row>
    <row r="1455" spans="2:6" x14ac:dyDescent="0.3">
      <c r="B1455" t="s">
        <v>1090</v>
      </c>
      <c r="D1455">
        <v>129</v>
      </c>
      <c r="E1455">
        <v>1346</v>
      </c>
      <c r="F1455">
        <v>1</v>
      </c>
    </row>
    <row r="1456" spans="2:6" x14ac:dyDescent="0.3">
      <c r="B1456" t="s">
        <v>1091</v>
      </c>
      <c r="D1456">
        <v>128</v>
      </c>
      <c r="E1456">
        <v>1234</v>
      </c>
      <c r="F1456">
        <v>1</v>
      </c>
    </row>
    <row r="1457" spans="2:6" x14ac:dyDescent="0.3">
      <c r="B1457" t="s">
        <v>1092</v>
      </c>
      <c r="D1457">
        <v>125</v>
      </c>
      <c r="E1457">
        <v>1039</v>
      </c>
      <c r="F1457">
        <v>1</v>
      </c>
    </row>
    <row r="1458" spans="2:6" x14ac:dyDescent="0.3">
      <c r="B1458" t="s">
        <v>1093</v>
      </c>
      <c r="D1458">
        <v>120</v>
      </c>
      <c r="E1458">
        <v>767</v>
      </c>
      <c r="F1458">
        <v>1</v>
      </c>
    </row>
    <row r="1459" spans="2:6" x14ac:dyDescent="0.3">
      <c r="B1459" t="s">
        <v>1094</v>
      </c>
      <c r="D1459">
        <v>112</v>
      </c>
      <c r="E1459">
        <v>498</v>
      </c>
      <c r="F1459">
        <v>1</v>
      </c>
    </row>
    <row r="1460" spans="2:6" x14ac:dyDescent="0.3">
      <c r="B1460" t="s">
        <v>1095</v>
      </c>
      <c r="D1460">
        <v>110</v>
      </c>
      <c r="E1460">
        <v>430</v>
      </c>
      <c r="F1460">
        <v>1</v>
      </c>
    </row>
    <row r="1461" spans="2:6" x14ac:dyDescent="0.3">
      <c r="B1461" t="s">
        <v>1096</v>
      </c>
      <c r="D1461">
        <v>109</v>
      </c>
      <c r="E1461">
        <v>465</v>
      </c>
      <c r="F1461">
        <v>1</v>
      </c>
    </row>
    <row r="1462" spans="2:6" x14ac:dyDescent="0.3">
      <c r="B1462" t="s">
        <v>1097</v>
      </c>
      <c r="D1462">
        <v>110</v>
      </c>
      <c r="E1462">
        <v>478</v>
      </c>
      <c r="F1462">
        <v>1</v>
      </c>
    </row>
    <row r="1463" spans="2:6" x14ac:dyDescent="0.3">
      <c r="B1463" t="s">
        <v>1098</v>
      </c>
      <c r="D1463">
        <v>110</v>
      </c>
      <c r="E1463">
        <v>480</v>
      </c>
      <c r="F1463">
        <v>1</v>
      </c>
    </row>
    <row r="1464" spans="2:6" x14ac:dyDescent="0.3">
      <c r="B1464" t="s">
        <v>1099</v>
      </c>
      <c r="D1464">
        <v>104</v>
      </c>
      <c r="E1464">
        <v>327</v>
      </c>
      <c r="F1464">
        <v>1</v>
      </c>
    </row>
    <row r="1465" spans="2:6" x14ac:dyDescent="0.3">
      <c r="B1465" t="s">
        <v>1100</v>
      </c>
      <c r="D1465">
        <v>104</v>
      </c>
      <c r="E1465">
        <v>345</v>
      </c>
      <c r="F1465">
        <v>1</v>
      </c>
    </row>
    <row r="1466" spans="2:6" x14ac:dyDescent="0.3">
      <c r="B1466" t="s">
        <v>1101</v>
      </c>
      <c r="D1466">
        <v>100</v>
      </c>
      <c r="E1466">
        <v>320</v>
      </c>
      <c r="F1466">
        <v>1</v>
      </c>
    </row>
    <row r="1467" spans="2:6" x14ac:dyDescent="0.3">
      <c r="B1467" t="s">
        <v>1102</v>
      </c>
      <c r="D1467">
        <v>93</v>
      </c>
      <c r="E1467">
        <v>186</v>
      </c>
      <c r="F1467">
        <v>1</v>
      </c>
    </row>
    <row r="1468" spans="2:6" x14ac:dyDescent="0.3">
      <c r="B1468" t="s">
        <v>1103</v>
      </c>
      <c r="D1468">
        <v>89</v>
      </c>
      <c r="E1468">
        <v>173</v>
      </c>
      <c r="F1468">
        <v>1</v>
      </c>
    </row>
    <row r="1469" spans="2:6" x14ac:dyDescent="0.3">
      <c r="B1469" t="s">
        <v>1104</v>
      </c>
      <c r="D1469">
        <v>83</v>
      </c>
      <c r="E1469">
        <v>104</v>
      </c>
      <c r="F1469">
        <v>1</v>
      </c>
    </row>
    <row r="1470" spans="2:6" x14ac:dyDescent="0.3">
      <c r="B1470" t="s">
        <v>1105</v>
      </c>
      <c r="D1470">
        <v>76</v>
      </c>
      <c r="E1470">
        <v>75</v>
      </c>
      <c r="F1470">
        <v>1</v>
      </c>
    </row>
    <row r="1471" spans="2:6" x14ac:dyDescent="0.3">
      <c r="B1471" t="s">
        <v>1106</v>
      </c>
      <c r="D1471">
        <v>56</v>
      </c>
      <c r="E1471">
        <v>43</v>
      </c>
      <c r="F1471">
        <v>1</v>
      </c>
    </row>
    <row r="1472" spans="2:6" x14ac:dyDescent="0.3">
      <c r="B1472" t="s">
        <v>1107</v>
      </c>
      <c r="D1472">
        <v>36</v>
      </c>
      <c r="E1472">
        <v>28</v>
      </c>
      <c r="F1472">
        <v>1</v>
      </c>
    </row>
    <row r="1473" spans="2:6" x14ac:dyDescent="0.3">
      <c r="B1473" t="s">
        <v>1108</v>
      </c>
      <c r="D1473">
        <v>21</v>
      </c>
      <c r="E1473">
        <v>17</v>
      </c>
      <c r="F1473">
        <v>1</v>
      </c>
    </row>
    <row r="1474" spans="2:6" x14ac:dyDescent="0.3">
      <c r="B1474" t="s">
        <v>1109</v>
      </c>
      <c r="D1474">
        <v>12</v>
      </c>
      <c r="E1474">
        <v>10</v>
      </c>
      <c r="F1474">
        <v>1</v>
      </c>
    </row>
    <row r="1475" spans="2:6" x14ac:dyDescent="0.3">
      <c r="B1475" t="s">
        <v>482</v>
      </c>
      <c r="D1475">
        <v>6</v>
      </c>
      <c r="E1475">
        <v>5</v>
      </c>
      <c r="F1475">
        <v>1</v>
      </c>
    </row>
    <row r="1476" spans="2:6" x14ac:dyDescent="0.3">
      <c r="B1476" t="s">
        <v>1110</v>
      </c>
      <c r="D1476">
        <v>4</v>
      </c>
      <c r="E1476">
        <v>3</v>
      </c>
      <c r="F1476">
        <v>1</v>
      </c>
    </row>
    <row r="1477" spans="2:6" x14ac:dyDescent="0.3">
      <c r="B1477" t="s">
        <v>17</v>
      </c>
      <c r="D1477">
        <v>2</v>
      </c>
      <c r="E1477">
        <v>1</v>
      </c>
      <c r="F1477">
        <v>1</v>
      </c>
    </row>
    <row r="1478" spans="2:6" x14ac:dyDescent="0.3">
      <c r="B1478" t="s">
        <v>1111</v>
      </c>
      <c r="D1478">
        <v>2</v>
      </c>
      <c r="E1478">
        <v>0</v>
      </c>
      <c r="F1478">
        <v>1</v>
      </c>
    </row>
    <row r="1479" spans="2:6" x14ac:dyDescent="0.3">
      <c r="B1479" t="s">
        <v>18</v>
      </c>
      <c r="D1479">
        <v>1</v>
      </c>
      <c r="E1479">
        <v>0</v>
      </c>
      <c r="F1479">
        <v>1</v>
      </c>
    </row>
    <row r="1480" spans="2:6" x14ac:dyDescent="0.3">
      <c r="B1480" t="s">
        <v>18</v>
      </c>
      <c r="D1480">
        <v>1</v>
      </c>
      <c r="E1480">
        <v>0</v>
      </c>
      <c r="F1480">
        <v>1</v>
      </c>
    </row>
    <row r="1481" spans="2:6" x14ac:dyDescent="0.3">
      <c r="B1481" t="s">
        <v>18</v>
      </c>
      <c r="D1481">
        <v>1</v>
      </c>
      <c r="E1481">
        <v>0</v>
      </c>
      <c r="F1481">
        <v>1</v>
      </c>
    </row>
    <row r="1482" spans="2:6" x14ac:dyDescent="0.3">
      <c r="B1482" t="s">
        <v>18</v>
      </c>
      <c r="D1482">
        <v>1</v>
      </c>
      <c r="E1482">
        <v>0</v>
      </c>
      <c r="F1482">
        <v>1</v>
      </c>
    </row>
    <row r="1483" spans="2:6" x14ac:dyDescent="0.3">
      <c r="B1483" t="s">
        <v>18</v>
      </c>
      <c r="D1483">
        <v>1</v>
      </c>
      <c r="E1483">
        <v>0</v>
      </c>
      <c r="F1483">
        <v>1</v>
      </c>
    </row>
    <row r="1484" spans="2:6" x14ac:dyDescent="0.3">
      <c r="B1484" t="s">
        <v>18</v>
      </c>
      <c r="D1484">
        <v>1</v>
      </c>
      <c r="E1484">
        <v>0</v>
      </c>
      <c r="F1484">
        <v>1</v>
      </c>
    </row>
    <row r="1485" spans="2:6" x14ac:dyDescent="0.3">
      <c r="B1485" t="s">
        <v>18</v>
      </c>
      <c r="D1485">
        <v>1</v>
      </c>
      <c r="E1485">
        <v>0</v>
      </c>
      <c r="F1485">
        <v>1</v>
      </c>
    </row>
    <row r="1486" spans="2:6" x14ac:dyDescent="0.3">
      <c r="B1486" t="s">
        <v>18</v>
      </c>
      <c r="D1486">
        <v>1</v>
      </c>
      <c r="E1486">
        <v>0</v>
      </c>
      <c r="F1486">
        <v>1</v>
      </c>
    </row>
    <row r="1487" spans="2:6" x14ac:dyDescent="0.3">
      <c r="B1487" t="s">
        <v>18</v>
      </c>
      <c r="D1487">
        <v>1</v>
      </c>
      <c r="E1487">
        <v>0</v>
      </c>
      <c r="F1487">
        <v>1</v>
      </c>
    </row>
    <row r="1488" spans="2:6" x14ac:dyDescent="0.3">
      <c r="B1488" t="s">
        <v>18</v>
      </c>
      <c r="D1488">
        <v>1</v>
      </c>
      <c r="E1488">
        <v>0</v>
      </c>
      <c r="F1488">
        <v>1</v>
      </c>
    </row>
    <row r="1489" spans="2:6" x14ac:dyDescent="0.3">
      <c r="B1489" t="s">
        <v>18</v>
      </c>
      <c r="D1489">
        <v>1</v>
      </c>
      <c r="E1489">
        <v>0</v>
      </c>
      <c r="F1489">
        <v>1</v>
      </c>
    </row>
    <row r="1490" spans="2:6" x14ac:dyDescent="0.3">
      <c r="B1490" t="s">
        <v>18</v>
      </c>
      <c r="D1490">
        <v>1</v>
      </c>
      <c r="E1490">
        <v>0</v>
      </c>
      <c r="F1490">
        <v>1</v>
      </c>
    </row>
    <row r="1491" spans="2:6" x14ac:dyDescent="0.3">
      <c r="B1491" t="s">
        <v>18</v>
      </c>
      <c r="D1491">
        <v>1</v>
      </c>
      <c r="E1491">
        <v>0</v>
      </c>
      <c r="F1491">
        <v>1</v>
      </c>
    </row>
    <row r="1492" spans="2:6" x14ac:dyDescent="0.3">
      <c r="B1492" t="s">
        <v>18</v>
      </c>
      <c r="D1492">
        <v>1</v>
      </c>
      <c r="E1492">
        <v>0</v>
      </c>
      <c r="F1492">
        <v>1</v>
      </c>
    </row>
    <row r="1493" spans="2:6" x14ac:dyDescent="0.3">
      <c r="B1493" t="s">
        <v>18</v>
      </c>
      <c r="D1493">
        <v>1</v>
      </c>
      <c r="E1493">
        <v>0</v>
      </c>
      <c r="F1493">
        <v>1</v>
      </c>
    </row>
    <row r="1494" spans="2:6" x14ac:dyDescent="0.3">
      <c r="B1494" t="s">
        <v>18</v>
      </c>
      <c r="D1494">
        <v>1</v>
      </c>
      <c r="E1494">
        <v>0</v>
      </c>
      <c r="F1494">
        <v>1</v>
      </c>
    </row>
    <row r="1495" spans="2:6" x14ac:dyDescent="0.3">
      <c r="B1495" t="s">
        <v>18</v>
      </c>
      <c r="D1495">
        <v>1</v>
      </c>
      <c r="E1495">
        <v>0</v>
      </c>
      <c r="F1495">
        <v>1</v>
      </c>
    </row>
    <row r="1496" spans="2:6" x14ac:dyDescent="0.3">
      <c r="B1496" t="s">
        <v>18</v>
      </c>
      <c r="D1496">
        <v>1</v>
      </c>
      <c r="E1496">
        <v>0</v>
      </c>
      <c r="F1496">
        <v>1</v>
      </c>
    </row>
    <row r="1497" spans="2:6" x14ac:dyDescent="0.3">
      <c r="B1497" t="s">
        <v>18</v>
      </c>
      <c r="D1497">
        <v>1</v>
      </c>
      <c r="E1497">
        <v>0</v>
      </c>
      <c r="F1497">
        <v>1</v>
      </c>
    </row>
    <row r="1498" spans="2:6" x14ac:dyDescent="0.3">
      <c r="B1498" t="s">
        <v>18</v>
      </c>
      <c r="D1498">
        <v>1</v>
      </c>
      <c r="E1498">
        <v>0</v>
      </c>
      <c r="F1498">
        <v>1</v>
      </c>
    </row>
    <row r="1499" spans="2:6" x14ac:dyDescent="0.3">
      <c r="B1499" t="s">
        <v>18</v>
      </c>
      <c r="D1499">
        <v>1</v>
      </c>
      <c r="E1499">
        <v>0</v>
      </c>
      <c r="F1499">
        <v>1</v>
      </c>
    </row>
    <row r="1500" spans="2:6" x14ac:dyDescent="0.3">
      <c r="B1500" t="s">
        <v>18</v>
      </c>
      <c r="D1500">
        <v>1</v>
      </c>
      <c r="E1500">
        <v>0</v>
      </c>
      <c r="F1500">
        <v>1</v>
      </c>
    </row>
    <row r="1501" spans="2:6" x14ac:dyDescent="0.3">
      <c r="B1501" t="s">
        <v>18</v>
      </c>
      <c r="D1501">
        <v>1</v>
      </c>
      <c r="E1501">
        <v>0</v>
      </c>
      <c r="F1501">
        <v>1</v>
      </c>
    </row>
    <row r="1502" spans="2:6" x14ac:dyDescent="0.3">
      <c r="B1502" t="s">
        <v>18</v>
      </c>
      <c r="D1502">
        <v>1</v>
      </c>
      <c r="E1502">
        <v>0</v>
      </c>
      <c r="F1502">
        <v>1</v>
      </c>
    </row>
    <row r="1503" spans="2:6" x14ac:dyDescent="0.3">
      <c r="B1503" t="s">
        <v>18</v>
      </c>
      <c r="D1503">
        <v>1</v>
      </c>
      <c r="E1503">
        <v>0</v>
      </c>
      <c r="F1503">
        <v>1</v>
      </c>
    </row>
    <row r="1504" spans="2:6" x14ac:dyDescent="0.3">
      <c r="B1504" t="s">
        <v>18</v>
      </c>
      <c r="D1504">
        <v>1</v>
      </c>
      <c r="E1504">
        <v>0</v>
      </c>
      <c r="F1504">
        <v>1</v>
      </c>
    </row>
    <row r="1505" spans="2:6" x14ac:dyDescent="0.3">
      <c r="B1505" t="s">
        <v>18</v>
      </c>
      <c r="D1505">
        <v>1</v>
      </c>
      <c r="E1505">
        <v>0</v>
      </c>
      <c r="F1505">
        <v>1</v>
      </c>
    </row>
    <row r="1506" spans="2:6" x14ac:dyDescent="0.3">
      <c r="B1506" t="s">
        <v>18</v>
      </c>
      <c r="D1506">
        <v>1</v>
      </c>
      <c r="E1506">
        <v>0</v>
      </c>
      <c r="F1506">
        <v>1</v>
      </c>
    </row>
    <row r="1507" spans="2:6" x14ac:dyDescent="0.3">
      <c r="B1507" t="s">
        <v>18</v>
      </c>
      <c r="D1507">
        <v>1</v>
      </c>
      <c r="E1507">
        <v>0</v>
      </c>
      <c r="F1507">
        <v>1</v>
      </c>
    </row>
    <row r="1508" spans="2:6" x14ac:dyDescent="0.3">
      <c r="B1508" t="s">
        <v>18</v>
      </c>
      <c r="D1508">
        <v>1</v>
      </c>
      <c r="E1508">
        <v>0</v>
      </c>
      <c r="F1508">
        <v>1</v>
      </c>
    </row>
    <row r="1509" spans="2:6" x14ac:dyDescent="0.3">
      <c r="B1509" t="s">
        <v>18</v>
      </c>
      <c r="D1509">
        <v>1</v>
      </c>
      <c r="E1509">
        <v>0</v>
      </c>
      <c r="F1509">
        <v>1</v>
      </c>
    </row>
    <row r="1510" spans="2:6" x14ac:dyDescent="0.3">
      <c r="B1510" t="s">
        <v>18</v>
      </c>
      <c r="D1510">
        <v>1</v>
      </c>
      <c r="E1510">
        <v>0</v>
      </c>
      <c r="F1510">
        <v>1</v>
      </c>
    </row>
    <row r="1511" spans="2:6" x14ac:dyDescent="0.3">
      <c r="B1511" t="s">
        <v>18</v>
      </c>
      <c r="D1511">
        <v>1</v>
      </c>
      <c r="E1511">
        <v>0</v>
      </c>
      <c r="F1511">
        <v>1</v>
      </c>
    </row>
    <row r="1512" spans="2:6" x14ac:dyDescent="0.3">
      <c r="B1512" t="s">
        <v>18</v>
      </c>
      <c r="D1512">
        <v>1</v>
      </c>
      <c r="E1512">
        <v>0</v>
      </c>
      <c r="F1512">
        <v>1</v>
      </c>
    </row>
    <row r="1513" spans="2:6" x14ac:dyDescent="0.3">
      <c r="B1513" t="s">
        <v>18</v>
      </c>
      <c r="D1513">
        <v>1</v>
      </c>
      <c r="E1513">
        <v>0</v>
      </c>
      <c r="F1513">
        <v>1</v>
      </c>
    </row>
    <row r="1514" spans="2:6" x14ac:dyDescent="0.3">
      <c r="B1514" t="s">
        <v>18</v>
      </c>
      <c r="D1514">
        <v>1</v>
      </c>
      <c r="E1514">
        <v>0</v>
      </c>
      <c r="F1514">
        <v>1</v>
      </c>
    </row>
    <row r="1515" spans="2:6" x14ac:dyDescent="0.3">
      <c r="B1515" t="s">
        <v>18</v>
      </c>
      <c r="D1515">
        <v>1</v>
      </c>
      <c r="E1515">
        <v>0</v>
      </c>
      <c r="F1515">
        <v>1</v>
      </c>
    </row>
    <row r="1516" spans="2:6" x14ac:dyDescent="0.3">
      <c r="B1516" t="s">
        <v>18</v>
      </c>
      <c r="D1516">
        <v>1</v>
      </c>
      <c r="E1516">
        <v>0</v>
      </c>
      <c r="F1516">
        <v>1</v>
      </c>
    </row>
    <row r="1517" spans="2:6" x14ac:dyDescent="0.3">
      <c r="B1517" t="s">
        <v>18</v>
      </c>
      <c r="D1517">
        <v>1</v>
      </c>
      <c r="E1517">
        <v>0</v>
      </c>
      <c r="F1517">
        <v>1</v>
      </c>
    </row>
    <row r="1518" spans="2:6" x14ac:dyDescent="0.3">
      <c r="B1518" t="s">
        <v>18</v>
      </c>
      <c r="D1518">
        <v>1</v>
      </c>
      <c r="E1518">
        <v>0</v>
      </c>
      <c r="F1518">
        <v>1</v>
      </c>
    </row>
    <row r="1519" spans="2:6" x14ac:dyDescent="0.3">
      <c r="B1519" t="s">
        <v>18</v>
      </c>
      <c r="D1519">
        <v>1</v>
      </c>
      <c r="E1519">
        <v>0</v>
      </c>
      <c r="F1519">
        <v>1</v>
      </c>
    </row>
    <row r="1520" spans="2:6" x14ac:dyDescent="0.3">
      <c r="B1520" t="s">
        <v>18</v>
      </c>
      <c r="D1520">
        <v>1</v>
      </c>
      <c r="E1520">
        <v>0</v>
      </c>
      <c r="F1520">
        <v>1</v>
      </c>
    </row>
    <row r="1521" spans="2:6" x14ac:dyDescent="0.3">
      <c r="B1521" t="s">
        <v>18</v>
      </c>
      <c r="D1521">
        <v>1</v>
      </c>
      <c r="E1521">
        <v>0</v>
      </c>
      <c r="F1521">
        <v>1</v>
      </c>
    </row>
    <row r="1522" spans="2:6" x14ac:dyDescent="0.3">
      <c r="B1522" t="s">
        <v>18</v>
      </c>
      <c r="D1522">
        <v>1</v>
      </c>
      <c r="E1522">
        <v>0</v>
      </c>
      <c r="F1522">
        <v>1</v>
      </c>
    </row>
    <row r="1523" spans="2:6" x14ac:dyDescent="0.3">
      <c r="B1523" t="s">
        <v>18</v>
      </c>
      <c r="D1523">
        <v>1</v>
      </c>
      <c r="E1523">
        <v>0</v>
      </c>
      <c r="F1523">
        <v>1</v>
      </c>
    </row>
    <row r="1524" spans="2:6" x14ac:dyDescent="0.3">
      <c r="B1524" t="s">
        <v>18</v>
      </c>
      <c r="D1524">
        <v>1</v>
      </c>
      <c r="E1524">
        <v>0</v>
      </c>
      <c r="F1524">
        <v>1</v>
      </c>
    </row>
    <row r="1525" spans="2:6" x14ac:dyDescent="0.3">
      <c r="B1525" t="s">
        <v>18</v>
      </c>
      <c r="D1525">
        <v>1</v>
      </c>
      <c r="E1525">
        <v>0</v>
      </c>
      <c r="F1525">
        <v>1</v>
      </c>
    </row>
    <row r="1526" spans="2:6" x14ac:dyDescent="0.3">
      <c r="B1526" t="s">
        <v>18</v>
      </c>
      <c r="D1526">
        <v>1</v>
      </c>
      <c r="E1526">
        <v>0</v>
      </c>
      <c r="F1526">
        <v>1</v>
      </c>
    </row>
    <row r="1527" spans="2:6" x14ac:dyDescent="0.3">
      <c r="B1527" t="s">
        <v>18</v>
      </c>
      <c r="D1527">
        <v>1</v>
      </c>
      <c r="E1527">
        <v>0</v>
      </c>
      <c r="F1527">
        <v>1</v>
      </c>
    </row>
    <row r="1528" spans="2:6" x14ac:dyDescent="0.3">
      <c r="B1528" t="s">
        <v>18</v>
      </c>
      <c r="D1528">
        <v>1</v>
      </c>
      <c r="E1528">
        <v>0</v>
      </c>
      <c r="F1528">
        <v>1</v>
      </c>
    </row>
    <row r="1529" spans="2:6" x14ac:dyDescent="0.3">
      <c r="B1529" t="s">
        <v>18</v>
      </c>
      <c r="D1529">
        <v>1</v>
      </c>
      <c r="E1529">
        <v>0</v>
      </c>
      <c r="F1529">
        <v>1</v>
      </c>
    </row>
    <row r="1530" spans="2:6" x14ac:dyDescent="0.3">
      <c r="B1530" t="s">
        <v>18</v>
      </c>
      <c r="D1530">
        <v>1</v>
      </c>
      <c r="E1530">
        <v>0</v>
      </c>
      <c r="F1530">
        <v>1</v>
      </c>
    </row>
    <row r="1531" spans="2:6" x14ac:dyDescent="0.3">
      <c r="B1531" t="s">
        <v>18</v>
      </c>
      <c r="D1531">
        <v>1</v>
      </c>
      <c r="E1531">
        <v>0</v>
      </c>
      <c r="F1531">
        <v>1</v>
      </c>
    </row>
    <row r="1532" spans="2:6" x14ac:dyDescent="0.3">
      <c r="B1532" t="s">
        <v>18</v>
      </c>
      <c r="D1532">
        <v>1</v>
      </c>
      <c r="E1532">
        <v>0</v>
      </c>
      <c r="F1532">
        <v>1</v>
      </c>
    </row>
    <row r="1533" spans="2:6" x14ac:dyDescent="0.3">
      <c r="B1533" t="s">
        <v>18</v>
      </c>
      <c r="D1533">
        <v>1</v>
      </c>
      <c r="E1533">
        <v>0</v>
      </c>
      <c r="F1533">
        <v>1</v>
      </c>
    </row>
    <row r="1534" spans="2:6" x14ac:dyDescent="0.3">
      <c r="B1534" t="s">
        <v>18</v>
      </c>
      <c r="D1534">
        <v>1</v>
      </c>
      <c r="E1534">
        <v>0</v>
      </c>
      <c r="F1534">
        <v>1</v>
      </c>
    </row>
    <row r="1535" spans="2:6" x14ac:dyDescent="0.3">
      <c r="B1535" t="s">
        <v>18</v>
      </c>
      <c r="D1535">
        <v>1</v>
      </c>
      <c r="E1535">
        <v>0</v>
      </c>
      <c r="F1535">
        <v>1</v>
      </c>
    </row>
    <row r="1536" spans="2:6" x14ac:dyDescent="0.3">
      <c r="B1536" t="s">
        <v>18</v>
      </c>
      <c r="D1536">
        <v>1</v>
      </c>
      <c r="E1536">
        <v>0</v>
      </c>
      <c r="F1536">
        <v>1</v>
      </c>
    </row>
    <row r="1537" spans="2:6" x14ac:dyDescent="0.3">
      <c r="B1537" t="s">
        <v>18</v>
      </c>
      <c r="D1537">
        <v>1</v>
      </c>
      <c r="E1537">
        <v>0</v>
      </c>
      <c r="F1537">
        <v>1</v>
      </c>
    </row>
    <row r="1538" spans="2:6" x14ac:dyDescent="0.3">
      <c r="B1538" t="s">
        <v>18</v>
      </c>
      <c r="D1538">
        <v>1</v>
      </c>
      <c r="E1538">
        <v>0</v>
      </c>
      <c r="F1538">
        <v>1</v>
      </c>
    </row>
    <row r="1539" spans="2:6" x14ac:dyDescent="0.3">
      <c r="B1539" t="s">
        <v>18</v>
      </c>
      <c r="D1539">
        <v>1</v>
      </c>
      <c r="E1539">
        <v>0</v>
      </c>
      <c r="F1539">
        <v>1</v>
      </c>
    </row>
    <row r="1540" spans="2:6" x14ac:dyDescent="0.3">
      <c r="B1540" t="s">
        <v>18</v>
      </c>
      <c r="D1540">
        <v>1</v>
      </c>
      <c r="E1540">
        <v>0</v>
      </c>
      <c r="F1540">
        <v>1</v>
      </c>
    </row>
    <row r="1541" spans="2:6" x14ac:dyDescent="0.3">
      <c r="B1541" t="s">
        <v>18</v>
      </c>
      <c r="D1541">
        <v>1</v>
      </c>
      <c r="E1541">
        <v>0</v>
      </c>
      <c r="F1541">
        <v>1</v>
      </c>
    </row>
    <row r="1542" spans="2:6" x14ac:dyDescent="0.3">
      <c r="B1542" t="s">
        <v>18</v>
      </c>
      <c r="D1542">
        <v>1</v>
      </c>
      <c r="E1542">
        <v>0</v>
      </c>
      <c r="F1542">
        <v>1</v>
      </c>
    </row>
    <row r="1543" spans="2:6" x14ac:dyDescent="0.3">
      <c r="B1543" t="s">
        <v>18</v>
      </c>
      <c r="D1543">
        <v>1</v>
      </c>
      <c r="E1543">
        <v>0</v>
      </c>
      <c r="F1543">
        <v>1</v>
      </c>
    </row>
    <row r="1544" spans="2:6" x14ac:dyDescent="0.3">
      <c r="B1544" t="s">
        <v>18</v>
      </c>
      <c r="D1544">
        <v>1</v>
      </c>
      <c r="E1544">
        <v>0</v>
      </c>
      <c r="F1544">
        <v>1</v>
      </c>
    </row>
    <row r="1545" spans="2:6" x14ac:dyDescent="0.3">
      <c r="B1545" t="s">
        <v>18</v>
      </c>
      <c r="D1545">
        <v>1</v>
      </c>
      <c r="E1545">
        <v>0</v>
      </c>
      <c r="F1545">
        <v>1</v>
      </c>
    </row>
    <row r="1546" spans="2:6" x14ac:dyDescent="0.3">
      <c r="B1546" t="s">
        <v>18</v>
      </c>
      <c r="D1546">
        <v>1</v>
      </c>
      <c r="E1546">
        <v>0</v>
      </c>
      <c r="F1546">
        <v>1</v>
      </c>
    </row>
    <row r="1547" spans="2:6" x14ac:dyDescent="0.3">
      <c r="B1547" t="s">
        <v>18</v>
      </c>
      <c r="D1547">
        <v>1</v>
      </c>
      <c r="E1547">
        <v>0</v>
      </c>
      <c r="F1547">
        <v>1</v>
      </c>
    </row>
    <row r="1548" spans="2:6" x14ac:dyDescent="0.3">
      <c r="B1548" t="s">
        <v>18</v>
      </c>
      <c r="D1548">
        <v>1</v>
      </c>
      <c r="E1548">
        <v>0</v>
      </c>
      <c r="F1548">
        <v>1</v>
      </c>
    </row>
    <row r="1549" spans="2:6" x14ac:dyDescent="0.3">
      <c r="B1549" t="s">
        <v>18</v>
      </c>
      <c r="D1549">
        <v>1</v>
      </c>
      <c r="E1549">
        <v>0</v>
      </c>
      <c r="F1549">
        <v>1</v>
      </c>
    </row>
    <row r="1550" spans="2:6" x14ac:dyDescent="0.3">
      <c r="B1550" t="s">
        <v>18</v>
      </c>
      <c r="D1550">
        <v>1</v>
      </c>
      <c r="E1550">
        <v>0</v>
      </c>
      <c r="F1550">
        <v>1</v>
      </c>
    </row>
    <row r="1551" spans="2:6" x14ac:dyDescent="0.3">
      <c r="B1551" t="s">
        <v>18</v>
      </c>
      <c r="D1551">
        <v>1</v>
      </c>
      <c r="E1551">
        <v>0</v>
      </c>
      <c r="F1551">
        <v>1</v>
      </c>
    </row>
    <row r="1552" spans="2:6" x14ac:dyDescent="0.3">
      <c r="B1552" t="s">
        <v>18</v>
      </c>
      <c r="D1552">
        <v>1</v>
      </c>
      <c r="E1552">
        <v>0</v>
      </c>
      <c r="F1552">
        <v>1</v>
      </c>
    </row>
    <row r="1553" spans="2:6" x14ac:dyDescent="0.3">
      <c r="B1553" t="s">
        <v>18</v>
      </c>
      <c r="D1553">
        <v>1</v>
      </c>
      <c r="E1553">
        <v>0</v>
      </c>
      <c r="F1553">
        <v>1</v>
      </c>
    </row>
    <row r="1554" spans="2:6" x14ac:dyDescent="0.3">
      <c r="B1554" t="s">
        <v>18</v>
      </c>
      <c r="D1554">
        <v>1</v>
      </c>
      <c r="E1554">
        <v>0</v>
      </c>
      <c r="F1554">
        <v>1</v>
      </c>
    </row>
    <row r="1555" spans="2:6" x14ac:dyDescent="0.3">
      <c r="B1555" t="s">
        <v>18</v>
      </c>
      <c r="D1555">
        <v>1</v>
      </c>
      <c r="E1555">
        <v>0</v>
      </c>
      <c r="F1555">
        <v>1</v>
      </c>
    </row>
    <row r="1556" spans="2:6" x14ac:dyDescent="0.3">
      <c r="B1556" t="s">
        <v>18</v>
      </c>
      <c r="D1556">
        <v>1</v>
      </c>
      <c r="E1556">
        <v>0</v>
      </c>
      <c r="F1556">
        <v>1</v>
      </c>
    </row>
    <row r="1557" spans="2:6" x14ac:dyDescent="0.3">
      <c r="B1557" t="s">
        <v>18</v>
      </c>
      <c r="D1557">
        <v>1</v>
      </c>
      <c r="E1557">
        <v>0</v>
      </c>
      <c r="F1557">
        <v>1</v>
      </c>
    </row>
    <row r="1558" spans="2:6" x14ac:dyDescent="0.3">
      <c r="B1558" t="s">
        <v>1111</v>
      </c>
      <c r="D1558">
        <v>2</v>
      </c>
      <c r="E1558">
        <v>0</v>
      </c>
      <c r="F1558">
        <v>1</v>
      </c>
    </row>
    <row r="1559" spans="2:6" x14ac:dyDescent="0.3">
      <c r="B1559" t="s">
        <v>483</v>
      </c>
      <c r="D1559">
        <v>3</v>
      </c>
      <c r="E1559">
        <v>2</v>
      </c>
      <c r="F1559">
        <v>1</v>
      </c>
    </row>
    <row r="1560" spans="2:6" x14ac:dyDescent="0.3">
      <c r="B1560" t="s">
        <v>1112</v>
      </c>
      <c r="D1560">
        <v>8</v>
      </c>
      <c r="E1560">
        <v>5</v>
      </c>
      <c r="F1560">
        <v>1</v>
      </c>
    </row>
    <row r="1561" spans="2:6" x14ac:dyDescent="0.3">
      <c r="B1561" t="s">
        <v>1113</v>
      </c>
      <c r="D1561">
        <v>8</v>
      </c>
      <c r="E1561">
        <v>11</v>
      </c>
      <c r="F1561">
        <v>1</v>
      </c>
    </row>
    <row r="1562" spans="2:6" x14ac:dyDescent="0.3">
      <c r="B1562" t="s">
        <v>94</v>
      </c>
      <c r="D1562">
        <v>16</v>
      </c>
      <c r="E1562">
        <v>16</v>
      </c>
      <c r="F1562">
        <v>1</v>
      </c>
    </row>
    <row r="1563" spans="2:6" x14ac:dyDescent="0.3">
      <c r="B1563" t="s">
        <v>1114</v>
      </c>
      <c r="D1563">
        <v>34</v>
      </c>
      <c r="E1563">
        <v>36</v>
      </c>
      <c r="F1563">
        <v>1</v>
      </c>
    </row>
    <row r="1564" spans="2:6" x14ac:dyDescent="0.3">
      <c r="B1564" t="s">
        <v>1115</v>
      </c>
      <c r="D1564">
        <v>61</v>
      </c>
      <c r="E1564">
        <v>76</v>
      </c>
      <c r="F1564">
        <v>1</v>
      </c>
    </row>
    <row r="1565" spans="2:6" x14ac:dyDescent="0.3">
      <c r="B1565" t="s">
        <v>1116</v>
      </c>
      <c r="D1565">
        <v>78</v>
      </c>
      <c r="E1565">
        <v>71</v>
      </c>
      <c r="F1565">
        <v>1</v>
      </c>
    </row>
    <row r="1566" spans="2:6" x14ac:dyDescent="0.3">
      <c r="B1566" t="s">
        <v>1117</v>
      </c>
      <c r="D1566">
        <v>84</v>
      </c>
      <c r="E1566">
        <v>113</v>
      </c>
      <c r="F1566">
        <v>1</v>
      </c>
    </row>
    <row r="1567" spans="2:6" x14ac:dyDescent="0.3">
      <c r="B1567" t="s">
        <v>1118</v>
      </c>
      <c r="D1567">
        <v>85</v>
      </c>
      <c r="E1567">
        <v>144</v>
      </c>
      <c r="F1567">
        <v>1</v>
      </c>
    </row>
    <row r="1568" spans="2:6" x14ac:dyDescent="0.3">
      <c r="B1568" t="s">
        <v>1119</v>
      </c>
      <c r="D1568">
        <v>94</v>
      </c>
      <c r="E1568">
        <v>191</v>
      </c>
      <c r="F1568">
        <v>1</v>
      </c>
    </row>
    <row r="1569" spans="2:6" x14ac:dyDescent="0.3">
      <c r="B1569" t="s">
        <v>1120</v>
      </c>
      <c r="D1569">
        <v>99</v>
      </c>
      <c r="E1569">
        <v>239</v>
      </c>
      <c r="F1569">
        <v>1</v>
      </c>
    </row>
    <row r="1570" spans="2:6" x14ac:dyDescent="0.3">
      <c r="B1570" t="s">
        <v>1121</v>
      </c>
      <c r="D1570">
        <v>103</v>
      </c>
      <c r="E1570">
        <v>272</v>
      </c>
      <c r="F1570">
        <v>1</v>
      </c>
    </row>
    <row r="1571" spans="2:6" x14ac:dyDescent="0.3">
      <c r="B1571" t="s">
        <v>1122</v>
      </c>
      <c r="D1571">
        <v>113</v>
      </c>
      <c r="E1571">
        <v>485</v>
      </c>
      <c r="F1571">
        <v>1</v>
      </c>
    </row>
    <row r="1572" spans="2:6" x14ac:dyDescent="0.3">
      <c r="B1572" t="s">
        <v>1123</v>
      </c>
      <c r="D1572">
        <v>121</v>
      </c>
      <c r="E1572">
        <v>807</v>
      </c>
      <c r="F1572">
        <v>1</v>
      </c>
    </row>
    <row r="1573" spans="2:6" x14ac:dyDescent="0.3">
      <c r="B1573" t="s">
        <v>1123</v>
      </c>
      <c r="D1573">
        <v>121</v>
      </c>
      <c r="E1573">
        <v>807</v>
      </c>
      <c r="F1573">
        <v>1</v>
      </c>
    </row>
    <row r="1574" spans="2:6" x14ac:dyDescent="0.3">
      <c r="B1574" t="s">
        <v>1124</v>
      </c>
      <c r="D1574">
        <v>118</v>
      </c>
      <c r="E1574">
        <v>737</v>
      </c>
      <c r="F1574">
        <v>1</v>
      </c>
    </row>
    <row r="1575" spans="2:6" x14ac:dyDescent="0.3">
      <c r="B1575" t="s">
        <v>1125</v>
      </c>
      <c r="D1575">
        <v>117</v>
      </c>
      <c r="E1575">
        <v>714</v>
      </c>
      <c r="F1575">
        <v>1</v>
      </c>
    </row>
    <row r="1576" spans="2:6" x14ac:dyDescent="0.3">
      <c r="B1576" t="s">
        <v>1126</v>
      </c>
      <c r="D1576">
        <v>121</v>
      </c>
      <c r="E1576">
        <v>930</v>
      </c>
      <c r="F1576">
        <v>1</v>
      </c>
    </row>
    <row r="1577" spans="2:6" x14ac:dyDescent="0.3">
      <c r="B1577" t="s">
        <v>1127</v>
      </c>
      <c r="D1577">
        <v>123</v>
      </c>
      <c r="E1577">
        <v>963</v>
      </c>
      <c r="F1577">
        <v>1</v>
      </c>
    </row>
    <row r="1578" spans="2:6" x14ac:dyDescent="0.3">
      <c r="B1578" t="s">
        <v>1128</v>
      </c>
      <c r="D1578">
        <v>126</v>
      </c>
      <c r="E1578">
        <v>1058</v>
      </c>
      <c r="F1578">
        <v>1</v>
      </c>
    </row>
    <row r="1579" spans="2:6" x14ac:dyDescent="0.3">
      <c r="B1579" t="s">
        <v>1129</v>
      </c>
      <c r="D1579">
        <v>124</v>
      </c>
      <c r="E1579">
        <v>1067</v>
      </c>
      <c r="F1579">
        <v>1</v>
      </c>
    </row>
    <row r="1580" spans="2:6" x14ac:dyDescent="0.3">
      <c r="B1580" t="s">
        <v>1130</v>
      </c>
      <c r="D1580">
        <v>128</v>
      </c>
      <c r="E1580">
        <v>1268</v>
      </c>
      <c r="F1580">
        <v>1</v>
      </c>
    </row>
    <row r="1581" spans="2:6" x14ac:dyDescent="0.3">
      <c r="B1581" t="s">
        <v>1131</v>
      </c>
      <c r="D1581">
        <v>130</v>
      </c>
      <c r="E1581">
        <v>1580</v>
      </c>
      <c r="F1581">
        <v>1</v>
      </c>
    </row>
    <row r="1582" spans="2:6" x14ac:dyDescent="0.3">
      <c r="B1582" t="s">
        <v>1132</v>
      </c>
      <c r="D1582">
        <v>135</v>
      </c>
      <c r="E1582">
        <v>2195</v>
      </c>
      <c r="F1582">
        <v>1</v>
      </c>
    </row>
    <row r="1583" spans="2:6" x14ac:dyDescent="0.3">
      <c r="B1583" t="s">
        <v>1133</v>
      </c>
      <c r="D1583">
        <v>143</v>
      </c>
      <c r="E1583">
        <v>2848</v>
      </c>
      <c r="F1583">
        <v>1</v>
      </c>
    </row>
    <row r="1584" spans="2:6" x14ac:dyDescent="0.3">
      <c r="B1584" t="s">
        <v>1134</v>
      </c>
      <c r="D1584">
        <v>146</v>
      </c>
      <c r="E1584">
        <v>3521</v>
      </c>
      <c r="F1584">
        <v>1</v>
      </c>
    </row>
    <row r="1585" spans="2:6" x14ac:dyDescent="0.3">
      <c r="B1585" t="s">
        <v>1135</v>
      </c>
      <c r="D1585">
        <v>146</v>
      </c>
      <c r="E1585">
        <v>3278</v>
      </c>
      <c r="F1585">
        <v>1</v>
      </c>
    </row>
    <row r="1586" spans="2:6" x14ac:dyDescent="0.3">
      <c r="B1586" t="s">
        <v>1136</v>
      </c>
      <c r="D1586">
        <v>145</v>
      </c>
      <c r="E1586">
        <v>3180</v>
      </c>
      <c r="F1586">
        <v>1</v>
      </c>
    </row>
    <row r="1587" spans="2:6" x14ac:dyDescent="0.3">
      <c r="B1587" t="s">
        <v>1137</v>
      </c>
      <c r="D1587">
        <v>143</v>
      </c>
      <c r="E1587">
        <v>3075</v>
      </c>
      <c r="F1587">
        <v>1</v>
      </c>
    </row>
    <row r="1588" spans="2:6" x14ac:dyDescent="0.3">
      <c r="B1588" t="s">
        <v>1138</v>
      </c>
      <c r="D1588">
        <v>142</v>
      </c>
      <c r="E1588">
        <v>2867</v>
      </c>
      <c r="F1588">
        <v>1</v>
      </c>
    </row>
    <row r="1589" spans="2:6" x14ac:dyDescent="0.3">
      <c r="B1589" t="s">
        <v>1139</v>
      </c>
      <c r="D1589">
        <v>140</v>
      </c>
      <c r="E1589">
        <v>2867</v>
      </c>
      <c r="F1589">
        <v>1</v>
      </c>
    </row>
    <row r="1590" spans="2:6" x14ac:dyDescent="0.3">
      <c r="B1590" t="s">
        <v>1140</v>
      </c>
      <c r="D1590">
        <v>145</v>
      </c>
      <c r="E1590">
        <v>2712</v>
      </c>
      <c r="F1590">
        <v>1</v>
      </c>
    </row>
    <row r="1591" spans="2:6" x14ac:dyDescent="0.3">
      <c r="B1591" t="s">
        <v>1141</v>
      </c>
      <c r="D1591">
        <v>147</v>
      </c>
      <c r="E1591">
        <v>3351</v>
      </c>
      <c r="F1591">
        <v>1</v>
      </c>
    </row>
    <row r="1592" spans="2:6" x14ac:dyDescent="0.3">
      <c r="B1592" t="s">
        <v>1142</v>
      </c>
      <c r="D1592">
        <v>144</v>
      </c>
      <c r="E1592">
        <v>3082</v>
      </c>
      <c r="F1592">
        <v>1</v>
      </c>
    </row>
    <row r="1593" spans="2:6" x14ac:dyDescent="0.3">
      <c r="B1593" t="s">
        <v>1143</v>
      </c>
      <c r="D1593">
        <v>142</v>
      </c>
      <c r="E1593">
        <v>2647</v>
      </c>
      <c r="F1593">
        <v>1</v>
      </c>
    </row>
    <row r="1594" spans="2:6" x14ac:dyDescent="0.3">
      <c r="B1594" t="s">
        <v>1144</v>
      </c>
      <c r="D1594">
        <v>141</v>
      </c>
      <c r="E1594">
        <v>2620</v>
      </c>
      <c r="F1594">
        <v>1</v>
      </c>
    </row>
    <row r="1595" spans="2:6" x14ac:dyDescent="0.3">
      <c r="B1595" t="s">
        <v>1145</v>
      </c>
      <c r="D1595">
        <v>140</v>
      </c>
      <c r="E1595">
        <v>2595</v>
      </c>
      <c r="F1595">
        <v>1</v>
      </c>
    </row>
    <row r="1596" spans="2:6" x14ac:dyDescent="0.3">
      <c r="B1596" t="s">
        <v>1145</v>
      </c>
      <c r="D1596">
        <v>140</v>
      </c>
      <c r="E1596">
        <v>2595</v>
      </c>
      <c r="F1596">
        <v>1</v>
      </c>
    </row>
    <row r="1597" spans="2:6" x14ac:dyDescent="0.3">
      <c r="B1597" t="s">
        <v>1146</v>
      </c>
      <c r="D1597">
        <v>140</v>
      </c>
      <c r="E1597">
        <v>2566</v>
      </c>
      <c r="F1597">
        <v>1</v>
      </c>
    </row>
    <row r="1598" spans="2:6" x14ac:dyDescent="0.3">
      <c r="B1598" t="s">
        <v>1147</v>
      </c>
      <c r="D1598">
        <v>144</v>
      </c>
      <c r="E1598">
        <v>2893</v>
      </c>
      <c r="F1598">
        <v>1</v>
      </c>
    </row>
    <row r="1599" spans="2:6" x14ac:dyDescent="0.3">
      <c r="B1599" t="s">
        <v>1148</v>
      </c>
      <c r="D1599">
        <v>145</v>
      </c>
      <c r="E1599">
        <v>3349</v>
      </c>
      <c r="F1599">
        <v>1</v>
      </c>
    </row>
    <row r="1600" spans="2:6" x14ac:dyDescent="0.3">
      <c r="B1600" t="s">
        <v>1149</v>
      </c>
      <c r="D1600">
        <v>148</v>
      </c>
      <c r="E1600">
        <v>4220</v>
      </c>
      <c r="F1600">
        <v>1</v>
      </c>
    </row>
    <row r="1601" spans="2:6" x14ac:dyDescent="0.3">
      <c r="B1601" t="s">
        <v>1150</v>
      </c>
      <c r="D1601">
        <v>149</v>
      </c>
      <c r="E1601">
        <v>4116</v>
      </c>
      <c r="F1601">
        <v>1</v>
      </c>
    </row>
    <row r="1602" spans="2:6" x14ac:dyDescent="0.3">
      <c r="B1602" t="s">
        <v>1151</v>
      </c>
      <c r="D1602">
        <v>151</v>
      </c>
      <c r="E1602">
        <v>4932</v>
      </c>
      <c r="F1602">
        <v>1</v>
      </c>
    </row>
    <row r="1603" spans="2:6" x14ac:dyDescent="0.3">
      <c r="B1603" t="s">
        <v>1152</v>
      </c>
      <c r="D1603">
        <v>147</v>
      </c>
      <c r="E1603">
        <v>3969</v>
      </c>
      <c r="F1603">
        <v>1</v>
      </c>
    </row>
    <row r="1604" spans="2:6" x14ac:dyDescent="0.3">
      <c r="B1604" t="s">
        <v>1153</v>
      </c>
      <c r="D1604">
        <v>150</v>
      </c>
      <c r="E1604">
        <v>5264</v>
      </c>
      <c r="F1604">
        <v>1</v>
      </c>
    </row>
    <row r="1605" spans="2:6" x14ac:dyDescent="0.3">
      <c r="B1605" t="s">
        <v>1154</v>
      </c>
      <c r="D1605">
        <v>148</v>
      </c>
      <c r="E1605">
        <v>4474</v>
      </c>
      <c r="F1605">
        <v>1</v>
      </c>
    </row>
    <row r="1606" spans="2:6" x14ac:dyDescent="0.3">
      <c r="B1606" t="s">
        <v>1153</v>
      </c>
      <c r="D1606">
        <v>150</v>
      </c>
      <c r="E1606">
        <v>5264</v>
      </c>
      <c r="F1606">
        <v>1</v>
      </c>
    </row>
    <row r="1607" spans="2:6" x14ac:dyDescent="0.3">
      <c r="B1607" t="s">
        <v>1155</v>
      </c>
      <c r="D1607">
        <v>153</v>
      </c>
      <c r="E1607">
        <v>5524</v>
      </c>
      <c r="F1607">
        <v>1</v>
      </c>
    </row>
    <row r="1608" spans="2:6" x14ac:dyDescent="0.3">
      <c r="B1608" t="s">
        <v>1156</v>
      </c>
      <c r="D1608">
        <v>154</v>
      </c>
      <c r="E1608">
        <v>6074</v>
      </c>
      <c r="F1608">
        <v>1</v>
      </c>
    </row>
    <row r="1609" spans="2:6" x14ac:dyDescent="0.3">
      <c r="B1609" t="s">
        <v>1157</v>
      </c>
      <c r="D1609">
        <v>152</v>
      </c>
      <c r="E1609">
        <v>5902</v>
      </c>
      <c r="F1609">
        <v>1</v>
      </c>
    </row>
    <row r="1610" spans="2:6" x14ac:dyDescent="0.3">
      <c r="B1610" t="s">
        <v>1158</v>
      </c>
      <c r="D1610">
        <v>153</v>
      </c>
      <c r="E1610">
        <v>5020</v>
      </c>
      <c r="F1610">
        <v>1</v>
      </c>
    </row>
    <row r="1611" spans="2:6" x14ac:dyDescent="0.3">
      <c r="B1611" t="s">
        <v>1159</v>
      </c>
      <c r="D1611">
        <v>155</v>
      </c>
      <c r="E1611">
        <v>6400</v>
      </c>
      <c r="F1611">
        <v>1</v>
      </c>
    </row>
    <row r="1612" spans="2:6" x14ac:dyDescent="0.3">
      <c r="B1612" t="s">
        <v>1160</v>
      </c>
      <c r="D1612">
        <v>156</v>
      </c>
      <c r="E1612">
        <v>6502</v>
      </c>
      <c r="F1612">
        <v>1</v>
      </c>
    </row>
    <row r="1613" spans="2:6" x14ac:dyDescent="0.3">
      <c r="B1613" t="s">
        <v>1161</v>
      </c>
      <c r="D1613">
        <v>156</v>
      </c>
      <c r="E1613">
        <v>5904</v>
      </c>
      <c r="F1613">
        <v>1</v>
      </c>
    </row>
    <row r="1614" spans="2:6" x14ac:dyDescent="0.3">
      <c r="B1614" t="s">
        <v>1162</v>
      </c>
      <c r="D1614">
        <v>155</v>
      </c>
      <c r="E1614">
        <v>6114</v>
      </c>
      <c r="F1614">
        <v>1</v>
      </c>
    </row>
    <row r="1615" spans="2:6" x14ac:dyDescent="0.3">
      <c r="B1615" t="s">
        <v>1163</v>
      </c>
      <c r="D1615">
        <v>160</v>
      </c>
      <c r="E1615">
        <v>7672</v>
      </c>
      <c r="F1615">
        <v>1</v>
      </c>
    </row>
    <row r="1616" spans="2:6" x14ac:dyDescent="0.3">
      <c r="B1616" t="s">
        <v>1164</v>
      </c>
      <c r="D1616">
        <v>162</v>
      </c>
      <c r="E1616">
        <v>8412</v>
      </c>
      <c r="F1616">
        <v>1</v>
      </c>
    </row>
    <row r="1617" spans="2:6" x14ac:dyDescent="0.3">
      <c r="B1617" t="s">
        <v>1165</v>
      </c>
      <c r="D1617">
        <v>161</v>
      </c>
      <c r="E1617">
        <v>8652</v>
      </c>
      <c r="F1617">
        <v>1</v>
      </c>
    </row>
    <row r="1618" spans="2:6" x14ac:dyDescent="0.3">
      <c r="B1618" t="s">
        <v>1166</v>
      </c>
      <c r="D1618">
        <v>162</v>
      </c>
      <c r="E1618">
        <v>8652</v>
      </c>
      <c r="F1618">
        <v>1</v>
      </c>
    </row>
    <row r="1619" spans="2:6" x14ac:dyDescent="0.3">
      <c r="B1619" t="s">
        <v>1167</v>
      </c>
      <c r="D1619">
        <v>159</v>
      </c>
      <c r="E1619">
        <v>6408</v>
      </c>
      <c r="F1619">
        <v>1</v>
      </c>
    </row>
    <row r="1620" spans="2:6" x14ac:dyDescent="0.3">
      <c r="B1620" t="s">
        <v>1168</v>
      </c>
      <c r="D1620">
        <v>153</v>
      </c>
      <c r="E1620">
        <v>5262</v>
      </c>
      <c r="F1620">
        <v>1</v>
      </c>
    </row>
    <row r="1621" spans="2:6" x14ac:dyDescent="0.3">
      <c r="B1621" t="s">
        <v>1169</v>
      </c>
      <c r="D1621">
        <v>155</v>
      </c>
      <c r="E1621">
        <v>6098</v>
      </c>
      <c r="F1621">
        <v>1</v>
      </c>
    </row>
    <row r="1622" spans="2:6" x14ac:dyDescent="0.3">
      <c r="B1622" t="s">
        <v>1170</v>
      </c>
      <c r="D1622">
        <v>159</v>
      </c>
      <c r="E1622">
        <v>7574</v>
      </c>
      <c r="F1622">
        <v>1</v>
      </c>
    </row>
    <row r="1623" spans="2:6" x14ac:dyDescent="0.3">
      <c r="B1623" t="s">
        <v>1171</v>
      </c>
      <c r="D1623">
        <v>158</v>
      </c>
      <c r="E1623">
        <v>7714</v>
      </c>
      <c r="F1623">
        <v>1</v>
      </c>
    </row>
    <row r="1624" spans="2:6" x14ac:dyDescent="0.3">
      <c r="B1624" t="s">
        <v>1172</v>
      </c>
      <c r="D1624">
        <v>155</v>
      </c>
      <c r="E1624">
        <v>7218</v>
      </c>
      <c r="F1624">
        <v>1</v>
      </c>
    </row>
    <row r="1625" spans="2:6" x14ac:dyDescent="0.3">
      <c r="B1625" t="s">
        <v>1173</v>
      </c>
      <c r="D1625">
        <v>147</v>
      </c>
      <c r="E1625">
        <v>5554</v>
      </c>
      <c r="F1625">
        <v>1</v>
      </c>
    </row>
    <row r="1626" spans="2:6" x14ac:dyDescent="0.3">
      <c r="B1626" t="s">
        <v>1174</v>
      </c>
      <c r="D1626">
        <v>146</v>
      </c>
      <c r="E1626">
        <v>5190</v>
      </c>
      <c r="F1626">
        <v>1</v>
      </c>
    </row>
    <row r="1627" spans="2:6" x14ac:dyDescent="0.3">
      <c r="B1627" t="s">
        <v>1175</v>
      </c>
      <c r="D1627">
        <v>156</v>
      </c>
      <c r="E1627">
        <v>5628</v>
      </c>
      <c r="F1627">
        <v>1</v>
      </c>
    </row>
    <row r="1628" spans="2:6" x14ac:dyDescent="0.3">
      <c r="B1628" t="s">
        <v>1176</v>
      </c>
      <c r="D1628">
        <v>151</v>
      </c>
      <c r="E1628">
        <v>5362</v>
      </c>
      <c r="F1628">
        <v>1</v>
      </c>
    </row>
    <row r="1629" spans="2:6" x14ac:dyDescent="0.3">
      <c r="B1629" t="s">
        <v>1177</v>
      </c>
      <c r="D1629">
        <v>162</v>
      </c>
      <c r="E1629">
        <v>6622</v>
      </c>
      <c r="F1629">
        <v>1</v>
      </c>
    </row>
    <row r="1630" spans="2:6" x14ac:dyDescent="0.3">
      <c r="B1630" t="s">
        <v>1178</v>
      </c>
      <c r="D1630">
        <v>163</v>
      </c>
      <c r="E1630">
        <v>8936</v>
      </c>
      <c r="F1630">
        <v>1</v>
      </c>
    </row>
    <row r="1631" spans="2:6" x14ac:dyDescent="0.3">
      <c r="B1631" t="s">
        <v>1179</v>
      </c>
      <c r="D1631">
        <v>159</v>
      </c>
      <c r="E1631">
        <v>8448</v>
      </c>
      <c r="F1631">
        <v>1</v>
      </c>
    </row>
    <row r="1632" spans="2:6" x14ac:dyDescent="0.3">
      <c r="B1632" t="s">
        <v>1180</v>
      </c>
      <c r="D1632">
        <v>152</v>
      </c>
      <c r="E1632">
        <v>5364</v>
      </c>
      <c r="F1632">
        <v>1</v>
      </c>
    </row>
    <row r="1633" spans="2:6" x14ac:dyDescent="0.3">
      <c r="B1633" t="s">
        <v>1181</v>
      </c>
      <c r="D1633">
        <v>148</v>
      </c>
      <c r="E1633">
        <v>5198</v>
      </c>
      <c r="F1633">
        <v>1</v>
      </c>
    </row>
    <row r="1634" spans="2:6" x14ac:dyDescent="0.3">
      <c r="B1634" t="s">
        <v>1182</v>
      </c>
      <c r="D1634">
        <v>156</v>
      </c>
      <c r="E1634">
        <v>4834</v>
      </c>
      <c r="F1634">
        <v>1</v>
      </c>
    </row>
    <row r="1635" spans="2:6" x14ac:dyDescent="0.3">
      <c r="B1635" t="s">
        <v>1183</v>
      </c>
      <c r="D1635">
        <v>165</v>
      </c>
      <c r="E1635">
        <v>10488</v>
      </c>
      <c r="F1635">
        <v>1</v>
      </c>
    </row>
    <row r="1636" spans="2:6" x14ac:dyDescent="0.3">
      <c r="B1636" t="s">
        <v>1184</v>
      </c>
      <c r="D1636">
        <v>164</v>
      </c>
      <c r="E1636">
        <v>11580</v>
      </c>
      <c r="F1636">
        <v>1</v>
      </c>
    </row>
    <row r="1637" spans="2:6" x14ac:dyDescent="0.3">
      <c r="B1637" t="s">
        <v>1185</v>
      </c>
      <c r="D1637">
        <v>161</v>
      </c>
      <c r="E1637">
        <v>9880</v>
      </c>
      <c r="F1637">
        <v>1</v>
      </c>
    </row>
    <row r="1638" spans="2:6" x14ac:dyDescent="0.3">
      <c r="B1638" t="s">
        <v>1186</v>
      </c>
      <c r="D1638">
        <v>158</v>
      </c>
      <c r="E1638">
        <v>7222</v>
      </c>
      <c r="F1638">
        <v>1</v>
      </c>
    </row>
    <row r="1639" spans="2:6" x14ac:dyDescent="0.3">
      <c r="B1639" t="s">
        <v>1187</v>
      </c>
      <c r="D1639">
        <v>165</v>
      </c>
      <c r="E1639">
        <v>11212</v>
      </c>
      <c r="F1639">
        <v>1</v>
      </c>
    </row>
    <row r="1640" spans="2:6" x14ac:dyDescent="0.3">
      <c r="B1640" t="s">
        <v>1188</v>
      </c>
      <c r="D1640">
        <v>166</v>
      </c>
      <c r="E1640">
        <v>13008</v>
      </c>
      <c r="F1640">
        <v>1</v>
      </c>
    </row>
    <row r="1641" spans="2:6" x14ac:dyDescent="0.3">
      <c r="B1641" t="s">
        <v>1189</v>
      </c>
      <c r="D1641">
        <v>167</v>
      </c>
      <c r="E1641">
        <v>11096</v>
      </c>
      <c r="F1641">
        <v>1</v>
      </c>
    </row>
    <row r="1642" spans="2:6" x14ac:dyDescent="0.3">
      <c r="B1642" t="s">
        <v>1190</v>
      </c>
      <c r="D1642">
        <v>164</v>
      </c>
      <c r="E1642">
        <v>10624</v>
      </c>
      <c r="F1642">
        <v>1</v>
      </c>
    </row>
    <row r="1643" spans="2:6" x14ac:dyDescent="0.3">
      <c r="B1643" t="s">
        <v>1191</v>
      </c>
      <c r="D1643">
        <v>159</v>
      </c>
      <c r="E1643">
        <v>8584</v>
      </c>
      <c r="F1643">
        <v>1</v>
      </c>
    </row>
    <row r="1644" spans="2:6" x14ac:dyDescent="0.3">
      <c r="B1644" t="s">
        <v>1192</v>
      </c>
      <c r="D1644">
        <v>167</v>
      </c>
      <c r="E1644">
        <v>8948</v>
      </c>
      <c r="F1644">
        <v>1</v>
      </c>
    </row>
    <row r="1645" spans="2:6" x14ac:dyDescent="0.3">
      <c r="B1645" t="s">
        <v>1193</v>
      </c>
      <c r="D1645">
        <v>171</v>
      </c>
      <c r="E1645">
        <v>14240</v>
      </c>
      <c r="F1645">
        <v>1</v>
      </c>
    </row>
    <row r="1646" spans="2:6" x14ac:dyDescent="0.3">
      <c r="B1646" t="s">
        <v>1194</v>
      </c>
      <c r="D1646">
        <v>173</v>
      </c>
      <c r="E1646">
        <v>16696</v>
      </c>
      <c r="F1646">
        <v>1</v>
      </c>
    </row>
    <row r="1647" spans="2:6" x14ac:dyDescent="0.3">
      <c r="B1647" t="s">
        <v>1195</v>
      </c>
      <c r="D1647">
        <v>182</v>
      </c>
      <c r="E1647">
        <v>22672</v>
      </c>
      <c r="F1647">
        <v>1</v>
      </c>
    </row>
    <row r="1648" spans="2:6" x14ac:dyDescent="0.3">
      <c r="B1648" t="s">
        <v>1196</v>
      </c>
      <c r="D1648">
        <v>176</v>
      </c>
      <c r="E1648">
        <v>21816</v>
      </c>
      <c r="F1648">
        <v>1</v>
      </c>
    </row>
    <row r="1649" spans="2:6" x14ac:dyDescent="0.3">
      <c r="B1649" t="s">
        <v>1197</v>
      </c>
      <c r="D1649">
        <v>174</v>
      </c>
      <c r="E1649">
        <v>22752</v>
      </c>
      <c r="F1649">
        <v>1</v>
      </c>
    </row>
    <row r="1650" spans="2:6" x14ac:dyDescent="0.3">
      <c r="B1650" t="s">
        <v>1198</v>
      </c>
      <c r="D1650">
        <v>172</v>
      </c>
      <c r="E1650">
        <v>15144</v>
      </c>
      <c r="F1650">
        <v>1</v>
      </c>
    </row>
    <row r="1651" spans="2:6" x14ac:dyDescent="0.3">
      <c r="B1651" t="s">
        <v>1199</v>
      </c>
      <c r="D1651">
        <v>172</v>
      </c>
      <c r="E1651">
        <v>16536</v>
      </c>
      <c r="F1651">
        <v>1</v>
      </c>
    </row>
    <row r="1652" spans="2:6" x14ac:dyDescent="0.3">
      <c r="B1652" t="s">
        <v>1200</v>
      </c>
      <c r="D1652">
        <v>158</v>
      </c>
      <c r="E1652">
        <v>7528</v>
      </c>
      <c r="F1652">
        <v>1</v>
      </c>
    </row>
    <row r="1653" spans="2:6" x14ac:dyDescent="0.3">
      <c r="B1653" t="s">
        <v>1201</v>
      </c>
      <c r="D1653">
        <v>159</v>
      </c>
      <c r="E1653">
        <v>7318</v>
      </c>
      <c r="F1653">
        <v>1</v>
      </c>
    </row>
    <row r="1654" spans="2:6" x14ac:dyDescent="0.3">
      <c r="B1654" t="s">
        <v>1202</v>
      </c>
      <c r="D1654">
        <v>164</v>
      </c>
      <c r="E1654">
        <v>10668</v>
      </c>
      <c r="F1654">
        <v>1</v>
      </c>
    </row>
    <row r="1655" spans="2:6" x14ac:dyDescent="0.3">
      <c r="B1655" t="s">
        <v>1203</v>
      </c>
      <c r="D1655">
        <v>167</v>
      </c>
      <c r="E1655">
        <v>12224</v>
      </c>
      <c r="F1655">
        <v>1</v>
      </c>
    </row>
    <row r="1656" spans="2:6" x14ac:dyDescent="0.3">
      <c r="B1656" t="s">
        <v>1204</v>
      </c>
      <c r="D1656">
        <v>162</v>
      </c>
      <c r="E1656">
        <v>11136</v>
      </c>
      <c r="F1656">
        <v>1</v>
      </c>
    </row>
    <row r="1657" spans="2:6" x14ac:dyDescent="0.3">
      <c r="B1657" t="s">
        <v>1205</v>
      </c>
      <c r="D1657">
        <v>162</v>
      </c>
      <c r="E1657">
        <v>7566</v>
      </c>
      <c r="F1657">
        <v>1</v>
      </c>
    </row>
    <row r="1658" spans="2:6" x14ac:dyDescent="0.3">
      <c r="B1658" t="s">
        <v>1206</v>
      </c>
      <c r="D1658">
        <v>159</v>
      </c>
      <c r="E1658">
        <v>7816</v>
      </c>
      <c r="F1658">
        <v>1</v>
      </c>
    </row>
    <row r="1659" spans="2:6" x14ac:dyDescent="0.3">
      <c r="B1659" t="s">
        <v>1207</v>
      </c>
      <c r="D1659">
        <v>156</v>
      </c>
      <c r="E1659">
        <v>9556</v>
      </c>
      <c r="F1659">
        <v>1</v>
      </c>
    </row>
    <row r="1660" spans="2:6" x14ac:dyDescent="0.3">
      <c r="B1660" t="s">
        <v>1208</v>
      </c>
      <c r="D1660">
        <v>152</v>
      </c>
      <c r="E1660">
        <v>5492</v>
      </c>
      <c r="F1660">
        <v>1</v>
      </c>
    </row>
    <row r="1661" spans="2:6" x14ac:dyDescent="0.3">
      <c r="B1661" t="s">
        <v>1209</v>
      </c>
      <c r="D1661">
        <v>148</v>
      </c>
      <c r="E1661">
        <v>4013</v>
      </c>
      <c r="F1661">
        <v>1</v>
      </c>
    </row>
    <row r="1662" spans="2:6" x14ac:dyDescent="0.3">
      <c r="B1662" t="s">
        <v>1210</v>
      </c>
      <c r="D1662">
        <v>149</v>
      </c>
      <c r="E1662">
        <v>4392</v>
      </c>
      <c r="F1662">
        <v>1</v>
      </c>
    </row>
    <row r="1663" spans="2:6" x14ac:dyDescent="0.3">
      <c r="B1663" t="s">
        <v>1211</v>
      </c>
      <c r="D1663">
        <v>152</v>
      </c>
      <c r="E1663">
        <v>5436</v>
      </c>
      <c r="F1663">
        <v>1</v>
      </c>
    </row>
    <row r="1664" spans="2:6" x14ac:dyDescent="0.3">
      <c r="B1664" t="s">
        <v>1212</v>
      </c>
      <c r="D1664">
        <v>159</v>
      </c>
      <c r="E1664">
        <v>6260</v>
      </c>
      <c r="F1664">
        <v>1</v>
      </c>
    </row>
    <row r="1665" spans="2:6" x14ac:dyDescent="0.3">
      <c r="B1665" t="s">
        <v>1213</v>
      </c>
      <c r="D1665">
        <v>162</v>
      </c>
      <c r="E1665">
        <v>9528</v>
      </c>
      <c r="F1665">
        <v>1</v>
      </c>
    </row>
    <row r="1666" spans="2:6" x14ac:dyDescent="0.3">
      <c r="B1666" t="s">
        <v>1214</v>
      </c>
      <c r="D1666">
        <v>165</v>
      </c>
      <c r="E1666">
        <v>8400</v>
      </c>
      <c r="F1666">
        <v>1</v>
      </c>
    </row>
    <row r="1667" spans="2:6" x14ac:dyDescent="0.3">
      <c r="B1667" t="s">
        <v>1215</v>
      </c>
      <c r="D1667">
        <v>172</v>
      </c>
      <c r="E1667">
        <v>15948</v>
      </c>
      <c r="F1667">
        <v>1</v>
      </c>
    </row>
    <row r="1668" spans="2:6" x14ac:dyDescent="0.3">
      <c r="B1668" t="s">
        <v>1216</v>
      </c>
      <c r="D1668">
        <v>175</v>
      </c>
      <c r="E1668">
        <v>16280</v>
      </c>
      <c r="F1668">
        <v>1</v>
      </c>
    </row>
    <row r="1669" spans="2:6" x14ac:dyDescent="0.3">
      <c r="B1669" t="s">
        <v>1217</v>
      </c>
      <c r="D1669">
        <v>177</v>
      </c>
      <c r="E1669">
        <v>18656</v>
      </c>
      <c r="F1669">
        <v>1</v>
      </c>
    </row>
    <row r="1670" spans="2:6" x14ac:dyDescent="0.3">
      <c r="B1670" t="s">
        <v>1218</v>
      </c>
      <c r="D1670">
        <v>180</v>
      </c>
      <c r="E1670">
        <v>19592</v>
      </c>
      <c r="F1670">
        <v>1</v>
      </c>
    </row>
    <row r="1671" spans="2:6" x14ac:dyDescent="0.3">
      <c r="B1671" t="s">
        <v>1219</v>
      </c>
      <c r="D1671">
        <v>176</v>
      </c>
      <c r="E1671">
        <v>26536</v>
      </c>
      <c r="F1671">
        <v>1</v>
      </c>
    </row>
    <row r="1672" spans="2:6" x14ac:dyDescent="0.3">
      <c r="B1672" t="s">
        <v>1220</v>
      </c>
      <c r="D1672">
        <v>177</v>
      </c>
      <c r="E1672">
        <v>25608</v>
      </c>
      <c r="F1672">
        <v>1</v>
      </c>
    </row>
    <row r="1673" spans="2:6" x14ac:dyDescent="0.3">
      <c r="B1673" t="s">
        <v>1221</v>
      </c>
      <c r="D1673">
        <v>177</v>
      </c>
      <c r="E1673">
        <v>22000</v>
      </c>
      <c r="F1673">
        <v>1</v>
      </c>
    </row>
    <row r="1674" spans="2:6" x14ac:dyDescent="0.3">
      <c r="B1674" t="s">
        <v>1222</v>
      </c>
      <c r="D1674">
        <v>174</v>
      </c>
      <c r="E1674">
        <v>18744</v>
      </c>
      <c r="F1674">
        <v>1</v>
      </c>
    </row>
    <row r="1675" spans="2:6" x14ac:dyDescent="0.3">
      <c r="B1675" t="s">
        <v>1223</v>
      </c>
      <c r="D1675">
        <v>172</v>
      </c>
      <c r="E1675">
        <v>17800</v>
      </c>
      <c r="F1675">
        <v>1</v>
      </c>
    </row>
    <row r="1676" spans="2:6" x14ac:dyDescent="0.3">
      <c r="B1676" t="s">
        <v>1224</v>
      </c>
      <c r="D1676">
        <v>168</v>
      </c>
      <c r="E1676">
        <v>13192</v>
      </c>
      <c r="F1676">
        <v>1</v>
      </c>
    </row>
    <row r="1677" spans="2:6" x14ac:dyDescent="0.3">
      <c r="B1677" t="s">
        <v>1225</v>
      </c>
      <c r="D1677">
        <v>164</v>
      </c>
      <c r="E1677">
        <v>10728</v>
      </c>
      <c r="F1677">
        <v>1</v>
      </c>
    </row>
    <row r="1678" spans="2:6" x14ac:dyDescent="0.3">
      <c r="B1678" t="s">
        <v>1226</v>
      </c>
      <c r="D1678">
        <v>157</v>
      </c>
      <c r="E1678">
        <v>6782</v>
      </c>
      <c r="F1678">
        <v>1</v>
      </c>
    </row>
    <row r="1679" spans="2:6" x14ac:dyDescent="0.3">
      <c r="B1679" t="s">
        <v>1227</v>
      </c>
      <c r="D1679">
        <v>162</v>
      </c>
      <c r="E1679">
        <v>6448</v>
      </c>
      <c r="F1679">
        <v>1</v>
      </c>
    </row>
    <row r="1680" spans="2:6" x14ac:dyDescent="0.3">
      <c r="B1680" t="s">
        <v>1228</v>
      </c>
      <c r="D1680">
        <v>161</v>
      </c>
      <c r="E1680">
        <v>8134</v>
      </c>
      <c r="F1680">
        <v>1</v>
      </c>
    </row>
    <row r="1681" spans="2:6" x14ac:dyDescent="0.3">
      <c r="B1681" t="s">
        <v>1229</v>
      </c>
      <c r="D1681">
        <v>167</v>
      </c>
      <c r="E1681">
        <v>11516</v>
      </c>
      <c r="F1681">
        <v>1</v>
      </c>
    </row>
    <row r="1682" spans="2:6" x14ac:dyDescent="0.3">
      <c r="B1682" t="s">
        <v>1230</v>
      </c>
      <c r="D1682">
        <v>169</v>
      </c>
      <c r="E1682">
        <v>12320</v>
      </c>
      <c r="F1682">
        <v>1</v>
      </c>
    </row>
    <row r="1683" spans="2:6" x14ac:dyDescent="0.3">
      <c r="B1683" t="s">
        <v>1231</v>
      </c>
      <c r="D1683">
        <v>170</v>
      </c>
      <c r="E1683">
        <v>13116</v>
      </c>
      <c r="F1683">
        <v>1</v>
      </c>
    </row>
    <row r="1684" spans="2:6" x14ac:dyDescent="0.3">
      <c r="B1684" t="s">
        <v>1232</v>
      </c>
      <c r="D1684">
        <v>172</v>
      </c>
      <c r="E1684">
        <v>15472</v>
      </c>
      <c r="F1684">
        <v>1</v>
      </c>
    </row>
    <row r="1685" spans="2:6" x14ac:dyDescent="0.3">
      <c r="B1685" t="s">
        <v>1233</v>
      </c>
      <c r="D1685">
        <v>168</v>
      </c>
      <c r="E1685">
        <v>12516</v>
      </c>
      <c r="F1685">
        <v>1</v>
      </c>
    </row>
    <row r="1686" spans="2:6" x14ac:dyDescent="0.3">
      <c r="B1686" t="s">
        <v>1234</v>
      </c>
      <c r="D1686">
        <v>166</v>
      </c>
      <c r="E1686">
        <v>11076</v>
      </c>
      <c r="F1686">
        <v>1</v>
      </c>
    </row>
    <row r="1687" spans="2:6" x14ac:dyDescent="0.3">
      <c r="B1687" t="s">
        <v>1235</v>
      </c>
      <c r="D1687">
        <v>172</v>
      </c>
      <c r="E1687">
        <v>16768</v>
      </c>
      <c r="F1687">
        <v>1</v>
      </c>
    </row>
    <row r="1688" spans="2:6" x14ac:dyDescent="0.3">
      <c r="B1688" t="s">
        <v>1236</v>
      </c>
      <c r="D1688">
        <v>176</v>
      </c>
      <c r="E1688">
        <v>21232</v>
      </c>
      <c r="F1688">
        <v>1</v>
      </c>
    </row>
    <row r="1689" spans="2:6" x14ac:dyDescent="0.3">
      <c r="B1689" t="s">
        <v>1237</v>
      </c>
      <c r="D1689">
        <v>170</v>
      </c>
      <c r="E1689">
        <v>14312</v>
      </c>
      <c r="F1689">
        <v>1</v>
      </c>
    </row>
    <row r="1690" spans="2:6" x14ac:dyDescent="0.3">
      <c r="B1690" t="s">
        <v>1238</v>
      </c>
      <c r="D1690">
        <v>170</v>
      </c>
      <c r="E1690">
        <v>16000</v>
      </c>
      <c r="F1690">
        <v>1</v>
      </c>
    </row>
    <row r="1691" spans="2:6" x14ac:dyDescent="0.3">
      <c r="B1691" t="s">
        <v>1239</v>
      </c>
      <c r="D1691">
        <v>171</v>
      </c>
      <c r="E1691">
        <v>15972</v>
      </c>
      <c r="F1691">
        <v>1</v>
      </c>
    </row>
    <row r="1692" spans="2:6" x14ac:dyDescent="0.3">
      <c r="B1692" t="s">
        <v>1240</v>
      </c>
      <c r="D1692">
        <v>170</v>
      </c>
      <c r="E1692">
        <v>40240</v>
      </c>
      <c r="F1692">
        <v>1</v>
      </c>
    </row>
    <row r="1693" spans="2:6" x14ac:dyDescent="0.3">
      <c r="B1693" t="s">
        <v>1241</v>
      </c>
      <c r="D1693">
        <v>171</v>
      </c>
      <c r="E1693">
        <v>14956</v>
      </c>
      <c r="F1693">
        <v>1</v>
      </c>
    </row>
    <row r="1694" spans="2:6" x14ac:dyDescent="0.3">
      <c r="B1694" t="s">
        <v>1242</v>
      </c>
      <c r="D1694">
        <v>166</v>
      </c>
      <c r="E1694">
        <v>15836</v>
      </c>
      <c r="F1694">
        <v>1</v>
      </c>
    </row>
    <row r="1695" spans="2:6" x14ac:dyDescent="0.3">
      <c r="B1695" t="s">
        <v>1243</v>
      </c>
      <c r="D1695">
        <v>187</v>
      </c>
      <c r="E1695">
        <v>11024</v>
      </c>
      <c r="F1695">
        <v>1</v>
      </c>
    </row>
    <row r="1696" spans="2:6" x14ac:dyDescent="0.3">
      <c r="B1696" t="s">
        <v>1244</v>
      </c>
      <c r="D1696">
        <v>185</v>
      </c>
      <c r="E1696">
        <v>37696</v>
      </c>
      <c r="F1696">
        <v>1</v>
      </c>
    </row>
    <row r="1697" spans="2:6" x14ac:dyDescent="0.3">
      <c r="B1697" t="s">
        <v>1245</v>
      </c>
      <c r="D1697">
        <v>186</v>
      </c>
      <c r="E1697">
        <v>35552</v>
      </c>
      <c r="F1697">
        <v>1</v>
      </c>
    </row>
    <row r="1698" spans="2:6" x14ac:dyDescent="0.3">
      <c r="B1698" t="s">
        <v>1246</v>
      </c>
      <c r="D1698">
        <v>186</v>
      </c>
      <c r="E1698">
        <v>35632</v>
      </c>
      <c r="F1698">
        <v>1</v>
      </c>
    </row>
    <row r="1699" spans="2:6" x14ac:dyDescent="0.3">
      <c r="B1699" t="s">
        <v>1247</v>
      </c>
      <c r="D1699">
        <v>186</v>
      </c>
      <c r="E1699">
        <v>36928</v>
      </c>
      <c r="F1699">
        <v>1</v>
      </c>
    </row>
    <row r="1700" spans="2:6" x14ac:dyDescent="0.3">
      <c r="B1700" t="s">
        <v>1248</v>
      </c>
      <c r="D1700">
        <v>165</v>
      </c>
      <c r="E1700">
        <v>35792</v>
      </c>
      <c r="F1700">
        <v>1</v>
      </c>
    </row>
    <row r="1701" spans="2:6" x14ac:dyDescent="0.3">
      <c r="B1701" t="s">
        <v>1249</v>
      </c>
      <c r="D1701">
        <v>184</v>
      </c>
      <c r="E1701">
        <v>34800</v>
      </c>
      <c r="F1701">
        <v>1</v>
      </c>
    </row>
    <row r="1702" spans="2:6" x14ac:dyDescent="0.3">
      <c r="B1702" t="s">
        <v>1250</v>
      </c>
      <c r="D1702">
        <v>170</v>
      </c>
      <c r="E1702">
        <v>11716</v>
      </c>
      <c r="F1702">
        <v>1</v>
      </c>
    </row>
    <row r="1703" spans="2:6" x14ac:dyDescent="0.3">
      <c r="B1703" t="s">
        <v>1251</v>
      </c>
      <c r="D1703">
        <v>185</v>
      </c>
      <c r="E1703">
        <v>35456</v>
      </c>
      <c r="F1703">
        <v>1</v>
      </c>
    </row>
    <row r="1704" spans="2:6" x14ac:dyDescent="0.3">
      <c r="B1704" t="s">
        <v>1252</v>
      </c>
      <c r="D1704">
        <v>162</v>
      </c>
      <c r="E1704">
        <v>8528</v>
      </c>
      <c r="F1704">
        <v>1</v>
      </c>
    </row>
    <row r="1705" spans="2:6" x14ac:dyDescent="0.3">
      <c r="B1705" t="s">
        <v>1253</v>
      </c>
      <c r="D1705">
        <v>165</v>
      </c>
      <c r="E1705">
        <v>7708</v>
      </c>
      <c r="F1705">
        <v>1</v>
      </c>
    </row>
    <row r="1706" spans="2:6" x14ac:dyDescent="0.3">
      <c r="B1706" t="s">
        <v>1254</v>
      </c>
      <c r="D1706">
        <v>184</v>
      </c>
      <c r="E1706">
        <v>30920</v>
      </c>
      <c r="F1706">
        <v>1</v>
      </c>
    </row>
    <row r="1707" spans="2:6" x14ac:dyDescent="0.3">
      <c r="B1707" t="s">
        <v>1255</v>
      </c>
      <c r="D1707">
        <v>183</v>
      </c>
      <c r="E1707">
        <v>32280</v>
      </c>
      <c r="F1707">
        <v>1</v>
      </c>
    </row>
    <row r="1708" spans="2:6" x14ac:dyDescent="0.3">
      <c r="B1708" t="s">
        <v>1256</v>
      </c>
      <c r="D1708">
        <v>184</v>
      </c>
      <c r="E1708">
        <v>32648</v>
      </c>
      <c r="F1708">
        <v>1</v>
      </c>
    </row>
    <row r="1709" spans="2:6" x14ac:dyDescent="0.3">
      <c r="B1709" t="s">
        <v>1257</v>
      </c>
      <c r="D1709">
        <v>157</v>
      </c>
      <c r="E1709">
        <v>6174</v>
      </c>
      <c r="F1709">
        <v>1</v>
      </c>
    </row>
    <row r="1710" spans="2:6" x14ac:dyDescent="0.3">
      <c r="B1710" t="s">
        <v>1258</v>
      </c>
      <c r="D1710">
        <v>183</v>
      </c>
      <c r="E1710">
        <v>31712</v>
      </c>
      <c r="F1710">
        <v>1</v>
      </c>
    </row>
    <row r="1711" spans="2:6" x14ac:dyDescent="0.3">
      <c r="B1711" t="s">
        <v>1259</v>
      </c>
      <c r="D1711">
        <v>182</v>
      </c>
      <c r="E1711">
        <v>29664</v>
      </c>
      <c r="F1711">
        <v>1</v>
      </c>
    </row>
    <row r="1712" spans="2:6" x14ac:dyDescent="0.3">
      <c r="B1712" t="s">
        <v>1260</v>
      </c>
      <c r="D1712">
        <v>182</v>
      </c>
      <c r="E1712">
        <v>30264</v>
      </c>
      <c r="F1712">
        <v>1</v>
      </c>
    </row>
    <row r="1713" spans="2:6" x14ac:dyDescent="0.3">
      <c r="B1713" t="s">
        <v>1261</v>
      </c>
      <c r="D1713">
        <v>165</v>
      </c>
      <c r="E1713">
        <v>31912</v>
      </c>
      <c r="F1713">
        <v>1</v>
      </c>
    </row>
    <row r="1714" spans="2:6" x14ac:dyDescent="0.3">
      <c r="B1714" t="s">
        <v>1262</v>
      </c>
      <c r="D1714">
        <v>178</v>
      </c>
      <c r="E1714">
        <v>31576</v>
      </c>
      <c r="F1714">
        <v>1</v>
      </c>
    </row>
    <row r="1715" spans="2:6" x14ac:dyDescent="0.3">
      <c r="B1715" t="s">
        <v>1263</v>
      </c>
      <c r="D1715">
        <v>184</v>
      </c>
      <c r="E1715">
        <v>33392</v>
      </c>
      <c r="F1715">
        <v>1</v>
      </c>
    </row>
    <row r="1716" spans="2:6" x14ac:dyDescent="0.3">
      <c r="B1716" t="s">
        <v>1264</v>
      </c>
      <c r="D1716">
        <v>188</v>
      </c>
      <c r="E1716">
        <v>48368</v>
      </c>
      <c r="F1716">
        <v>1</v>
      </c>
    </row>
    <row r="1717" spans="2:6" x14ac:dyDescent="0.3">
      <c r="B1717" t="s">
        <v>1265</v>
      </c>
      <c r="D1717">
        <v>189</v>
      </c>
      <c r="E1717">
        <v>46256</v>
      </c>
      <c r="F1717">
        <v>1</v>
      </c>
    </row>
    <row r="1718" spans="2:6" x14ac:dyDescent="0.3">
      <c r="B1718" t="s">
        <v>1266</v>
      </c>
      <c r="D1718">
        <v>189</v>
      </c>
      <c r="E1718">
        <v>49456</v>
      </c>
      <c r="F1718">
        <v>1</v>
      </c>
    </row>
    <row r="1719" spans="2:6" x14ac:dyDescent="0.3">
      <c r="B1719" t="s">
        <v>1267</v>
      </c>
      <c r="D1719">
        <v>189</v>
      </c>
      <c r="E1719">
        <v>49680</v>
      </c>
      <c r="F1719">
        <v>1</v>
      </c>
    </row>
    <row r="1720" spans="2:6" x14ac:dyDescent="0.3">
      <c r="B1720" t="s">
        <v>1268</v>
      </c>
      <c r="D1720">
        <v>183</v>
      </c>
      <c r="E1720">
        <v>14460</v>
      </c>
      <c r="F1720">
        <v>1</v>
      </c>
    </row>
    <row r="1721" spans="2:6" x14ac:dyDescent="0.3">
      <c r="B1721" t="s">
        <v>1269</v>
      </c>
      <c r="D1721">
        <v>181</v>
      </c>
      <c r="E1721">
        <v>29520</v>
      </c>
      <c r="F1721">
        <v>1</v>
      </c>
    </row>
    <row r="1722" spans="2:6" x14ac:dyDescent="0.3">
      <c r="B1722" t="s">
        <v>1270</v>
      </c>
      <c r="D1722">
        <v>176</v>
      </c>
      <c r="E1722">
        <v>9032</v>
      </c>
      <c r="F1722">
        <v>1</v>
      </c>
    </row>
    <row r="1723" spans="2:6" x14ac:dyDescent="0.3">
      <c r="B1723" t="s">
        <v>1271</v>
      </c>
      <c r="D1723">
        <v>183</v>
      </c>
      <c r="E1723">
        <v>33120</v>
      </c>
      <c r="F1723">
        <v>1</v>
      </c>
    </row>
    <row r="1724" spans="2:6" x14ac:dyDescent="0.3">
      <c r="B1724" t="s">
        <v>1272</v>
      </c>
      <c r="D1724">
        <v>183</v>
      </c>
      <c r="E1724">
        <v>35680</v>
      </c>
      <c r="F1724">
        <v>1</v>
      </c>
    </row>
    <row r="1725" spans="2:6" x14ac:dyDescent="0.3">
      <c r="B1725" t="s">
        <v>1273</v>
      </c>
      <c r="D1725">
        <v>184</v>
      </c>
      <c r="E1725">
        <v>35680</v>
      </c>
      <c r="F1725">
        <v>1</v>
      </c>
    </row>
    <row r="1726" spans="2:6" x14ac:dyDescent="0.3">
      <c r="B1726" t="s">
        <v>1274</v>
      </c>
      <c r="D1726">
        <v>184</v>
      </c>
      <c r="E1726">
        <v>16984</v>
      </c>
      <c r="F1726">
        <v>1</v>
      </c>
    </row>
    <row r="1727" spans="2:6" x14ac:dyDescent="0.3">
      <c r="B1727" t="s">
        <v>1275</v>
      </c>
      <c r="D1727">
        <v>162</v>
      </c>
      <c r="E1727">
        <v>30720</v>
      </c>
      <c r="F1727">
        <v>1</v>
      </c>
    </row>
    <row r="1728" spans="2:6" x14ac:dyDescent="0.3">
      <c r="B1728" t="s">
        <v>1276</v>
      </c>
      <c r="D1728">
        <v>186</v>
      </c>
      <c r="E1728">
        <v>8820</v>
      </c>
      <c r="F1728">
        <v>1</v>
      </c>
    </row>
    <row r="1729" spans="2:6" x14ac:dyDescent="0.3">
      <c r="B1729" t="s">
        <v>1277</v>
      </c>
      <c r="D1729">
        <v>179</v>
      </c>
      <c r="E1729">
        <v>41648</v>
      </c>
      <c r="F1729">
        <v>1</v>
      </c>
    </row>
    <row r="1730" spans="2:6" x14ac:dyDescent="0.3">
      <c r="B1730" t="s">
        <v>1278</v>
      </c>
      <c r="D1730">
        <v>174</v>
      </c>
      <c r="E1730">
        <v>41648</v>
      </c>
      <c r="F1730">
        <v>1</v>
      </c>
    </row>
    <row r="1731" spans="2:6" x14ac:dyDescent="0.3">
      <c r="B1731" t="s">
        <v>1279</v>
      </c>
      <c r="D1731">
        <v>183</v>
      </c>
      <c r="E1731">
        <v>32784</v>
      </c>
      <c r="F1731">
        <v>1</v>
      </c>
    </row>
    <row r="1732" spans="2:6" x14ac:dyDescent="0.3">
      <c r="B1732" t="s">
        <v>1280</v>
      </c>
      <c r="D1732">
        <v>173</v>
      </c>
      <c r="E1732">
        <v>24256</v>
      </c>
      <c r="F1732">
        <v>1</v>
      </c>
    </row>
    <row r="1733" spans="2:6" x14ac:dyDescent="0.3">
      <c r="B1733" t="s">
        <v>1281</v>
      </c>
      <c r="D1733">
        <v>160</v>
      </c>
      <c r="E1733">
        <v>9192</v>
      </c>
      <c r="F1733">
        <v>1</v>
      </c>
    </row>
    <row r="1734" spans="2:6" x14ac:dyDescent="0.3">
      <c r="B1734" t="s">
        <v>1282</v>
      </c>
      <c r="D1734">
        <v>164</v>
      </c>
      <c r="E1734">
        <v>10164</v>
      </c>
      <c r="F1734">
        <v>1</v>
      </c>
    </row>
    <row r="1735" spans="2:6" x14ac:dyDescent="0.3">
      <c r="B1735" t="s">
        <v>1283</v>
      </c>
      <c r="D1735">
        <v>160</v>
      </c>
      <c r="E1735">
        <v>7742</v>
      </c>
      <c r="F1735">
        <v>1</v>
      </c>
    </row>
    <row r="1736" spans="2:6" x14ac:dyDescent="0.3">
      <c r="B1736" t="s">
        <v>1284</v>
      </c>
      <c r="D1736">
        <v>153</v>
      </c>
      <c r="E1736">
        <v>5258</v>
      </c>
      <c r="F1736">
        <v>1</v>
      </c>
    </row>
    <row r="1737" spans="2:6" x14ac:dyDescent="0.3">
      <c r="B1737" t="s">
        <v>1285</v>
      </c>
      <c r="D1737">
        <v>157</v>
      </c>
      <c r="E1737">
        <v>6180</v>
      </c>
      <c r="F1737">
        <v>1</v>
      </c>
    </row>
    <row r="1738" spans="2:6" x14ac:dyDescent="0.3">
      <c r="B1738" t="s">
        <v>1286</v>
      </c>
      <c r="D1738">
        <v>154</v>
      </c>
      <c r="E1738">
        <v>6152</v>
      </c>
      <c r="F1738">
        <v>1</v>
      </c>
    </row>
    <row r="1739" spans="2:6" x14ac:dyDescent="0.3">
      <c r="B1739" t="s">
        <v>1287</v>
      </c>
      <c r="D1739">
        <v>151</v>
      </c>
      <c r="E1739">
        <v>5010</v>
      </c>
      <c r="F1739">
        <v>1</v>
      </c>
    </row>
    <row r="1740" spans="2:6" x14ac:dyDescent="0.3">
      <c r="B1740" t="s">
        <v>1288</v>
      </c>
      <c r="D1740">
        <v>146</v>
      </c>
      <c r="E1740">
        <v>3321</v>
      </c>
      <c r="F1740">
        <v>1</v>
      </c>
    </row>
    <row r="1741" spans="2:6" x14ac:dyDescent="0.3">
      <c r="B1741" t="s">
        <v>1289</v>
      </c>
      <c r="D1741">
        <v>147</v>
      </c>
      <c r="E1741">
        <v>3157</v>
      </c>
      <c r="F1741">
        <v>1</v>
      </c>
    </row>
    <row r="1742" spans="2:6" x14ac:dyDescent="0.3">
      <c r="B1742" t="s">
        <v>1290</v>
      </c>
      <c r="D1742">
        <v>142</v>
      </c>
      <c r="E1742">
        <v>3966</v>
      </c>
      <c r="F1742">
        <v>1</v>
      </c>
    </row>
    <row r="1743" spans="2:6" x14ac:dyDescent="0.3">
      <c r="B1743" t="s">
        <v>1291</v>
      </c>
      <c r="D1743">
        <v>134</v>
      </c>
      <c r="E1743">
        <v>1945</v>
      </c>
      <c r="F1743">
        <v>1</v>
      </c>
    </row>
    <row r="1744" spans="2:6" x14ac:dyDescent="0.3">
      <c r="B1744" t="s">
        <v>1292</v>
      </c>
      <c r="D1744">
        <v>131</v>
      </c>
      <c r="E1744">
        <v>1829</v>
      </c>
      <c r="F1744">
        <v>1</v>
      </c>
    </row>
    <row r="1745" spans="2:6" x14ac:dyDescent="0.3">
      <c r="B1745" t="s">
        <v>1293</v>
      </c>
      <c r="D1745">
        <v>122</v>
      </c>
      <c r="E1745">
        <v>1042</v>
      </c>
      <c r="F1745">
        <v>1</v>
      </c>
    </row>
    <row r="1746" spans="2:6" x14ac:dyDescent="0.3">
      <c r="B1746" t="s">
        <v>1294</v>
      </c>
      <c r="D1746">
        <v>121</v>
      </c>
      <c r="E1746">
        <v>915</v>
      </c>
      <c r="F1746">
        <v>1</v>
      </c>
    </row>
    <row r="1747" spans="2:6" x14ac:dyDescent="0.3">
      <c r="B1747" t="s">
        <v>1295</v>
      </c>
      <c r="D1747">
        <v>121</v>
      </c>
      <c r="E1747">
        <v>1015</v>
      </c>
      <c r="F1747">
        <v>1</v>
      </c>
    </row>
    <row r="1748" spans="2:6" x14ac:dyDescent="0.3">
      <c r="B1748" t="s">
        <v>1296</v>
      </c>
      <c r="D1748">
        <v>120</v>
      </c>
      <c r="E1748">
        <v>1418</v>
      </c>
      <c r="F1748">
        <v>1</v>
      </c>
    </row>
    <row r="1749" spans="2:6" x14ac:dyDescent="0.3">
      <c r="B1749" t="s">
        <v>1297</v>
      </c>
      <c r="D1749">
        <v>135</v>
      </c>
      <c r="E1749">
        <v>2237</v>
      </c>
      <c r="F1749">
        <v>1</v>
      </c>
    </row>
    <row r="1750" spans="2:6" x14ac:dyDescent="0.3">
      <c r="B1750" t="s">
        <v>1298</v>
      </c>
      <c r="D1750">
        <v>144</v>
      </c>
      <c r="E1750">
        <v>4040</v>
      </c>
      <c r="F1750">
        <v>1</v>
      </c>
    </row>
    <row r="1751" spans="2:6" x14ac:dyDescent="0.3">
      <c r="B1751" t="s">
        <v>1299</v>
      </c>
      <c r="D1751">
        <v>146</v>
      </c>
      <c r="E1751">
        <v>3729</v>
      </c>
      <c r="F1751">
        <v>1</v>
      </c>
    </row>
    <row r="1752" spans="2:6" x14ac:dyDescent="0.3">
      <c r="B1752" t="s">
        <v>1300</v>
      </c>
      <c r="D1752">
        <v>154</v>
      </c>
      <c r="E1752">
        <v>6174</v>
      </c>
      <c r="F1752">
        <v>1</v>
      </c>
    </row>
    <row r="1753" spans="2:6" x14ac:dyDescent="0.3">
      <c r="B1753" t="s">
        <v>1301</v>
      </c>
      <c r="D1753">
        <v>151</v>
      </c>
      <c r="E1753">
        <v>5378</v>
      </c>
      <c r="F1753">
        <v>1</v>
      </c>
    </row>
    <row r="1754" spans="2:6" x14ac:dyDescent="0.3">
      <c r="B1754" t="s">
        <v>1302</v>
      </c>
      <c r="D1754">
        <v>150</v>
      </c>
      <c r="E1754">
        <v>5378</v>
      </c>
      <c r="F1754">
        <v>1</v>
      </c>
    </row>
    <row r="1755" spans="2:6" x14ac:dyDescent="0.3">
      <c r="B1755" t="s">
        <v>1303</v>
      </c>
      <c r="D1755">
        <v>150</v>
      </c>
      <c r="E1755">
        <v>5602</v>
      </c>
      <c r="F1755">
        <v>1</v>
      </c>
    </row>
    <row r="1756" spans="2:6" x14ac:dyDescent="0.3">
      <c r="B1756" t="s">
        <v>1304</v>
      </c>
      <c r="D1756">
        <v>150</v>
      </c>
      <c r="E1756">
        <v>5162</v>
      </c>
      <c r="F1756">
        <v>1</v>
      </c>
    </row>
    <row r="1757" spans="2:6" x14ac:dyDescent="0.3">
      <c r="B1757" t="s">
        <v>1305</v>
      </c>
      <c r="D1757">
        <v>150</v>
      </c>
      <c r="E1757">
        <v>4714</v>
      </c>
      <c r="F1757">
        <v>1</v>
      </c>
    </row>
    <row r="1758" spans="2:6" x14ac:dyDescent="0.3">
      <c r="B1758" t="s">
        <v>1306</v>
      </c>
      <c r="D1758">
        <v>149</v>
      </c>
      <c r="E1758">
        <v>4728</v>
      </c>
      <c r="F1758">
        <v>1</v>
      </c>
    </row>
    <row r="1759" spans="2:6" x14ac:dyDescent="0.3">
      <c r="B1759" t="s">
        <v>1307</v>
      </c>
      <c r="D1759">
        <v>143</v>
      </c>
      <c r="E1759">
        <v>3407</v>
      </c>
      <c r="F1759">
        <v>1</v>
      </c>
    </row>
    <row r="1760" spans="2:6" x14ac:dyDescent="0.3">
      <c r="B1760" t="s">
        <v>1308</v>
      </c>
      <c r="D1760">
        <v>134</v>
      </c>
      <c r="E1760">
        <v>1852</v>
      </c>
      <c r="F1760">
        <v>1</v>
      </c>
    </row>
    <row r="1761" spans="2:6" x14ac:dyDescent="0.3">
      <c r="B1761" t="s">
        <v>1309</v>
      </c>
      <c r="D1761">
        <v>117</v>
      </c>
      <c r="E1761">
        <v>917</v>
      </c>
      <c r="F1761">
        <v>1</v>
      </c>
    </row>
    <row r="1762" spans="2:6" x14ac:dyDescent="0.3">
      <c r="B1762" t="s">
        <v>1310</v>
      </c>
      <c r="D1762">
        <v>106</v>
      </c>
      <c r="E1762">
        <v>417</v>
      </c>
      <c r="F1762">
        <v>1</v>
      </c>
    </row>
    <row r="1763" spans="2:6" x14ac:dyDescent="0.3">
      <c r="B1763" t="s">
        <v>1311</v>
      </c>
      <c r="D1763">
        <v>92</v>
      </c>
      <c r="E1763">
        <v>192</v>
      </c>
      <c r="F1763">
        <v>1</v>
      </c>
    </row>
    <row r="1764" spans="2:6" x14ac:dyDescent="0.3">
      <c r="B1764" t="s">
        <v>1312</v>
      </c>
      <c r="D1764">
        <v>97</v>
      </c>
      <c r="E1764">
        <v>280</v>
      </c>
      <c r="F1764">
        <v>1</v>
      </c>
    </row>
    <row r="1765" spans="2:6" x14ac:dyDescent="0.3">
      <c r="B1765" t="s">
        <v>1313</v>
      </c>
      <c r="D1765">
        <v>116</v>
      </c>
      <c r="E1765">
        <v>1441</v>
      </c>
      <c r="F1765">
        <v>1</v>
      </c>
    </row>
    <row r="1766" spans="2:6" x14ac:dyDescent="0.3">
      <c r="B1766" t="s">
        <v>1314</v>
      </c>
      <c r="D1766">
        <v>137</v>
      </c>
      <c r="E1766">
        <v>2377</v>
      </c>
      <c r="F1766">
        <v>1</v>
      </c>
    </row>
    <row r="1767" spans="2:6" x14ac:dyDescent="0.3">
      <c r="B1767" t="s">
        <v>1315</v>
      </c>
      <c r="D1767">
        <v>137</v>
      </c>
      <c r="E1767">
        <v>2382</v>
      </c>
      <c r="F1767">
        <v>1</v>
      </c>
    </row>
    <row r="1768" spans="2:6" x14ac:dyDescent="0.3">
      <c r="B1768" t="s">
        <v>1316</v>
      </c>
      <c r="D1768">
        <v>134</v>
      </c>
      <c r="E1768">
        <v>2054</v>
      </c>
      <c r="F1768">
        <v>1</v>
      </c>
    </row>
    <row r="1769" spans="2:6" x14ac:dyDescent="0.3">
      <c r="B1769" t="s">
        <v>1317</v>
      </c>
      <c r="D1769">
        <v>117</v>
      </c>
      <c r="E1769">
        <v>821</v>
      </c>
      <c r="F1769">
        <v>1</v>
      </c>
    </row>
    <row r="1770" spans="2:6" x14ac:dyDescent="0.3">
      <c r="B1770" t="s">
        <v>1318</v>
      </c>
      <c r="D1770">
        <v>112</v>
      </c>
      <c r="E1770">
        <v>542</v>
      </c>
      <c r="F1770">
        <v>1</v>
      </c>
    </row>
    <row r="1771" spans="2:6" x14ac:dyDescent="0.3">
      <c r="B1771" t="s">
        <v>1319</v>
      </c>
      <c r="D1771">
        <v>110</v>
      </c>
      <c r="E1771">
        <v>471</v>
      </c>
      <c r="F1771">
        <v>1</v>
      </c>
    </row>
    <row r="1772" spans="2:6" x14ac:dyDescent="0.3">
      <c r="B1772" t="s">
        <v>1320</v>
      </c>
      <c r="D1772">
        <v>85</v>
      </c>
      <c r="E1772">
        <v>189</v>
      </c>
      <c r="F1772">
        <v>1</v>
      </c>
    </row>
    <row r="1773" spans="2:6" x14ac:dyDescent="0.3">
      <c r="B1773" t="s">
        <v>1321</v>
      </c>
      <c r="D1773">
        <v>61</v>
      </c>
      <c r="E1773">
        <v>44</v>
      </c>
      <c r="F1773">
        <v>1</v>
      </c>
    </row>
    <row r="1774" spans="2:6" x14ac:dyDescent="0.3">
      <c r="B1774" t="s">
        <v>1322</v>
      </c>
      <c r="D1774">
        <v>55</v>
      </c>
      <c r="E1774">
        <v>37</v>
      </c>
      <c r="F1774">
        <v>1</v>
      </c>
    </row>
    <row r="1775" spans="2:6" x14ac:dyDescent="0.3">
      <c r="B1775" t="s">
        <v>1323</v>
      </c>
      <c r="D1775">
        <v>26</v>
      </c>
      <c r="E1775">
        <v>29</v>
      </c>
      <c r="F1775">
        <v>1</v>
      </c>
    </row>
    <row r="1776" spans="2:6" x14ac:dyDescent="0.3">
      <c r="B1776" t="s">
        <v>1324</v>
      </c>
      <c r="D1776">
        <v>10</v>
      </c>
      <c r="E1776">
        <v>7</v>
      </c>
      <c r="F1776">
        <v>1</v>
      </c>
    </row>
    <row r="1777" spans="2:6" x14ac:dyDescent="0.3">
      <c r="B1777" t="s">
        <v>1325</v>
      </c>
      <c r="D1777">
        <v>10</v>
      </c>
      <c r="E1777">
        <v>9</v>
      </c>
      <c r="F1777">
        <v>1</v>
      </c>
    </row>
    <row r="1778" spans="2:6" x14ac:dyDescent="0.3">
      <c r="B1778" t="s">
        <v>1325</v>
      </c>
      <c r="D1778">
        <v>10</v>
      </c>
      <c r="E1778">
        <v>9</v>
      </c>
      <c r="F1778">
        <v>1</v>
      </c>
    </row>
    <row r="1779" spans="2:6" x14ac:dyDescent="0.3">
      <c r="B1779" t="s">
        <v>482</v>
      </c>
      <c r="D1779">
        <v>6</v>
      </c>
      <c r="E1779">
        <v>5</v>
      </c>
      <c r="F1779">
        <v>1</v>
      </c>
    </row>
    <row r="1780" spans="2:6" x14ac:dyDescent="0.3">
      <c r="B1780" t="s">
        <v>1110</v>
      </c>
      <c r="D1780">
        <v>4</v>
      </c>
      <c r="E1780">
        <v>3</v>
      </c>
      <c r="F1780">
        <v>1</v>
      </c>
    </row>
    <row r="1781" spans="2:6" x14ac:dyDescent="0.3">
      <c r="B1781" t="s">
        <v>483</v>
      </c>
      <c r="D1781">
        <v>3</v>
      </c>
      <c r="E1781">
        <v>2</v>
      </c>
      <c r="F1781">
        <v>1</v>
      </c>
    </row>
    <row r="1782" spans="2:6" x14ac:dyDescent="0.3">
      <c r="B1782" t="s">
        <v>17</v>
      </c>
      <c r="D1782">
        <v>2</v>
      </c>
      <c r="E1782">
        <v>1</v>
      </c>
      <c r="F1782">
        <v>1</v>
      </c>
    </row>
    <row r="1783" spans="2:6" x14ac:dyDescent="0.3">
      <c r="B1783" t="s">
        <v>18</v>
      </c>
      <c r="D1783">
        <v>1</v>
      </c>
      <c r="E1783">
        <v>0</v>
      </c>
      <c r="F1783">
        <v>1</v>
      </c>
    </row>
    <row r="1784" spans="2:6" x14ac:dyDescent="0.3">
      <c r="B1784" t="s">
        <v>18</v>
      </c>
      <c r="D1784">
        <v>1</v>
      </c>
      <c r="E1784">
        <v>0</v>
      </c>
      <c r="F1784">
        <v>1</v>
      </c>
    </row>
    <row r="1785" spans="2:6" x14ac:dyDescent="0.3">
      <c r="B1785" t="s">
        <v>18</v>
      </c>
      <c r="D1785">
        <v>1</v>
      </c>
      <c r="E1785">
        <v>0</v>
      </c>
      <c r="F1785">
        <v>1</v>
      </c>
    </row>
    <row r="1786" spans="2:6" x14ac:dyDescent="0.3">
      <c r="B1786" t="s">
        <v>18</v>
      </c>
      <c r="D1786">
        <v>1</v>
      </c>
      <c r="E1786">
        <v>0</v>
      </c>
      <c r="F1786">
        <v>1</v>
      </c>
    </row>
    <row r="1787" spans="2:6" x14ac:dyDescent="0.3">
      <c r="B1787" t="s">
        <v>18</v>
      </c>
      <c r="D1787">
        <v>1</v>
      </c>
      <c r="E1787">
        <v>0</v>
      </c>
      <c r="F1787">
        <v>1</v>
      </c>
    </row>
    <row r="1788" spans="2:6" x14ac:dyDescent="0.3">
      <c r="B1788" t="s">
        <v>18</v>
      </c>
      <c r="D1788">
        <v>1</v>
      </c>
      <c r="E1788">
        <v>0</v>
      </c>
      <c r="F1788">
        <v>1</v>
      </c>
    </row>
    <row r="1789" spans="2:6" x14ac:dyDescent="0.3">
      <c r="B1789" t="s">
        <v>18</v>
      </c>
      <c r="D1789">
        <v>1</v>
      </c>
      <c r="E1789">
        <v>0</v>
      </c>
      <c r="F1789">
        <v>1</v>
      </c>
    </row>
    <row r="1790" spans="2:6" x14ac:dyDescent="0.3">
      <c r="B1790" t="s">
        <v>18</v>
      </c>
      <c r="D1790">
        <v>1</v>
      </c>
      <c r="E1790">
        <v>0</v>
      </c>
      <c r="F1790">
        <v>1</v>
      </c>
    </row>
    <row r="1791" spans="2:6" x14ac:dyDescent="0.3">
      <c r="B1791" t="s">
        <v>18</v>
      </c>
      <c r="D1791">
        <v>1</v>
      </c>
      <c r="E1791">
        <v>0</v>
      </c>
      <c r="F1791">
        <v>1</v>
      </c>
    </row>
    <row r="1792" spans="2:6" x14ac:dyDescent="0.3">
      <c r="B1792" t="s">
        <v>18</v>
      </c>
      <c r="D1792">
        <v>1</v>
      </c>
      <c r="E1792">
        <v>0</v>
      </c>
      <c r="F1792">
        <v>1</v>
      </c>
    </row>
    <row r="1793" spans="2:6" x14ac:dyDescent="0.3">
      <c r="B1793" t="s">
        <v>18</v>
      </c>
      <c r="D1793">
        <v>1</v>
      </c>
      <c r="E1793">
        <v>0</v>
      </c>
      <c r="F1793">
        <v>1</v>
      </c>
    </row>
    <row r="1794" spans="2:6" x14ac:dyDescent="0.3">
      <c r="B1794" t="s">
        <v>18</v>
      </c>
      <c r="D1794">
        <v>1</v>
      </c>
      <c r="E1794">
        <v>0</v>
      </c>
      <c r="F1794">
        <v>1</v>
      </c>
    </row>
    <row r="1795" spans="2:6" x14ac:dyDescent="0.3">
      <c r="B1795" t="s">
        <v>1326</v>
      </c>
      <c r="D1795">
        <v>102</v>
      </c>
      <c r="E1795">
        <v>0</v>
      </c>
      <c r="F1795">
        <v>1</v>
      </c>
    </row>
    <row r="1796" spans="2:6" x14ac:dyDescent="0.3">
      <c r="B1796" t="s">
        <v>1327</v>
      </c>
      <c r="D1796">
        <v>115</v>
      </c>
      <c r="E1796">
        <v>799</v>
      </c>
      <c r="F1796">
        <v>1</v>
      </c>
    </row>
    <row r="1797" spans="2:6" x14ac:dyDescent="0.3">
      <c r="B1797" t="s">
        <v>18</v>
      </c>
      <c r="D1797">
        <v>1</v>
      </c>
      <c r="E1797">
        <v>0</v>
      </c>
      <c r="F1797">
        <v>1</v>
      </c>
    </row>
    <row r="1798" spans="2:6" x14ac:dyDescent="0.3">
      <c r="B1798" t="s">
        <v>18</v>
      </c>
      <c r="D1798">
        <v>1</v>
      </c>
      <c r="E1798">
        <v>0</v>
      </c>
      <c r="F1798">
        <v>1</v>
      </c>
    </row>
    <row r="1799" spans="2:6" x14ac:dyDescent="0.3">
      <c r="B1799" t="s">
        <v>18</v>
      </c>
      <c r="D1799">
        <v>1</v>
      </c>
      <c r="E1799">
        <v>0</v>
      </c>
      <c r="F1799">
        <v>1</v>
      </c>
    </row>
    <row r="1800" spans="2:6" x14ac:dyDescent="0.3">
      <c r="B1800" t="s">
        <v>18</v>
      </c>
      <c r="D1800">
        <v>1</v>
      </c>
      <c r="E1800">
        <v>0</v>
      </c>
      <c r="F1800">
        <v>1</v>
      </c>
    </row>
    <row r="1801" spans="2:6" x14ac:dyDescent="0.3">
      <c r="B1801" t="s">
        <v>11</v>
      </c>
      <c r="D1801">
        <v>0</v>
      </c>
      <c r="E1801">
        <v>0</v>
      </c>
      <c r="F1801">
        <v>1</v>
      </c>
    </row>
    <row r="1802" spans="2:6" x14ac:dyDescent="0.3">
      <c r="B1802" t="s">
        <v>11</v>
      </c>
      <c r="D1802">
        <v>0</v>
      </c>
      <c r="E1802">
        <v>0</v>
      </c>
      <c r="F1802">
        <v>1</v>
      </c>
    </row>
    <row r="1803" spans="2:6" x14ac:dyDescent="0.3">
      <c r="B1803" t="s">
        <v>18</v>
      </c>
      <c r="D1803">
        <v>1</v>
      </c>
      <c r="E1803">
        <v>0</v>
      </c>
      <c r="F1803">
        <v>1</v>
      </c>
    </row>
    <row r="1804" spans="2:6" x14ac:dyDescent="0.3">
      <c r="B1804" t="s">
        <v>18</v>
      </c>
      <c r="D1804">
        <v>1</v>
      </c>
      <c r="E1804">
        <v>0</v>
      </c>
      <c r="F1804">
        <v>1</v>
      </c>
    </row>
    <row r="1805" spans="2:6" x14ac:dyDescent="0.3">
      <c r="B1805" t="s">
        <v>18</v>
      </c>
      <c r="D1805">
        <v>1</v>
      </c>
      <c r="E1805">
        <v>0</v>
      </c>
      <c r="F1805">
        <v>1</v>
      </c>
    </row>
    <row r="1806" spans="2:6" x14ac:dyDescent="0.3">
      <c r="B1806" t="s">
        <v>18</v>
      </c>
      <c r="D1806">
        <v>1</v>
      </c>
      <c r="E1806">
        <v>0</v>
      </c>
      <c r="F1806">
        <v>1</v>
      </c>
    </row>
    <row r="1807" spans="2:6" x14ac:dyDescent="0.3">
      <c r="B1807" t="s">
        <v>18</v>
      </c>
      <c r="D1807">
        <v>1</v>
      </c>
      <c r="E1807">
        <v>0</v>
      </c>
      <c r="F1807">
        <v>1</v>
      </c>
    </row>
    <row r="1808" spans="2:6" x14ac:dyDescent="0.3">
      <c r="B1808" t="s">
        <v>18</v>
      </c>
      <c r="D1808">
        <v>1</v>
      </c>
      <c r="E1808">
        <v>0</v>
      </c>
      <c r="F1808">
        <v>1</v>
      </c>
    </row>
    <row r="1809" spans="2:6" x14ac:dyDescent="0.3">
      <c r="B1809" t="s">
        <v>18</v>
      </c>
      <c r="D1809">
        <v>1</v>
      </c>
      <c r="E1809">
        <v>0</v>
      </c>
      <c r="F1809">
        <v>1</v>
      </c>
    </row>
    <row r="1810" spans="2:6" x14ac:dyDescent="0.3">
      <c r="B1810" t="s">
        <v>18</v>
      </c>
      <c r="D1810">
        <v>1</v>
      </c>
      <c r="E1810">
        <v>0</v>
      </c>
      <c r="F1810">
        <v>1</v>
      </c>
    </row>
    <row r="1811" spans="2:6" x14ac:dyDescent="0.3">
      <c r="B1811" t="s">
        <v>18</v>
      </c>
      <c r="D1811">
        <v>1</v>
      </c>
      <c r="E1811">
        <v>0</v>
      </c>
      <c r="F1811">
        <v>1</v>
      </c>
    </row>
    <row r="1812" spans="2:6" x14ac:dyDescent="0.3">
      <c r="B1812" t="s">
        <v>18</v>
      </c>
      <c r="D1812">
        <v>1</v>
      </c>
      <c r="E1812">
        <v>0</v>
      </c>
      <c r="F1812">
        <v>1</v>
      </c>
    </row>
    <row r="1813" spans="2:6" x14ac:dyDescent="0.3">
      <c r="B1813" t="s">
        <v>18</v>
      </c>
      <c r="D1813">
        <v>1</v>
      </c>
      <c r="E1813">
        <v>0</v>
      </c>
      <c r="F1813">
        <v>1</v>
      </c>
    </row>
    <row r="1814" spans="2:6" x14ac:dyDescent="0.3">
      <c r="B1814" t="s">
        <v>18</v>
      </c>
      <c r="D1814">
        <v>1</v>
      </c>
      <c r="E1814">
        <v>0</v>
      </c>
      <c r="F1814">
        <v>1</v>
      </c>
    </row>
    <row r="1815" spans="2:6" x14ac:dyDescent="0.3">
      <c r="B1815" t="s">
        <v>18</v>
      </c>
      <c r="D1815">
        <v>1</v>
      </c>
      <c r="E1815">
        <v>0</v>
      </c>
      <c r="F1815">
        <v>1</v>
      </c>
    </row>
    <row r="1816" spans="2:6" x14ac:dyDescent="0.3">
      <c r="B1816" t="s">
        <v>11</v>
      </c>
      <c r="D1816">
        <v>0</v>
      </c>
      <c r="E1816">
        <v>0</v>
      </c>
      <c r="F1816">
        <v>1</v>
      </c>
    </row>
    <row r="1817" spans="2:6" x14ac:dyDescent="0.3">
      <c r="B1817" t="s">
        <v>18</v>
      </c>
      <c r="D1817">
        <v>1</v>
      </c>
      <c r="E1817">
        <v>0</v>
      </c>
      <c r="F1817">
        <v>1</v>
      </c>
    </row>
    <row r="1818" spans="2:6" x14ac:dyDescent="0.3">
      <c r="B1818" t="s">
        <v>18</v>
      </c>
      <c r="D1818">
        <v>1</v>
      </c>
      <c r="E1818">
        <v>0</v>
      </c>
      <c r="F1818">
        <v>1</v>
      </c>
    </row>
    <row r="1819" spans="2:6" x14ac:dyDescent="0.3">
      <c r="B1819" t="s">
        <v>11</v>
      </c>
      <c r="D1819">
        <v>0</v>
      </c>
      <c r="E1819">
        <v>0</v>
      </c>
      <c r="F1819">
        <v>1</v>
      </c>
    </row>
    <row r="1820" spans="2:6" x14ac:dyDescent="0.3">
      <c r="B1820" t="s">
        <v>18</v>
      </c>
      <c r="D1820">
        <v>1</v>
      </c>
      <c r="E1820">
        <v>0</v>
      </c>
      <c r="F1820">
        <v>1</v>
      </c>
    </row>
    <row r="1821" spans="2:6" x14ac:dyDescent="0.3">
      <c r="B1821" t="s">
        <v>18</v>
      </c>
      <c r="D1821">
        <v>1</v>
      </c>
      <c r="E1821">
        <v>0</v>
      </c>
      <c r="F1821">
        <v>1</v>
      </c>
    </row>
    <row r="1822" spans="2:6" x14ac:dyDescent="0.3">
      <c r="B1822" t="s">
        <v>18</v>
      </c>
      <c r="D1822">
        <v>1</v>
      </c>
      <c r="E1822">
        <v>0</v>
      </c>
      <c r="F1822">
        <v>1</v>
      </c>
    </row>
    <row r="1823" spans="2:6" x14ac:dyDescent="0.3">
      <c r="B1823" t="s">
        <v>18</v>
      </c>
      <c r="D1823">
        <v>1</v>
      </c>
      <c r="E1823">
        <v>0</v>
      </c>
      <c r="F1823">
        <v>1</v>
      </c>
    </row>
    <row r="1824" spans="2:6" x14ac:dyDescent="0.3">
      <c r="B1824" t="s">
        <v>18</v>
      </c>
      <c r="D1824">
        <v>1</v>
      </c>
      <c r="E1824">
        <v>0</v>
      </c>
      <c r="F1824">
        <v>1</v>
      </c>
    </row>
    <row r="1825" spans="2:6" x14ac:dyDescent="0.3">
      <c r="B1825" t="s">
        <v>18</v>
      </c>
      <c r="D1825">
        <v>1</v>
      </c>
      <c r="E1825">
        <v>0</v>
      </c>
      <c r="F1825">
        <v>1</v>
      </c>
    </row>
    <row r="1826" spans="2:6" x14ac:dyDescent="0.3">
      <c r="B1826" t="s">
        <v>18</v>
      </c>
      <c r="D1826">
        <v>1</v>
      </c>
      <c r="E1826">
        <v>0</v>
      </c>
      <c r="F1826">
        <v>1</v>
      </c>
    </row>
    <row r="1827" spans="2:6" x14ac:dyDescent="0.3">
      <c r="B1827" t="s">
        <v>18</v>
      </c>
      <c r="D1827">
        <v>1</v>
      </c>
      <c r="E1827">
        <v>0</v>
      </c>
      <c r="F1827">
        <v>1</v>
      </c>
    </row>
    <row r="1828" spans="2:6" x14ac:dyDescent="0.3">
      <c r="B1828" t="s">
        <v>18</v>
      </c>
      <c r="D1828">
        <v>1</v>
      </c>
      <c r="E1828">
        <v>0</v>
      </c>
      <c r="F1828">
        <v>1</v>
      </c>
    </row>
    <row r="1829" spans="2:6" x14ac:dyDescent="0.3">
      <c r="B1829" t="s">
        <v>18</v>
      </c>
      <c r="D1829">
        <v>1</v>
      </c>
      <c r="E1829">
        <v>0</v>
      </c>
      <c r="F1829">
        <v>1</v>
      </c>
    </row>
    <row r="1830" spans="2:6" x14ac:dyDescent="0.3">
      <c r="B1830" t="s">
        <v>18</v>
      </c>
      <c r="D1830">
        <v>1</v>
      </c>
      <c r="E1830">
        <v>0</v>
      </c>
      <c r="F1830">
        <v>1</v>
      </c>
    </row>
    <row r="1831" spans="2:6" x14ac:dyDescent="0.3">
      <c r="B1831" t="s">
        <v>18</v>
      </c>
      <c r="D1831">
        <v>1</v>
      </c>
      <c r="E1831">
        <v>0</v>
      </c>
      <c r="F1831">
        <v>1</v>
      </c>
    </row>
    <row r="1832" spans="2:6" x14ac:dyDescent="0.3">
      <c r="B1832" t="s">
        <v>18</v>
      </c>
      <c r="D1832">
        <v>1</v>
      </c>
      <c r="E1832">
        <v>0</v>
      </c>
      <c r="F1832">
        <v>1</v>
      </c>
    </row>
    <row r="1833" spans="2:6" x14ac:dyDescent="0.3">
      <c r="B1833" t="s">
        <v>18</v>
      </c>
      <c r="D1833">
        <v>1</v>
      </c>
      <c r="E1833">
        <v>0</v>
      </c>
      <c r="F1833">
        <v>1</v>
      </c>
    </row>
    <row r="1834" spans="2:6" x14ac:dyDescent="0.3">
      <c r="B1834" t="s">
        <v>18</v>
      </c>
      <c r="D1834">
        <v>1</v>
      </c>
      <c r="E1834">
        <v>0</v>
      </c>
      <c r="F1834">
        <v>1</v>
      </c>
    </row>
    <row r="1835" spans="2:6" x14ac:dyDescent="0.3">
      <c r="B1835" t="s">
        <v>18</v>
      </c>
      <c r="D1835">
        <v>1</v>
      </c>
      <c r="E1835">
        <v>0</v>
      </c>
      <c r="F1835">
        <v>1</v>
      </c>
    </row>
    <row r="1836" spans="2:6" x14ac:dyDescent="0.3">
      <c r="B1836" t="s">
        <v>18</v>
      </c>
      <c r="D1836">
        <v>1</v>
      </c>
      <c r="E1836">
        <v>0</v>
      </c>
      <c r="F1836">
        <v>1</v>
      </c>
    </row>
    <row r="1837" spans="2:6" x14ac:dyDescent="0.3">
      <c r="B1837" t="s">
        <v>18</v>
      </c>
      <c r="D1837">
        <v>1</v>
      </c>
      <c r="E1837">
        <v>0</v>
      </c>
      <c r="F1837">
        <v>1</v>
      </c>
    </row>
    <row r="1838" spans="2:6" x14ac:dyDescent="0.3">
      <c r="B1838" t="s">
        <v>18</v>
      </c>
      <c r="D1838">
        <v>1</v>
      </c>
      <c r="E1838">
        <v>0</v>
      </c>
      <c r="F1838">
        <v>1</v>
      </c>
    </row>
    <row r="1839" spans="2:6" x14ac:dyDescent="0.3">
      <c r="B1839" t="s">
        <v>18</v>
      </c>
      <c r="D1839">
        <v>1</v>
      </c>
      <c r="E1839">
        <v>0</v>
      </c>
      <c r="F1839">
        <v>1</v>
      </c>
    </row>
    <row r="1840" spans="2:6" x14ac:dyDescent="0.3">
      <c r="B1840" t="s">
        <v>18</v>
      </c>
      <c r="D1840">
        <v>1</v>
      </c>
      <c r="E1840">
        <v>0</v>
      </c>
      <c r="F1840">
        <v>1</v>
      </c>
    </row>
    <row r="1841" spans="2:6" x14ac:dyDescent="0.3">
      <c r="B1841" t="s">
        <v>18</v>
      </c>
      <c r="D1841">
        <v>1</v>
      </c>
      <c r="E1841">
        <v>0</v>
      </c>
      <c r="F1841">
        <v>1</v>
      </c>
    </row>
    <row r="1842" spans="2:6" x14ac:dyDescent="0.3">
      <c r="B1842" t="s">
        <v>18</v>
      </c>
      <c r="D1842">
        <v>1</v>
      </c>
      <c r="E1842">
        <v>0</v>
      </c>
      <c r="F1842">
        <v>1</v>
      </c>
    </row>
    <row r="1843" spans="2:6" x14ac:dyDescent="0.3">
      <c r="B1843" t="s">
        <v>18</v>
      </c>
      <c r="D1843">
        <v>1</v>
      </c>
      <c r="E1843">
        <v>0</v>
      </c>
      <c r="F1843">
        <v>1</v>
      </c>
    </row>
    <row r="1844" spans="2:6" x14ac:dyDescent="0.3">
      <c r="B1844" t="s">
        <v>18</v>
      </c>
      <c r="D1844">
        <v>1</v>
      </c>
      <c r="E1844">
        <v>0</v>
      </c>
      <c r="F1844">
        <v>1</v>
      </c>
    </row>
    <row r="1845" spans="2:6" x14ac:dyDescent="0.3">
      <c r="B1845" t="s">
        <v>18</v>
      </c>
      <c r="D1845">
        <v>1</v>
      </c>
      <c r="E1845">
        <v>0</v>
      </c>
      <c r="F1845">
        <v>1</v>
      </c>
    </row>
    <row r="1846" spans="2:6" x14ac:dyDescent="0.3">
      <c r="B1846" t="s">
        <v>18</v>
      </c>
      <c r="D1846">
        <v>1</v>
      </c>
      <c r="E1846">
        <v>0</v>
      </c>
      <c r="F1846">
        <v>1</v>
      </c>
    </row>
    <row r="1847" spans="2:6" x14ac:dyDescent="0.3">
      <c r="B1847" t="s">
        <v>18</v>
      </c>
      <c r="D1847">
        <v>1</v>
      </c>
      <c r="E1847">
        <v>0</v>
      </c>
      <c r="F1847">
        <v>1</v>
      </c>
    </row>
    <row r="1848" spans="2:6" x14ac:dyDescent="0.3">
      <c r="B1848" t="s">
        <v>18</v>
      </c>
      <c r="D1848">
        <v>1</v>
      </c>
      <c r="E1848">
        <v>0</v>
      </c>
      <c r="F1848">
        <v>1</v>
      </c>
    </row>
    <row r="1849" spans="2:6" x14ac:dyDescent="0.3">
      <c r="B1849" t="s">
        <v>18</v>
      </c>
      <c r="D1849">
        <v>1</v>
      </c>
      <c r="E1849">
        <v>0</v>
      </c>
      <c r="F1849">
        <v>1</v>
      </c>
    </row>
    <row r="1850" spans="2:6" x14ac:dyDescent="0.3">
      <c r="B1850" t="s">
        <v>18</v>
      </c>
      <c r="D1850">
        <v>1</v>
      </c>
      <c r="E1850">
        <v>0</v>
      </c>
      <c r="F1850">
        <v>1</v>
      </c>
    </row>
    <row r="1851" spans="2:6" x14ac:dyDescent="0.3">
      <c r="B1851" t="s">
        <v>18</v>
      </c>
      <c r="D1851">
        <v>1</v>
      </c>
      <c r="E1851">
        <v>0</v>
      </c>
      <c r="F1851">
        <v>1</v>
      </c>
    </row>
    <row r="1852" spans="2:6" x14ac:dyDescent="0.3">
      <c r="B1852" t="s">
        <v>18</v>
      </c>
      <c r="D1852">
        <v>1</v>
      </c>
      <c r="E1852">
        <v>0</v>
      </c>
      <c r="F1852">
        <v>1</v>
      </c>
    </row>
    <row r="1853" spans="2:6" x14ac:dyDescent="0.3">
      <c r="B1853" t="s">
        <v>18</v>
      </c>
      <c r="D1853">
        <v>1</v>
      </c>
      <c r="E1853">
        <v>0</v>
      </c>
      <c r="F1853">
        <v>1</v>
      </c>
    </row>
    <row r="1854" spans="2:6" x14ac:dyDescent="0.3">
      <c r="B1854" t="s">
        <v>18</v>
      </c>
      <c r="D1854">
        <v>1</v>
      </c>
      <c r="E1854">
        <v>0</v>
      </c>
      <c r="F1854">
        <v>1</v>
      </c>
    </row>
    <row r="1855" spans="2:6" x14ac:dyDescent="0.3">
      <c r="B1855" t="s">
        <v>18</v>
      </c>
      <c r="D1855">
        <v>1</v>
      </c>
      <c r="E1855">
        <v>0</v>
      </c>
      <c r="F1855">
        <v>1</v>
      </c>
    </row>
    <row r="1856" spans="2:6" x14ac:dyDescent="0.3">
      <c r="B1856" t="s">
        <v>18</v>
      </c>
      <c r="D1856">
        <v>1</v>
      </c>
      <c r="E1856">
        <v>0</v>
      </c>
      <c r="F1856">
        <v>1</v>
      </c>
    </row>
    <row r="1857" spans="2:6" x14ac:dyDescent="0.3">
      <c r="B1857" t="s">
        <v>18</v>
      </c>
      <c r="D1857">
        <v>1</v>
      </c>
      <c r="E1857">
        <v>0</v>
      </c>
      <c r="F1857">
        <v>1</v>
      </c>
    </row>
    <row r="1858" spans="2:6" x14ac:dyDescent="0.3">
      <c r="B1858" t="s">
        <v>18</v>
      </c>
      <c r="D1858">
        <v>1</v>
      </c>
      <c r="E1858">
        <v>0</v>
      </c>
      <c r="F1858">
        <v>1</v>
      </c>
    </row>
    <row r="1859" spans="2:6" x14ac:dyDescent="0.3">
      <c r="B1859" t="s">
        <v>18</v>
      </c>
      <c r="D1859">
        <v>1</v>
      </c>
      <c r="E1859">
        <v>0</v>
      </c>
      <c r="F1859">
        <v>1</v>
      </c>
    </row>
    <row r="1860" spans="2:6" x14ac:dyDescent="0.3">
      <c r="B1860" t="s">
        <v>18</v>
      </c>
      <c r="D1860">
        <v>1</v>
      </c>
      <c r="E1860">
        <v>0</v>
      </c>
      <c r="F1860">
        <v>1</v>
      </c>
    </row>
    <row r="1861" spans="2:6" x14ac:dyDescent="0.3">
      <c r="B1861" t="s">
        <v>19</v>
      </c>
      <c r="D1861">
        <v>1</v>
      </c>
      <c r="E1861">
        <v>1</v>
      </c>
      <c r="F1861">
        <v>1</v>
      </c>
    </row>
    <row r="1862" spans="2:6" x14ac:dyDescent="0.3">
      <c r="B1862" t="s">
        <v>483</v>
      </c>
      <c r="D1862">
        <v>3</v>
      </c>
      <c r="E1862">
        <v>2</v>
      </c>
      <c r="F1862">
        <v>1</v>
      </c>
    </row>
    <row r="1863" spans="2:6" x14ac:dyDescent="0.3">
      <c r="B1863" t="s">
        <v>1328</v>
      </c>
      <c r="D1863">
        <v>7</v>
      </c>
      <c r="E1863">
        <v>6</v>
      </c>
      <c r="F1863">
        <v>1</v>
      </c>
    </row>
    <row r="1864" spans="2:6" x14ac:dyDescent="0.3">
      <c r="B1864" t="s">
        <v>1329</v>
      </c>
      <c r="D1864">
        <v>18</v>
      </c>
      <c r="E1864">
        <v>13</v>
      </c>
      <c r="F1864">
        <v>1</v>
      </c>
    </row>
    <row r="1865" spans="2:6" x14ac:dyDescent="0.3">
      <c r="B1865" t="s">
        <v>1330</v>
      </c>
      <c r="D1865">
        <v>37</v>
      </c>
      <c r="E1865">
        <v>33</v>
      </c>
      <c r="F1865">
        <v>1</v>
      </c>
    </row>
    <row r="1866" spans="2:6" x14ac:dyDescent="0.3">
      <c r="B1866" t="s">
        <v>1331</v>
      </c>
      <c r="D1866">
        <v>76</v>
      </c>
      <c r="E1866">
        <v>76</v>
      </c>
      <c r="F1866">
        <v>1</v>
      </c>
    </row>
    <row r="1867" spans="2:6" x14ac:dyDescent="0.3">
      <c r="B1867" t="s">
        <v>1332</v>
      </c>
      <c r="D1867">
        <v>76</v>
      </c>
      <c r="E1867">
        <v>122</v>
      </c>
      <c r="F1867">
        <v>1</v>
      </c>
    </row>
    <row r="1868" spans="2:6" x14ac:dyDescent="0.3">
      <c r="B1868" t="s">
        <v>1333</v>
      </c>
      <c r="D1868">
        <v>89</v>
      </c>
      <c r="E1868">
        <v>178</v>
      </c>
      <c r="F1868">
        <v>1</v>
      </c>
    </row>
    <row r="1869" spans="2:6" x14ac:dyDescent="0.3">
      <c r="B1869" t="s">
        <v>1334</v>
      </c>
      <c r="D1869">
        <v>100</v>
      </c>
      <c r="E1869">
        <v>299</v>
      </c>
      <c r="F1869">
        <v>1</v>
      </c>
    </row>
    <row r="1870" spans="2:6" x14ac:dyDescent="0.3">
      <c r="B1870" t="s">
        <v>1335</v>
      </c>
      <c r="D1870">
        <v>107</v>
      </c>
      <c r="E1870">
        <v>399</v>
      </c>
      <c r="F1870">
        <v>1</v>
      </c>
    </row>
    <row r="1871" spans="2:6" x14ac:dyDescent="0.3">
      <c r="B1871" t="s">
        <v>1336</v>
      </c>
      <c r="D1871">
        <v>112</v>
      </c>
      <c r="E1871">
        <v>597</v>
      </c>
      <c r="F1871">
        <v>1</v>
      </c>
    </row>
    <row r="1872" spans="2:6" x14ac:dyDescent="0.3">
      <c r="B1872" t="s">
        <v>1337</v>
      </c>
      <c r="D1872">
        <v>116</v>
      </c>
      <c r="E1872">
        <v>738</v>
      </c>
      <c r="F1872">
        <v>1</v>
      </c>
    </row>
    <row r="1873" spans="2:6" x14ac:dyDescent="0.3">
      <c r="B1873" t="s">
        <v>1338</v>
      </c>
      <c r="D1873">
        <v>120</v>
      </c>
      <c r="E1873">
        <v>861</v>
      </c>
      <c r="F1873">
        <v>1</v>
      </c>
    </row>
    <row r="1874" spans="2:6" x14ac:dyDescent="0.3">
      <c r="B1874" t="s">
        <v>1339</v>
      </c>
      <c r="D1874">
        <v>123</v>
      </c>
      <c r="E1874">
        <v>1080</v>
      </c>
      <c r="F1874">
        <v>1</v>
      </c>
    </row>
    <row r="1875" spans="2:6" x14ac:dyDescent="0.3">
      <c r="B1875" t="s">
        <v>1340</v>
      </c>
      <c r="D1875">
        <v>120</v>
      </c>
      <c r="E1875">
        <v>887</v>
      </c>
      <c r="F1875">
        <v>1</v>
      </c>
    </row>
    <row r="1876" spans="2:6" x14ac:dyDescent="0.3">
      <c r="B1876" t="s">
        <v>1341</v>
      </c>
      <c r="D1876">
        <v>122</v>
      </c>
      <c r="E1876">
        <v>1026</v>
      </c>
      <c r="F1876">
        <v>1</v>
      </c>
    </row>
    <row r="1877" spans="2:6" x14ac:dyDescent="0.3">
      <c r="B1877" t="s">
        <v>1342</v>
      </c>
      <c r="D1877">
        <v>125</v>
      </c>
      <c r="E1877">
        <v>1228</v>
      </c>
      <c r="F1877">
        <v>1</v>
      </c>
    </row>
    <row r="1878" spans="2:6" x14ac:dyDescent="0.3">
      <c r="B1878" t="s">
        <v>1343</v>
      </c>
      <c r="D1878">
        <v>130</v>
      </c>
      <c r="E1878">
        <v>1547</v>
      </c>
      <c r="F1878">
        <v>1</v>
      </c>
    </row>
    <row r="1879" spans="2:6" x14ac:dyDescent="0.3">
      <c r="B1879" t="s">
        <v>1344</v>
      </c>
      <c r="D1879">
        <v>133</v>
      </c>
      <c r="E1879">
        <v>1858</v>
      </c>
      <c r="F1879">
        <v>1</v>
      </c>
    </row>
    <row r="1880" spans="2:6" x14ac:dyDescent="0.3">
      <c r="B1880" t="s">
        <v>1345</v>
      </c>
      <c r="D1880">
        <v>134</v>
      </c>
      <c r="E1880">
        <v>1914</v>
      </c>
      <c r="F1880">
        <v>1</v>
      </c>
    </row>
    <row r="1881" spans="2:6" x14ac:dyDescent="0.3">
      <c r="B1881" t="s">
        <v>1346</v>
      </c>
      <c r="D1881">
        <v>134</v>
      </c>
      <c r="E1881">
        <v>2102</v>
      </c>
      <c r="F1881">
        <v>1</v>
      </c>
    </row>
    <row r="1882" spans="2:6" x14ac:dyDescent="0.3">
      <c r="B1882" t="s">
        <v>1347</v>
      </c>
      <c r="D1882">
        <v>137</v>
      </c>
      <c r="E1882">
        <v>2418</v>
      </c>
      <c r="F1882">
        <v>1</v>
      </c>
    </row>
    <row r="1883" spans="2:6" x14ac:dyDescent="0.3">
      <c r="B1883" t="s">
        <v>1348</v>
      </c>
      <c r="D1883">
        <v>138</v>
      </c>
      <c r="E1883">
        <v>2842</v>
      </c>
      <c r="F1883">
        <v>1</v>
      </c>
    </row>
    <row r="1884" spans="2:6" x14ac:dyDescent="0.3">
      <c r="B1884" t="s">
        <v>1349</v>
      </c>
      <c r="D1884">
        <v>141</v>
      </c>
      <c r="E1884">
        <v>3337</v>
      </c>
      <c r="F1884">
        <v>1</v>
      </c>
    </row>
    <row r="1885" spans="2:6" x14ac:dyDescent="0.3">
      <c r="B1885" t="s">
        <v>1350</v>
      </c>
      <c r="D1885">
        <v>145</v>
      </c>
      <c r="E1885">
        <v>3660</v>
      </c>
      <c r="F1885">
        <v>1</v>
      </c>
    </row>
    <row r="1886" spans="2:6" x14ac:dyDescent="0.3">
      <c r="B1886" t="s">
        <v>1351</v>
      </c>
      <c r="D1886">
        <v>147</v>
      </c>
      <c r="E1886">
        <v>3929</v>
      </c>
      <c r="F1886">
        <v>1</v>
      </c>
    </row>
    <row r="1887" spans="2:6" x14ac:dyDescent="0.3">
      <c r="B1887" t="s">
        <v>1352</v>
      </c>
      <c r="D1887">
        <v>148</v>
      </c>
      <c r="E1887">
        <v>4204</v>
      </c>
      <c r="F1887">
        <v>1</v>
      </c>
    </row>
    <row r="1888" spans="2:6" x14ac:dyDescent="0.3">
      <c r="B1888" t="s">
        <v>1353</v>
      </c>
      <c r="D1888">
        <v>149</v>
      </c>
      <c r="E1888">
        <v>4716</v>
      </c>
      <c r="F1888">
        <v>1</v>
      </c>
    </row>
    <row r="1889" spans="2:6" x14ac:dyDescent="0.3">
      <c r="B1889" t="s">
        <v>1354</v>
      </c>
      <c r="D1889">
        <v>151</v>
      </c>
      <c r="E1889">
        <v>5242</v>
      </c>
      <c r="F1889">
        <v>1</v>
      </c>
    </row>
    <row r="1890" spans="2:6" x14ac:dyDescent="0.3">
      <c r="B1890" t="s">
        <v>1355</v>
      </c>
      <c r="D1890">
        <v>152</v>
      </c>
      <c r="E1890">
        <v>5424</v>
      </c>
      <c r="F1890">
        <v>1</v>
      </c>
    </row>
    <row r="1891" spans="2:6" x14ac:dyDescent="0.3">
      <c r="B1891" t="s">
        <v>1356</v>
      </c>
      <c r="D1891">
        <v>152</v>
      </c>
      <c r="E1891">
        <v>5846</v>
      </c>
      <c r="F1891">
        <v>1</v>
      </c>
    </row>
    <row r="1892" spans="2:6" x14ac:dyDescent="0.3">
      <c r="B1892" t="s">
        <v>1357</v>
      </c>
      <c r="D1892">
        <v>153</v>
      </c>
      <c r="E1892">
        <v>6024</v>
      </c>
      <c r="F1892">
        <v>1</v>
      </c>
    </row>
    <row r="1893" spans="2:6" x14ac:dyDescent="0.3">
      <c r="B1893" t="s">
        <v>1358</v>
      </c>
      <c r="D1893">
        <v>152</v>
      </c>
      <c r="E1893">
        <v>6290</v>
      </c>
      <c r="F1893">
        <v>1</v>
      </c>
    </row>
    <row r="1894" spans="2:6" x14ac:dyDescent="0.3">
      <c r="B1894" t="s">
        <v>1359</v>
      </c>
      <c r="D1894">
        <v>154</v>
      </c>
      <c r="E1894">
        <v>5798</v>
      </c>
      <c r="F1894">
        <v>1</v>
      </c>
    </row>
    <row r="1895" spans="2:6" x14ac:dyDescent="0.3">
      <c r="B1895" t="s">
        <v>1073</v>
      </c>
      <c r="D1895">
        <v>155</v>
      </c>
      <c r="E1895">
        <v>5662</v>
      </c>
      <c r="F1895">
        <v>1</v>
      </c>
    </row>
    <row r="1896" spans="2:6" x14ac:dyDescent="0.3">
      <c r="B1896" t="s">
        <v>1360</v>
      </c>
      <c r="D1896">
        <v>157</v>
      </c>
      <c r="E1896">
        <v>6006</v>
      </c>
      <c r="F1896">
        <v>1</v>
      </c>
    </row>
    <row r="1897" spans="2:6" x14ac:dyDescent="0.3">
      <c r="B1897" t="s">
        <v>624</v>
      </c>
      <c r="D1897">
        <v>155</v>
      </c>
      <c r="E1897">
        <v>5896</v>
      </c>
      <c r="F1897">
        <v>1</v>
      </c>
    </row>
    <row r="1898" spans="2:6" x14ac:dyDescent="0.3">
      <c r="B1898" t="s">
        <v>1361</v>
      </c>
      <c r="D1898">
        <v>156</v>
      </c>
      <c r="E1898">
        <v>6954</v>
      </c>
      <c r="F1898">
        <v>1</v>
      </c>
    </row>
    <row r="1899" spans="2:6" x14ac:dyDescent="0.3">
      <c r="B1899" t="s">
        <v>1362</v>
      </c>
      <c r="D1899">
        <v>154</v>
      </c>
      <c r="E1899">
        <v>6282</v>
      </c>
      <c r="F1899">
        <v>1</v>
      </c>
    </row>
    <row r="1900" spans="2:6" x14ac:dyDescent="0.3">
      <c r="B1900" t="s">
        <v>1363</v>
      </c>
      <c r="D1900">
        <v>152</v>
      </c>
      <c r="E1900">
        <v>5996</v>
      </c>
      <c r="F1900">
        <v>1</v>
      </c>
    </row>
    <row r="1901" spans="2:6" x14ac:dyDescent="0.3">
      <c r="B1901" t="s">
        <v>1364</v>
      </c>
      <c r="D1901">
        <v>155</v>
      </c>
      <c r="E1901">
        <v>5920</v>
      </c>
      <c r="F1901">
        <v>1</v>
      </c>
    </row>
    <row r="1902" spans="2:6" x14ac:dyDescent="0.3">
      <c r="B1902" t="s">
        <v>1365</v>
      </c>
      <c r="D1902">
        <v>154</v>
      </c>
      <c r="E1902">
        <v>5856</v>
      </c>
      <c r="F1902">
        <v>1</v>
      </c>
    </row>
    <row r="1903" spans="2:6" x14ac:dyDescent="0.3">
      <c r="B1903" t="s">
        <v>1366</v>
      </c>
      <c r="D1903">
        <v>154</v>
      </c>
      <c r="E1903">
        <v>5540</v>
      </c>
      <c r="F1903">
        <v>1</v>
      </c>
    </row>
    <row r="1904" spans="2:6" x14ac:dyDescent="0.3">
      <c r="B1904" t="s">
        <v>1367</v>
      </c>
      <c r="D1904">
        <v>151</v>
      </c>
      <c r="E1904">
        <v>4934</v>
      </c>
      <c r="F1904">
        <v>1</v>
      </c>
    </row>
    <row r="1905" spans="2:6" x14ac:dyDescent="0.3">
      <c r="B1905" t="s">
        <v>1368</v>
      </c>
      <c r="D1905">
        <v>154</v>
      </c>
      <c r="E1905">
        <v>5740</v>
      </c>
      <c r="F1905">
        <v>1</v>
      </c>
    </row>
    <row r="1906" spans="2:6" x14ac:dyDescent="0.3">
      <c r="B1906" t="s">
        <v>1369</v>
      </c>
      <c r="D1906">
        <v>152</v>
      </c>
      <c r="E1906">
        <v>4598</v>
      </c>
      <c r="F1906">
        <v>1</v>
      </c>
    </row>
    <row r="1907" spans="2:6" x14ac:dyDescent="0.3">
      <c r="B1907" t="s">
        <v>1370</v>
      </c>
      <c r="D1907">
        <v>151</v>
      </c>
      <c r="E1907">
        <v>4608</v>
      </c>
      <c r="F1907">
        <v>1</v>
      </c>
    </row>
    <row r="1908" spans="2:6" x14ac:dyDescent="0.3">
      <c r="B1908" t="s">
        <v>1371</v>
      </c>
      <c r="D1908">
        <v>153</v>
      </c>
      <c r="E1908">
        <v>4816</v>
      </c>
      <c r="F1908">
        <v>1</v>
      </c>
    </row>
    <row r="1909" spans="2:6" x14ac:dyDescent="0.3">
      <c r="B1909" t="s">
        <v>1372</v>
      </c>
      <c r="D1909">
        <v>156</v>
      </c>
      <c r="E1909">
        <v>5678</v>
      </c>
      <c r="F1909">
        <v>1</v>
      </c>
    </row>
    <row r="1910" spans="2:6" x14ac:dyDescent="0.3">
      <c r="B1910" t="s">
        <v>1373</v>
      </c>
      <c r="D1910">
        <v>155</v>
      </c>
      <c r="E1910">
        <v>5892</v>
      </c>
      <c r="F1910">
        <v>1</v>
      </c>
    </row>
    <row r="1911" spans="2:6" x14ac:dyDescent="0.3">
      <c r="B1911" t="s">
        <v>1374</v>
      </c>
      <c r="D1911">
        <v>151</v>
      </c>
      <c r="E1911">
        <v>5434</v>
      </c>
      <c r="F1911">
        <v>1</v>
      </c>
    </row>
    <row r="1912" spans="2:6" x14ac:dyDescent="0.3">
      <c r="B1912" t="s">
        <v>1375</v>
      </c>
      <c r="D1912">
        <v>151</v>
      </c>
      <c r="E1912">
        <v>5472</v>
      </c>
      <c r="F1912">
        <v>1</v>
      </c>
    </row>
    <row r="1913" spans="2:6" x14ac:dyDescent="0.3">
      <c r="B1913" t="s">
        <v>1376</v>
      </c>
      <c r="D1913">
        <v>156</v>
      </c>
      <c r="E1913">
        <v>7752</v>
      </c>
      <c r="F1913">
        <v>1</v>
      </c>
    </row>
    <row r="1914" spans="2:6" x14ac:dyDescent="0.3">
      <c r="B1914" t="s">
        <v>1377</v>
      </c>
      <c r="D1914">
        <v>159</v>
      </c>
      <c r="E1914">
        <v>6856</v>
      </c>
      <c r="F1914">
        <v>1</v>
      </c>
    </row>
    <row r="1915" spans="2:6" x14ac:dyDescent="0.3">
      <c r="B1915" t="s">
        <v>1378</v>
      </c>
      <c r="D1915">
        <v>159</v>
      </c>
      <c r="E1915">
        <v>6656</v>
      </c>
      <c r="F1915">
        <v>1</v>
      </c>
    </row>
    <row r="1916" spans="2:6" x14ac:dyDescent="0.3">
      <c r="B1916" t="s">
        <v>1379</v>
      </c>
      <c r="D1916">
        <v>157</v>
      </c>
      <c r="E1916">
        <v>6052</v>
      </c>
      <c r="F1916">
        <v>1</v>
      </c>
    </row>
    <row r="1917" spans="2:6" x14ac:dyDescent="0.3">
      <c r="B1917" t="s">
        <v>1380</v>
      </c>
      <c r="D1917">
        <v>161</v>
      </c>
      <c r="E1917">
        <v>8412</v>
      </c>
      <c r="F1917">
        <v>1</v>
      </c>
    </row>
    <row r="1918" spans="2:6" x14ac:dyDescent="0.3">
      <c r="B1918" t="s">
        <v>1381</v>
      </c>
      <c r="D1918">
        <v>162</v>
      </c>
      <c r="E1918">
        <v>6386</v>
      </c>
      <c r="F1918">
        <v>1</v>
      </c>
    </row>
    <row r="1919" spans="2:6" x14ac:dyDescent="0.3">
      <c r="B1919" t="s">
        <v>1382</v>
      </c>
      <c r="D1919">
        <v>163</v>
      </c>
      <c r="E1919">
        <v>8080</v>
      </c>
      <c r="F1919">
        <v>1</v>
      </c>
    </row>
    <row r="1920" spans="2:6" x14ac:dyDescent="0.3">
      <c r="B1920" t="s">
        <v>1383</v>
      </c>
      <c r="D1920">
        <v>161</v>
      </c>
      <c r="E1920">
        <v>7684</v>
      </c>
      <c r="F1920">
        <v>1</v>
      </c>
    </row>
    <row r="1921" spans="2:6" x14ac:dyDescent="0.3">
      <c r="B1921" t="s">
        <v>1384</v>
      </c>
      <c r="D1921">
        <v>163</v>
      </c>
      <c r="E1921">
        <v>8852</v>
      </c>
      <c r="F1921">
        <v>1</v>
      </c>
    </row>
    <row r="1922" spans="2:6" x14ac:dyDescent="0.3">
      <c r="B1922" t="s">
        <v>1385</v>
      </c>
      <c r="D1922">
        <v>167</v>
      </c>
      <c r="E1922">
        <v>12652</v>
      </c>
      <c r="F1922">
        <v>1</v>
      </c>
    </row>
    <row r="1923" spans="2:6" x14ac:dyDescent="0.3">
      <c r="B1923" t="s">
        <v>276</v>
      </c>
      <c r="D1923">
        <v>222</v>
      </c>
      <c r="E1923">
        <v>12160</v>
      </c>
      <c r="F1923">
        <v>1</v>
      </c>
    </row>
    <row r="1924" spans="2:6" x14ac:dyDescent="0.3">
      <c r="B1924" t="s">
        <v>1386</v>
      </c>
      <c r="D1924">
        <v>221</v>
      </c>
      <c r="E1924">
        <v>50048</v>
      </c>
      <c r="F1924">
        <v>1</v>
      </c>
    </row>
    <row r="1925" spans="2:6" x14ac:dyDescent="0.3">
      <c r="B1925" t="s">
        <v>1387</v>
      </c>
      <c r="D1925">
        <v>220</v>
      </c>
      <c r="E1925">
        <v>11136</v>
      </c>
      <c r="F1925">
        <v>1</v>
      </c>
    </row>
    <row r="1926" spans="2:6" x14ac:dyDescent="0.3">
      <c r="B1926" t="s">
        <v>1388</v>
      </c>
      <c r="D1926">
        <v>220</v>
      </c>
      <c r="E1926">
        <v>43008</v>
      </c>
      <c r="F1926">
        <v>1</v>
      </c>
    </row>
    <row r="1927" spans="2:6" x14ac:dyDescent="0.3">
      <c r="B1927" t="s">
        <v>1389</v>
      </c>
      <c r="D1927">
        <v>229</v>
      </c>
      <c r="E1927">
        <v>25600</v>
      </c>
      <c r="F1927">
        <v>1</v>
      </c>
    </row>
    <row r="1928" spans="2:6" x14ac:dyDescent="0.3">
      <c r="B1928" t="s">
        <v>1390</v>
      </c>
      <c r="D1928">
        <v>224</v>
      </c>
      <c r="E1928">
        <v>18176</v>
      </c>
      <c r="F1928">
        <v>1</v>
      </c>
    </row>
    <row r="1929" spans="2:6" x14ac:dyDescent="0.3">
      <c r="B1929" t="s">
        <v>1391</v>
      </c>
      <c r="D1929">
        <v>224</v>
      </c>
      <c r="E1929">
        <v>7424</v>
      </c>
      <c r="F1929">
        <v>1</v>
      </c>
    </row>
    <row r="1930" spans="2:6" x14ac:dyDescent="0.3">
      <c r="B1930" t="s">
        <v>1392</v>
      </c>
      <c r="D1930">
        <v>218</v>
      </c>
      <c r="E1930">
        <v>30272</v>
      </c>
      <c r="F1930">
        <v>1</v>
      </c>
    </row>
    <row r="1931" spans="2:6" x14ac:dyDescent="0.3">
      <c r="B1931" t="s">
        <v>1393</v>
      </c>
      <c r="D1931">
        <v>221</v>
      </c>
      <c r="E1931">
        <v>26240</v>
      </c>
      <c r="F1931">
        <v>1</v>
      </c>
    </row>
    <row r="1932" spans="2:6" x14ac:dyDescent="0.3">
      <c r="B1932" t="s">
        <v>1394</v>
      </c>
      <c r="D1932">
        <v>215</v>
      </c>
      <c r="E1932">
        <v>16256</v>
      </c>
      <c r="F1932">
        <v>1</v>
      </c>
    </row>
    <row r="1933" spans="2:6" x14ac:dyDescent="0.3">
      <c r="B1933" t="s">
        <v>1395</v>
      </c>
      <c r="D1933">
        <v>213</v>
      </c>
      <c r="E1933">
        <v>29632</v>
      </c>
      <c r="F1933">
        <v>1</v>
      </c>
    </row>
    <row r="1934" spans="2:6" x14ac:dyDescent="0.3">
      <c r="B1934" t="s">
        <v>1396</v>
      </c>
      <c r="D1934">
        <v>209</v>
      </c>
      <c r="E1934">
        <v>42048</v>
      </c>
      <c r="F1934">
        <v>1</v>
      </c>
    </row>
    <row r="1935" spans="2:6" x14ac:dyDescent="0.3">
      <c r="B1935" t="s">
        <v>1397</v>
      </c>
      <c r="D1935">
        <v>210</v>
      </c>
      <c r="E1935">
        <v>30272</v>
      </c>
      <c r="F1935">
        <v>1</v>
      </c>
    </row>
    <row r="1936" spans="2:6" x14ac:dyDescent="0.3">
      <c r="B1936" t="s">
        <v>542</v>
      </c>
      <c r="D1936">
        <v>222</v>
      </c>
      <c r="E1936">
        <v>18432</v>
      </c>
      <c r="F1936">
        <v>1</v>
      </c>
    </row>
    <row r="1937" spans="2:6" x14ac:dyDescent="0.3">
      <c r="B1937" t="s">
        <v>1398</v>
      </c>
      <c r="D1937">
        <v>219</v>
      </c>
      <c r="E1937">
        <v>1152</v>
      </c>
      <c r="F1937">
        <v>1</v>
      </c>
    </row>
    <row r="1938" spans="2:6" x14ac:dyDescent="0.3">
      <c r="B1938" t="s">
        <v>1399</v>
      </c>
      <c r="D1938">
        <v>219</v>
      </c>
      <c r="E1938">
        <v>19840</v>
      </c>
      <c r="F1938">
        <v>1</v>
      </c>
    </row>
    <row r="1939" spans="2:6" x14ac:dyDescent="0.3">
      <c r="B1939" t="s">
        <v>1400</v>
      </c>
      <c r="D1939">
        <v>212</v>
      </c>
      <c r="E1939">
        <v>9600</v>
      </c>
      <c r="F1939">
        <v>1</v>
      </c>
    </row>
    <row r="1940" spans="2:6" x14ac:dyDescent="0.3">
      <c r="B1940" t="s">
        <v>1401</v>
      </c>
      <c r="D1940">
        <v>222</v>
      </c>
      <c r="E1940">
        <v>6272</v>
      </c>
      <c r="F1940">
        <v>1</v>
      </c>
    </row>
    <row r="1941" spans="2:6" x14ac:dyDescent="0.3">
      <c r="B1941" t="s">
        <v>1402</v>
      </c>
      <c r="D1941">
        <v>230</v>
      </c>
      <c r="E1941">
        <v>65408</v>
      </c>
      <c r="F1941">
        <v>1</v>
      </c>
    </row>
    <row r="1942" spans="2:6" x14ac:dyDescent="0.3">
      <c r="B1942" t="s">
        <v>1403</v>
      </c>
      <c r="D1942">
        <v>215</v>
      </c>
      <c r="E1942">
        <v>48768</v>
      </c>
      <c r="F1942">
        <v>1</v>
      </c>
    </row>
    <row r="1943" spans="2:6" x14ac:dyDescent="0.3">
      <c r="B1943" t="s">
        <v>1404</v>
      </c>
      <c r="D1943">
        <v>223</v>
      </c>
      <c r="E1943">
        <v>24448</v>
      </c>
      <c r="F1943">
        <v>1</v>
      </c>
    </row>
    <row r="1944" spans="2:6" x14ac:dyDescent="0.3">
      <c r="B1944" t="s">
        <v>1405</v>
      </c>
      <c r="D1944">
        <v>223</v>
      </c>
      <c r="E1944">
        <v>47360</v>
      </c>
      <c r="F1944">
        <v>1</v>
      </c>
    </row>
    <row r="1945" spans="2:6" x14ac:dyDescent="0.3">
      <c r="B1945" t="s">
        <v>1406</v>
      </c>
      <c r="D1945">
        <v>255</v>
      </c>
      <c r="E1945">
        <v>46080</v>
      </c>
      <c r="F1945">
        <v>1</v>
      </c>
    </row>
    <row r="1946" spans="2:6" x14ac:dyDescent="0.3">
      <c r="B1946" t="s">
        <v>1407</v>
      </c>
      <c r="D1946">
        <v>255</v>
      </c>
      <c r="E1946">
        <v>34816</v>
      </c>
      <c r="F1946">
        <v>1</v>
      </c>
    </row>
    <row r="1947" spans="2:6" x14ac:dyDescent="0.3">
      <c r="B1947" t="s">
        <v>1408</v>
      </c>
      <c r="D1947">
        <v>230</v>
      </c>
      <c r="E1947">
        <v>13312</v>
      </c>
      <c r="F1947">
        <v>1</v>
      </c>
    </row>
    <row r="1948" spans="2:6" x14ac:dyDescent="0.3">
      <c r="B1948" t="s">
        <v>1409</v>
      </c>
      <c r="D1948">
        <v>227</v>
      </c>
      <c r="E1948">
        <v>50432</v>
      </c>
      <c r="F1948">
        <v>1</v>
      </c>
    </row>
    <row r="1949" spans="2:6" x14ac:dyDescent="0.3">
      <c r="B1949" t="s">
        <v>1410</v>
      </c>
      <c r="D1949">
        <v>230</v>
      </c>
      <c r="E1949">
        <v>3072</v>
      </c>
      <c r="F1949">
        <v>1</v>
      </c>
    </row>
    <row r="1950" spans="2:6" x14ac:dyDescent="0.3">
      <c r="B1950" t="s">
        <v>1411</v>
      </c>
      <c r="D1950">
        <v>233</v>
      </c>
      <c r="E1950">
        <v>7168</v>
      </c>
      <c r="F1950">
        <v>1</v>
      </c>
    </row>
    <row r="1951" spans="2:6" x14ac:dyDescent="0.3">
      <c r="B1951" t="s">
        <v>1412</v>
      </c>
      <c r="D1951">
        <v>233</v>
      </c>
      <c r="E1951">
        <v>3072</v>
      </c>
      <c r="F1951">
        <v>1</v>
      </c>
    </row>
    <row r="1952" spans="2:6" x14ac:dyDescent="0.3">
      <c r="B1952" t="s">
        <v>1413</v>
      </c>
      <c r="D1952">
        <v>218</v>
      </c>
      <c r="E1952">
        <v>58752</v>
      </c>
      <c r="F1952">
        <v>1</v>
      </c>
    </row>
    <row r="1953" spans="2:6" x14ac:dyDescent="0.3">
      <c r="B1953" t="s">
        <v>1414</v>
      </c>
      <c r="D1953">
        <v>226</v>
      </c>
      <c r="E1953">
        <v>33664</v>
      </c>
      <c r="F1953">
        <v>1</v>
      </c>
    </row>
    <row r="1954" spans="2:6" x14ac:dyDescent="0.3">
      <c r="B1954" t="s">
        <v>1415</v>
      </c>
      <c r="D1954">
        <v>246</v>
      </c>
      <c r="E1954">
        <v>2048</v>
      </c>
      <c r="F1954">
        <v>1</v>
      </c>
    </row>
    <row r="1955" spans="2:6" x14ac:dyDescent="0.3">
      <c r="B1955" t="s">
        <v>1415</v>
      </c>
      <c r="D1955">
        <v>246</v>
      </c>
      <c r="E1955">
        <v>2048</v>
      </c>
      <c r="F1955">
        <v>1</v>
      </c>
    </row>
    <row r="1956" spans="2:6" x14ac:dyDescent="0.3">
      <c r="B1956" t="s">
        <v>1416</v>
      </c>
      <c r="D1956">
        <v>226</v>
      </c>
      <c r="E1956">
        <v>65024</v>
      </c>
      <c r="F1956">
        <v>1</v>
      </c>
    </row>
    <row r="1957" spans="2:6" x14ac:dyDescent="0.3">
      <c r="B1957" t="s">
        <v>1417</v>
      </c>
      <c r="D1957">
        <v>223</v>
      </c>
      <c r="E1957">
        <v>30848</v>
      </c>
      <c r="F1957">
        <v>1</v>
      </c>
    </row>
    <row r="1958" spans="2:6" x14ac:dyDescent="0.3">
      <c r="B1958" t="s">
        <v>1418</v>
      </c>
      <c r="D1958">
        <v>223</v>
      </c>
      <c r="E1958">
        <v>46208</v>
      </c>
      <c r="F1958">
        <v>1</v>
      </c>
    </row>
    <row r="1959" spans="2:6" x14ac:dyDescent="0.3">
      <c r="B1959" t="s">
        <v>271</v>
      </c>
      <c r="D1959">
        <v>225</v>
      </c>
      <c r="E1959">
        <v>256</v>
      </c>
      <c r="F1959">
        <v>1</v>
      </c>
    </row>
    <row r="1960" spans="2:6" x14ac:dyDescent="0.3">
      <c r="B1960" t="s">
        <v>1419</v>
      </c>
      <c r="D1960">
        <v>225</v>
      </c>
      <c r="E1960">
        <v>11008</v>
      </c>
      <c r="F1960">
        <v>1</v>
      </c>
    </row>
    <row r="1961" spans="2:6" x14ac:dyDescent="0.3">
      <c r="B1961" t="s">
        <v>1420</v>
      </c>
      <c r="D1961">
        <v>227</v>
      </c>
      <c r="E1961">
        <v>27264</v>
      </c>
      <c r="F1961">
        <v>1</v>
      </c>
    </row>
    <row r="1962" spans="2:6" x14ac:dyDescent="0.3">
      <c r="B1962" t="s">
        <v>1421</v>
      </c>
      <c r="D1962">
        <v>244</v>
      </c>
      <c r="E1962">
        <v>44544</v>
      </c>
      <c r="F1962">
        <v>1</v>
      </c>
    </row>
    <row r="1963" spans="2:6" x14ac:dyDescent="0.3">
      <c r="B1963" t="s">
        <v>1422</v>
      </c>
      <c r="D1963">
        <v>238</v>
      </c>
      <c r="E1963">
        <v>33024</v>
      </c>
      <c r="F1963">
        <v>1</v>
      </c>
    </row>
    <row r="1964" spans="2:6" x14ac:dyDescent="0.3">
      <c r="B1964" t="s">
        <v>1423</v>
      </c>
      <c r="D1964">
        <v>236</v>
      </c>
      <c r="E1964">
        <v>52992</v>
      </c>
      <c r="F1964">
        <v>1</v>
      </c>
    </row>
    <row r="1965" spans="2:6" x14ac:dyDescent="0.3">
      <c r="B1965" t="s">
        <v>1424</v>
      </c>
      <c r="D1965">
        <v>243</v>
      </c>
      <c r="E1965">
        <v>23552</v>
      </c>
      <c r="F1965">
        <v>1</v>
      </c>
    </row>
    <row r="1966" spans="2:6" x14ac:dyDescent="0.3">
      <c r="B1966" t="s">
        <v>1425</v>
      </c>
      <c r="D1966">
        <v>246</v>
      </c>
      <c r="E1966">
        <v>54016</v>
      </c>
      <c r="F1966">
        <v>1</v>
      </c>
    </row>
    <row r="1967" spans="2:6" x14ac:dyDescent="0.3">
      <c r="B1967" t="s">
        <v>1426</v>
      </c>
      <c r="D1967">
        <v>246</v>
      </c>
      <c r="E1967">
        <v>48640</v>
      </c>
      <c r="F1967">
        <v>1</v>
      </c>
    </row>
    <row r="1968" spans="2:6" x14ac:dyDescent="0.3">
      <c r="B1968" t="s">
        <v>1427</v>
      </c>
      <c r="D1968">
        <v>244</v>
      </c>
      <c r="E1968">
        <v>10240</v>
      </c>
      <c r="F1968">
        <v>1</v>
      </c>
    </row>
    <row r="1969" spans="2:6" x14ac:dyDescent="0.3">
      <c r="B1969" t="s">
        <v>1428</v>
      </c>
      <c r="D1969">
        <v>240</v>
      </c>
      <c r="E1969">
        <v>63744</v>
      </c>
      <c r="F1969">
        <v>1</v>
      </c>
    </row>
    <row r="1970" spans="2:6" x14ac:dyDescent="0.3">
      <c r="B1970" t="s">
        <v>1429</v>
      </c>
      <c r="D1970">
        <v>240</v>
      </c>
      <c r="E1970">
        <v>5120</v>
      </c>
      <c r="F1970">
        <v>1</v>
      </c>
    </row>
    <row r="1971" spans="2:6" x14ac:dyDescent="0.3">
      <c r="B1971" t="s">
        <v>1430</v>
      </c>
      <c r="D1971">
        <v>244</v>
      </c>
      <c r="E1971">
        <v>7680</v>
      </c>
      <c r="F1971">
        <v>1</v>
      </c>
    </row>
    <row r="1972" spans="2:6" x14ac:dyDescent="0.3">
      <c r="B1972" t="s">
        <v>1431</v>
      </c>
      <c r="D1972">
        <v>244</v>
      </c>
      <c r="E1972">
        <v>14336</v>
      </c>
      <c r="F1972">
        <v>1</v>
      </c>
    </row>
    <row r="1973" spans="2:6" x14ac:dyDescent="0.3">
      <c r="B1973" t="s">
        <v>303</v>
      </c>
      <c r="D1973">
        <v>243</v>
      </c>
      <c r="E1973">
        <v>16896</v>
      </c>
      <c r="F1973">
        <v>1</v>
      </c>
    </row>
    <row r="1974" spans="2:6" x14ac:dyDescent="0.3">
      <c r="B1974" t="s">
        <v>1432</v>
      </c>
      <c r="D1974">
        <v>240</v>
      </c>
      <c r="E1974">
        <v>36352</v>
      </c>
      <c r="F1974">
        <v>1</v>
      </c>
    </row>
    <row r="1975" spans="2:6" x14ac:dyDescent="0.3">
      <c r="B1975" t="s">
        <v>1433</v>
      </c>
      <c r="D1975">
        <v>237</v>
      </c>
      <c r="E1975">
        <v>25856</v>
      </c>
      <c r="F1975">
        <v>1</v>
      </c>
    </row>
    <row r="1976" spans="2:6" x14ac:dyDescent="0.3">
      <c r="B1976" t="s">
        <v>1434</v>
      </c>
      <c r="D1976">
        <v>236</v>
      </c>
      <c r="E1976">
        <v>15360</v>
      </c>
      <c r="F1976">
        <v>1</v>
      </c>
    </row>
    <row r="1977" spans="2:6" x14ac:dyDescent="0.3">
      <c r="B1977" t="s">
        <v>1435</v>
      </c>
      <c r="D1977">
        <v>234</v>
      </c>
      <c r="E1977">
        <v>21248</v>
      </c>
      <c r="F1977">
        <v>1</v>
      </c>
    </row>
    <row r="1978" spans="2:6" x14ac:dyDescent="0.3">
      <c r="B1978" t="s">
        <v>1436</v>
      </c>
      <c r="D1978">
        <v>237</v>
      </c>
      <c r="E1978">
        <v>25344</v>
      </c>
      <c r="F1978">
        <v>1</v>
      </c>
    </row>
    <row r="1979" spans="2:6" x14ac:dyDescent="0.3">
      <c r="B1979" t="s">
        <v>1437</v>
      </c>
      <c r="D1979">
        <v>232</v>
      </c>
      <c r="E1979">
        <v>29440</v>
      </c>
      <c r="F1979">
        <v>1</v>
      </c>
    </row>
    <row r="1980" spans="2:6" x14ac:dyDescent="0.3">
      <c r="B1980" t="s">
        <v>1438</v>
      </c>
      <c r="D1980">
        <v>232</v>
      </c>
      <c r="E1980">
        <v>3328</v>
      </c>
      <c r="F1980">
        <v>1</v>
      </c>
    </row>
    <row r="1981" spans="2:6" x14ac:dyDescent="0.3">
      <c r="B1981" t="s">
        <v>1439</v>
      </c>
      <c r="D1981">
        <v>235</v>
      </c>
      <c r="E1981">
        <v>18432</v>
      </c>
      <c r="F1981">
        <v>1</v>
      </c>
    </row>
    <row r="1982" spans="2:6" x14ac:dyDescent="0.3">
      <c r="B1982" t="s">
        <v>1440</v>
      </c>
      <c r="D1982">
        <v>232</v>
      </c>
      <c r="E1982">
        <v>18944</v>
      </c>
      <c r="F1982">
        <v>1</v>
      </c>
    </row>
    <row r="1983" spans="2:6" x14ac:dyDescent="0.3">
      <c r="B1983" t="s">
        <v>1441</v>
      </c>
      <c r="D1983">
        <v>232</v>
      </c>
      <c r="E1983">
        <v>33792</v>
      </c>
      <c r="F1983">
        <v>1</v>
      </c>
    </row>
    <row r="1984" spans="2:6" x14ac:dyDescent="0.3">
      <c r="B1984" t="s">
        <v>1442</v>
      </c>
      <c r="D1984">
        <v>228</v>
      </c>
      <c r="E1984">
        <v>1024</v>
      </c>
      <c r="F1984">
        <v>1</v>
      </c>
    </row>
    <row r="1985" spans="2:6" x14ac:dyDescent="0.3">
      <c r="B1985" t="s">
        <v>1443</v>
      </c>
      <c r="D1985">
        <v>230</v>
      </c>
      <c r="E1985">
        <v>1024</v>
      </c>
      <c r="F1985">
        <v>1</v>
      </c>
    </row>
    <row r="1986" spans="2:6" x14ac:dyDescent="0.3">
      <c r="B1986" t="s">
        <v>1444</v>
      </c>
      <c r="D1986">
        <v>230</v>
      </c>
      <c r="E1986">
        <v>4608</v>
      </c>
      <c r="F1986">
        <v>1</v>
      </c>
    </row>
    <row r="1987" spans="2:6" x14ac:dyDescent="0.3">
      <c r="B1987" t="s">
        <v>1445</v>
      </c>
      <c r="D1987">
        <v>227</v>
      </c>
      <c r="E1987">
        <v>32384</v>
      </c>
      <c r="F1987">
        <v>1</v>
      </c>
    </row>
    <row r="1988" spans="2:6" x14ac:dyDescent="0.3">
      <c r="B1988" t="s">
        <v>1446</v>
      </c>
      <c r="D1988">
        <v>220</v>
      </c>
      <c r="E1988">
        <v>45184</v>
      </c>
      <c r="F1988">
        <v>1</v>
      </c>
    </row>
    <row r="1989" spans="2:6" x14ac:dyDescent="0.3">
      <c r="B1989" t="s">
        <v>1447</v>
      </c>
      <c r="D1989">
        <v>228</v>
      </c>
      <c r="E1989">
        <v>36992</v>
      </c>
      <c r="F1989">
        <v>1</v>
      </c>
    </row>
    <row r="1990" spans="2:6" x14ac:dyDescent="0.3">
      <c r="B1990" t="s">
        <v>1448</v>
      </c>
      <c r="D1990">
        <v>232</v>
      </c>
      <c r="E1990">
        <v>51968</v>
      </c>
      <c r="F1990">
        <v>1</v>
      </c>
    </row>
    <row r="1991" spans="2:6" x14ac:dyDescent="0.3">
      <c r="B1991" t="s">
        <v>1449</v>
      </c>
      <c r="D1991">
        <v>232</v>
      </c>
      <c r="E1991">
        <v>46848</v>
      </c>
      <c r="F1991">
        <v>1</v>
      </c>
    </row>
    <row r="1992" spans="2:6" x14ac:dyDescent="0.3">
      <c r="B1992" t="s">
        <v>1450</v>
      </c>
      <c r="D1992">
        <v>222</v>
      </c>
      <c r="E1992">
        <v>4608</v>
      </c>
      <c r="F1992">
        <v>1</v>
      </c>
    </row>
    <row r="1993" spans="2:6" x14ac:dyDescent="0.3">
      <c r="B1993" t="s">
        <v>1451</v>
      </c>
      <c r="D1993">
        <v>224</v>
      </c>
      <c r="E1993">
        <v>15232</v>
      </c>
      <c r="F1993">
        <v>1</v>
      </c>
    </row>
    <row r="1994" spans="2:6" x14ac:dyDescent="0.3">
      <c r="B1994" t="s">
        <v>1452</v>
      </c>
      <c r="D1994">
        <v>220</v>
      </c>
      <c r="E1994">
        <v>52352</v>
      </c>
      <c r="F1994">
        <v>1</v>
      </c>
    </row>
    <row r="1995" spans="2:6" x14ac:dyDescent="0.3">
      <c r="B1995" t="s">
        <v>1453</v>
      </c>
      <c r="D1995">
        <v>224</v>
      </c>
      <c r="E1995">
        <v>21632</v>
      </c>
      <c r="F1995">
        <v>1</v>
      </c>
    </row>
    <row r="1996" spans="2:6" x14ac:dyDescent="0.3">
      <c r="B1996" t="s">
        <v>1454</v>
      </c>
      <c r="D1996">
        <v>224</v>
      </c>
      <c r="E1996">
        <v>46592</v>
      </c>
      <c r="F1996">
        <v>1</v>
      </c>
    </row>
    <row r="1997" spans="2:6" x14ac:dyDescent="0.3">
      <c r="B1997" t="s">
        <v>1455</v>
      </c>
      <c r="D1997">
        <v>231</v>
      </c>
      <c r="E1997">
        <v>46592</v>
      </c>
      <c r="F1997">
        <v>1</v>
      </c>
    </row>
    <row r="1998" spans="2:6" x14ac:dyDescent="0.3">
      <c r="B1998" t="s">
        <v>1456</v>
      </c>
      <c r="D1998">
        <v>227</v>
      </c>
      <c r="E1998">
        <v>48896</v>
      </c>
      <c r="F1998">
        <v>1</v>
      </c>
    </row>
    <row r="1999" spans="2:6" x14ac:dyDescent="0.3">
      <c r="B1999" t="s">
        <v>1457</v>
      </c>
      <c r="D1999">
        <v>228</v>
      </c>
      <c r="E1999">
        <v>59136</v>
      </c>
      <c r="F1999">
        <v>1</v>
      </c>
    </row>
    <row r="2000" spans="2:6" x14ac:dyDescent="0.3">
      <c r="B2000" t="s">
        <v>1458</v>
      </c>
      <c r="D2000">
        <v>225</v>
      </c>
      <c r="E2000">
        <v>63232</v>
      </c>
      <c r="F2000">
        <v>1</v>
      </c>
    </row>
    <row r="2001" spans="2:6" x14ac:dyDescent="0.3">
      <c r="B2001" t="s">
        <v>1459</v>
      </c>
      <c r="D2001">
        <v>223</v>
      </c>
      <c r="E2001">
        <v>52992</v>
      </c>
      <c r="F2001">
        <v>1</v>
      </c>
    </row>
    <row r="2002" spans="2:6" x14ac:dyDescent="0.3">
      <c r="B2002" t="s">
        <v>1460</v>
      </c>
      <c r="D2002">
        <v>223</v>
      </c>
      <c r="E2002">
        <v>14592</v>
      </c>
      <c r="F2002">
        <v>1</v>
      </c>
    </row>
    <row r="2003" spans="2:6" x14ac:dyDescent="0.3">
      <c r="B2003" t="s">
        <v>1461</v>
      </c>
      <c r="D2003">
        <v>226</v>
      </c>
      <c r="E2003">
        <v>30720</v>
      </c>
      <c r="F2003">
        <v>1</v>
      </c>
    </row>
    <row r="2004" spans="2:6" x14ac:dyDescent="0.3">
      <c r="B2004" t="s">
        <v>1462</v>
      </c>
      <c r="D2004">
        <v>224</v>
      </c>
      <c r="E2004">
        <v>16640</v>
      </c>
      <c r="F2004">
        <v>1</v>
      </c>
    </row>
    <row r="2005" spans="2:6" x14ac:dyDescent="0.3">
      <c r="B2005" t="s">
        <v>1451</v>
      </c>
      <c r="D2005">
        <v>224</v>
      </c>
      <c r="E2005">
        <v>15232</v>
      </c>
      <c r="F2005">
        <v>1</v>
      </c>
    </row>
    <row r="2006" spans="2:6" x14ac:dyDescent="0.3">
      <c r="B2006" t="s">
        <v>1463</v>
      </c>
      <c r="D2006">
        <v>225</v>
      </c>
      <c r="E2006">
        <v>39936</v>
      </c>
      <c r="F2006">
        <v>1</v>
      </c>
    </row>
    <row r="2007" spans="2:6" x14ac:dyDescent="0.3">
      <c r="B2007" t="s">
        <v>1464</v>
      </c>
      <c r="D2007">
        <v>230</v>
      </c>
      <c r="E2007">
        <v>0</v>
      </c>
      <c r="F2007">
        <v>1</v>
      </c>
    </row>
    <row r="2008" spans="2:6" x14ac:dyDescent="0.3">
      <c r="B2008" t="s">
        <v>1465</v>
      </c>
      <c r="D2008">
        <v>228</v>
      </c>
      <c r="E2008">
        <v>23936</v>
      </c>
      <c r="F2008">
        <v>1</v>
      </c>
    </row>
    <row r="2009" spans="2:6" x14ac:dyDescent="0.3">
      <c r="B2009" t="s">
        <v>1466</v>
      </c>
      <c r="D2009">
        <v>228</v>
      </c>
      <c r="E2009">
        <v>2304</v>
      </c>
      <c r="F2009">
        <v>1</v>
      </c>
    </row>
    <row r="2010" spans="2:6" x14ac:dyDescent="0.3">
      <c r="B2010" t="s">
        <v>1467</v>
      </c>
      <c r="D2010">
        <v>230</v>
      </c>
      <c r="E2010">
        <v>28672</v>
      </c>
      <c r="F2010">
        <v>1</v>
      </c>
    </row>
    <row r="2011" spans="2:6" x14ac:dyDescent="0.3">
      <c r="B2011" t="s">
        <v>1468</v>
      </c>
      <c r="D2011">
        <v>230</v>
      </c>
      <c r="E2011">
        <v>41856</v>
      </c>
      <c r="F2011">
        <v>1</v>
      </c>
    </row>
    <row r="2012" spans="2:6" x14ac:dyDescent="0.3">
      <c r="B2012" t="s">
        <v>1469</v>
      </c>
      <c r="D2012">
        <v>223</v>
      </c>
      <c r="E2012">
        <v>7168</v>
      </c>
      <c r="F2012">
        <v>1</v>
      </c>
    </row>
    <row r="2013" spans="2:6" x14ac:dyDescent="0.3">
      <c r="B2013" t="s">
        <v>1470</v>
      </c>
      <c r="D2013">
        <v>218</v>
      </c>
      <c r="E2013">
        <v>10752</v>
      </c>
      <c r="F2013">
        <v>1</v>
      </c>
    </row>
    <row r="2014" spans="2:6" x14ac:dyDescent="0.3">
      <c r="B2014" t="s">
        <v>1471</v>
      </c>
      <c r="D2014">
        <v>224</v>
      </c>
      <c r="E2014">
        <v>28416</v>
      </c>
      <c r="F2014">
        <v>1</v>
      </c>
    </row>
    <row r="2015" spans="2:6" x14ac:dyDescent="0.3">
      <c r="B2015" t="s">
        <v>1472</v>
      </c>
      <c r="D2015">
        <v>220</v>
      </c>
      <c r="E2015">
        <v>41216</v>
      </c>
      <c r="F2015">
        <v>1</v>
      </c>
    </row>
    <row r="2016" spans="2:6" x14ac:dyDescent="0.3">
      <c r="B2016" t="s">
        <v>1473</v>
      </c>
      <c r="D2016">
        <v>227</v>
      </c>
      <c r="E2016">
        <v>64640</v>
      </c>
      <c r="F2016">
        <v>1</v>
      </c>
    </row>
    <row r="2017" spans="2:6" x14ac:dyDescent="0.3">
      <c r="B2017" t="s">
        <v>1474</v>
      </c>
      <c r="D2017">
        <v>218</v>
      </c>
      <c r="E2017">
        <v>27136</v>
      </c>
      <c r="F2017">
        <v>1</v>
      </c>
    </row>
    <row r="2018" spans="2:6" x14ac:dyDescent="0.3">
      <c r="B2018" t="s">
        <v>1475</v>
      </c>
      <c r="D2018">
        <v>219</v>
      </c>
      <c r="E2018">
        <v>58048</v>
      </c>
      <c r="F2018">
        <v>1</v>
      </c>
    </row>
    <row r="2019" spans="2:6" x14ac:dyDescent="0.3">
      <c r="B2019" t="s">
        <v>542</v>
      </c>
      <c r="D2019">
        <v>222</v>
      </c>
      <c r="E2019">
        <v>18432</v>
      </c>
      <c r="F2019">
        <v>1</v>
      </c>
    </row>
    <row r="2020" spans="2:6" x14ac:dyDescent="0.3">
      <c r="B2020" t="s">
        <v>1476</v>
      </c>
      <c r="D2020">
        <v>217</v>
      </c>
      <c r="E2020">
        <v>64768</v>
      </c>
      <c r="F2020">
        <v>1</v>
      </c>
    </row>
    <row r="2021" spans="2:6" x14ac:dyDescent="0.3">
      <c r="B2021" t="s">
        <v>1477</v>
      </c>
      <c r="D2021">
        <v>219</v>
      </c>
      <c r="E2021">
        <v>55040</v>
      </c>
      <c r="F2021">
        <v>1</v>
      </c>
    </row>
    <row r="2022" spans="2:6" x14ac:dyDescent="0.3">
      <c r="B2022" t="s">
        <v>1478</v>
      </c>
      <c r="D2022">
        <v>219</v>
      </c>
      <c r="E2022">
        <v>4096</v>
      </c>
      <c r="F2022">
        <v>1</v>
      </c>
    </row>
    <row r="2023" spans="2:6" x14ac:dyDescent="0.3">
      <c r="B2023" t="s">
        <v>1479</v>
      </c>
      <c r="D2023">
        <v>219</v>
      </c>
      <c r="E2023">
        <v>17792</v>
      </c>
      <c r="F2023">
        <v>1</v>
      </c>
    </row>
    <row r="2024" spans="2:6" x14ac:dyDescent="0.3">
      <c r="B2024" t="s">
        <v>1480</v>
      </c>
      <c r="D2024">
        <v>218</v>
      </c>
      <c r="E2024">
        <v>24576</v>
      </c>
      <c r="F2024">
        <v>1</v>
      </c>
    </row>
    <row r="2025" spans="2:6" x14ac:dyDescent="0.3">
      <c r="B2025" t="s">
        <v>1481</v>
      </c>
      <c r="D2025">
        <v>218</v>
      </c>
      <c r="E2025">
        <v>59456</v>
      </c>
      <c r="F2025">
        <v>1</v>
      </c>
    </row>
    <row r="2026" spans="2:6" x14ac:dyDescent="0.3">
      <c r="B2026" t="s">
        <v>1482</v>
      </c>
      <c r="D2026">
        <v>219</v>
      </c>
      <c r="E2026">
        <v>52352</v>
      </c>
      <c r="F2026">
        <v>1</v>
      </c>
    </row>
    <row r="2027" spans="2:6" x14ac:dyDescent="0.3">
      <c r="B2027" t="s">
        <v>1483</v>
      </c>
      <c r="D2027">
        <v>212</v>
      </c>
      <c r="E2027">
        <v>12416</v>
      </c>
      <c r="F2027">
        <v>1</v>
      </c>
    </row>
    <row r="2028" spans="2:6" x14ac:dyDescent="0.3">
      <c r="B2028" t="s">
        <v>1484</v>
      </c>
      <c r="D2028">
        <v>211</v>
      </c>
      <c r="E2028">
        <v>8128</v>
      </c>
      <c r="F2028">
        <v>1</v>
      </c>
    </row>
    <row r="2029" spans="2:6" x14ac:dyDescent="0.3">
      <c r="B2029" t="s">
        <v>1485</v>
      </c>
      <c r="D2029">
        <v>210</v>
      </c>
      <c r="E2029">
        <v>57600</v>
      </c>
      <c r="F2029">
        <v>1</v>
      </c>
    </row>
    <row r="2030" spans="2:6" x14ac:dyDescent="0.3">
      <c r="B2030" t="s">
        <v>1486</v>
      </c>
      <c r="D2030">
        <v>206</v>
      </c>
      <c r="E2030">
        <v>5248</v>
      </c>
      <c r="F2030">
        <v>1</v>
      </c>
    </row>
    <row r="2031" spans="2:6" x14ac:dyDescent="0.3">
      <c r="B2031" t="s">
        <v>1487</v>
      </c>
      <c r="D2031">
        <v>204</v>
      </c>
      <c r="E2031">
        <v>56832</v>
      </c>
      <c r="F2031">
        <v>1</v>
      </c>
    </row>
    <row r="2032" spans="2:6" x14ac:dyDescent="0.3">
      <c r="B2032" t="s">
        <v>1488</v>
      </c>
      <c r="D2032">
        <v>204</v>
      </c>
      <c r="E2032">
        <v>4480</v>
      </c>
      <c r="F2032">
        <v>1</v>
      </c>
    </row>
    <row r="2033" spans="2:6" x14ac:dyDescent="0.3">
      <c r="B2033" t="s">
        <v>1489</v>
      </c>
      <c r="D2033">
        <v>200</v>
      </c>
      <c r="E2033">
        <v>48096</v>
      </c>
      <c r="F2033">
        <v>1</v>
      </c>
    </row>
    <row r="2034" spans="2:6" x14ac:dyDescent="0.3">
      <c r="B2034" t="s">
        <v>1490</v>
      </c>
      <c r="D2034">
        <v>194</v>
      </c>
      <c r="E2034">
        <v>2240</v>
      </c>
      <c r="F2034">
        <v>1</v>
      </c>
    </row>
    <row r="2035" spans="2:6" x14ac:dyDescent="0.3">
      <c r="B2035" t="s">
        <v>1491</v>
      </c>
      <c r="D2035">
        <v>190</v>
      </c>
      <c r="E2035">
        <v>57024</v>
      </c>
      <c r="F2035">
        <v>1</v>
      </c>
    </row>
    <row r="2036" spans="2:6" x14ac:dyDescent="0.3">
      <c r="B2036" t="s">
        <v>1492</v>
      </c>
      <c r="D2036">
        <v>187</v>
      </c>
      <c r="E2036">
        <v>45984</v>
      </c>
      <c r="F2036">
        <v>1</v>
      </c>
    </row>
    <row r="2037" spans="2:6" x14ac:dyDescent="0.3">
      <c r="B2037" t="s">
        <v>1493</v>
      </c>
      <c r="D2037">
        <v>189</v>
      </c>
      <c r="E2037">
        <v>64832</v>
      </c>
      <c r="F2037">
        <v>1</v>
      </c>
    </row>
    <row r="2038" spans="2:6" x14ac:dyDescent="0.3">
      <c r="B2038" t="s">
        <v>1494</v>
      </c>
      <c r="D2038">
        <v>193</v>
      </c>
      <c r="E2038">
        <v>64064</v>
      </c>
      <c r="F2038">
        <v>1</v>
      </c>
    </row>
    <row r="2039" spans="2:6" x14ac:dyDescent="0.3">
      <c r="B2039" t="s">
        <v>1495</v>
      </c>
      <c r="D2039">
        <v>188</v>
      </c>
      <c r="E2039">
        <v>50896</v>
      </c>
      <c r="F2039">
        <v>1</v>
      </c>
    </row>
    <row r="2040" spans="2:6" x14ac:dyDescent="0.3">
      <c r="B2040" t="s">
        <v>1496</v>
      </c>
      <c r="D2040">
        <v>187</v>
      </c>
      <c r="E2040">
        <v>45664</v>
      </c>
      <c r="F2040">
        <v>1</v>
      </c>
    </row>
    <row r="2041" spans="2:6" x14ac:dyDescent="0.3">
      <c r="B2041" t="s">
        <v>1497</v>
      </c>
      <c r="D2041">
        <v>184</v>
      </c>
      <c r="E2041">
        <v>35760</v>
      </c>
      <c r="F2041">
        <v>1</v>
      </c>
    </row>
    <row r="2042" spans="2:6" x14ac:dyDescent="0.3">
      <c r="B2042" t="s">
        <v>1498</v>
      </c>
      <c r="D2042">
        <v>186</v>
      </c>
      <c r="E2042">
        <v>46464</v>
      </c>
      <c r="F2042">
        <v>1</v>
      </c>
    </row>
    <row r="2043" spans="2:6" x14ac:dyDescent="0.3">
      <c r="B2043" t="s">
        <v>1499</v>
      </c>
      <c r="D2043">
        <v>183</v>
      </c>
      <c r="E2043">
        <v>36048</v>
      </c>
      <c r="F2043">
        <v>1</v>
      </c>
    </row>
    <row r="2044" spans="2:6" x14ac:dyDescent="0.3">
      <c r="B2044" t="s">
        <v>1500</v>
      </c>
      <c r="D2044">
        <v>176</v>
      </c>
      <c r="E2044">
        <v>32184</v>
      </c>
      <c r="F2044">
        <v>1</v>
      </c>
    </row>
    <row r="2045" spans="2:6" x14ac:dyDescent="0.3">
      <c r="B2045" t="s">
        <v>1501</v>
      </c>
      <c r="D2045">
        <v>172</v>
      </c>
      <c r="E2045">
        <v>21696</v>
      </c>
      <c r="F2045">
        <v>1</v>
      </c>
    </row>
    <row r="2046" spans="2:6" x14ac:dyDescent="0.3">
      <c r="B2046" t="s">
        <v>1502</v>
      </c>
      <c r="D2046">
        <v>167</v>
      </c>
      <c r="E2046">
        <v>16496</v>
      </c>
      <c r="F2046">
        <v>1</v>
      </c>
    </row>
    <row r="2047" spans="2:6" x14ac:dyDescent="0.3">
      <c r="B2047" t="s">
        <v>1503</v>
      </c>
      <c r="D2047">
        <v>163</v>
      </c>
      <c r="E2047">
        <v>12148</v>
      </c>
      <c r="F2047">
        <v>1</v>
      </c>
    </row>
    <row r="2048" spans="2:6" x14ac:dyDescent="0.3">
      <c r="B2048" t="s">
        <v>1504</v>
      </c>
      <c r="D2048">
        <v>159</v>
      </c>
      <c r="E2048">
        <v>11324</v>
      </c>
      <c r="F2048">
        <v>1</v>
      </c>
    </row>
    <row r="2049" spans="2:6" x14ac:dyDescent="0.3">
      <c r="B2049" t="s">
        <v>1505</v>
      </c>
      <c r="D2049">
        <v>153</v>
      </c>
      <c r="E2049">
        <v>7086</v>
      </c>
      <c r="F2049">
        <v>1</v>
      </c>
    </row>
    <row r="2050" spans="2:6" x14ac:dyDescent="0.3">
      <c r="B2050" t="s">
        <v>1506</v>
      </c>
      <c r="D2050">
        <v>142</v>
      </c>
      <c r="E2050">
        <v>3689</v>
      </c>
      <c r="F2050">
        <v>1</v>
      </c>
    </row>
    <row r="2051" spans="2:6" x14ac:dyDescent="0.3">
      <c r="B2051" t="s">
        <v>1507</v>
      </c>
      <c r="D2051">
        <v>135</v>
      </c>
      <c r="E2051">
        <v>2509</v>
      </c>
      <c r="F2051">
        <v>1</v>
      </c>
    </row>
    <row r="2052" spans="2:6" x14ac:dyDescent="0.3">
      <c r="B2052" t="s">
        <v>1508</v>
      </c>
      <c r="D2052">
        <v>122</v>
      </c>
      <c r="E2052">
        <v>1317</v>
      </c>
      <c r="F2052">
        <v>1</v>
      </c>
    </row>
    <row r="2053" spans="2:6" x14ac:dyDescent="0.3">
      <c r="B2053" t="s">
        <v>1509</v>
      </c>
      <c r="D2053">
        <v>112</v>
      </c>
      <c r="E2053">
        <v>640</v>
      </c>
      <c r="F2053">
        <v>1</v>
      </c>
    </row>
    <row r="2054" spans="2:6" x14ac:dyDescent="0.3">
      <c r="B2054" t="s">
        <v>1510</v>
      </c>
      <c r="D2054">
        <v>99</v>
      </c>
      <c r="E2054">
        <v>348</v>
      </c>
      <c r="F2054">
        <v>1</v>
      </c>
    </row>
    <row r="2055" spans="2:6" x14ac:dyDescent="0.3">
      <c r="B2055" t="s">
        <v>1511</v>
      </c>
      <c r="D2055">
        <v>92</v>
      </c>
      <c r="E2055">
        <v>247</v>
      </c>
      <c r="F2055">
        <v>1</v>
      </c>
    </row>
    <row r="2056" spans="2:6" x14ac:dyDescent="0.3">
      <c r="B2056" t="s">
        <v>1512</v>
      </c>
      <c r="D2056">
        <v>83</v>
      </c>
      <c r="E2056">
        <v>158</v>
      </c>
      <c r="F2056">
        <v>1</v>
      </c>
    </row>
    <row r="2057" spans="2:6" x14ac:dyDescent="0.3">
      <c r="B2057" t="s">
        <v>1513</v>
      </c>
      <c r="D2057">
        <v>56</v>
      </c>
      <c r="E2057">
        <v>83</v>
      </c>
      <c r="F2057">
        <v>1</v>
      </c>
    </row>
    <row r="2058" spans="2:6" x14ac:dyDescent="0.3">
      <c r="B2058" t="s">
        <v>1514</v>
      </c>
      <c r="D2058">
        <v>31</v>
      </c>
      <c r="E2058">
        <v>35</v>
      </c>
      <c r="F2058">
        <v>1</v>
      </c>
    </row>
    <row r="2059" spans="2:6" x14ac:dyDescent="0.3">
      <c r="B2059" t="s">
        <v>1515</v>
      </c>
      <c r="D2059">
        <v>10</v>
      </c>
      <c r="E2059">
        <v>12</v>
      </c>
      <c r="F2059">
        <v>1</v>
      </c>
    </row>
    <row r="2060" spans="2:6" x14ac:dyDescent="0.3">
      <c r="B2060" t="s">
        <v>1516</v>
      </c>
      <c r="D2060">
        <v>5</v>
      </c>
      <c r="E2060">
        <v>4</v>
      </c>
      <c r="F2060">
        <v>1</v>
      </c>
    </row>
    <row r="2061" spans="2:6" x14ac:dyDescent="0.3">
      <c r="B2061" t="s">
        <v>92</v>
      </c>
      <c r="D2061">
        <v>2</v>
      </c>
      <c r="E2061">
        <v>2</v>
      </c>
      <c r="F2061">
        <v>1</v>
      </c>
    </row>
    <row r="2062" spans="2:6" x14ac:dyDescent="0.3">
      <c r="B2062" t="s">
        <v>18</v>
      </c>
      <c r="D2062">
        <v>1</v>
      </c>
      <c r="E2062">
        <v>0</v>
      </c>
      <c r="F2062">
        <v>1</v>
      </c>
    </row>
    <row r="2063" spans="2:6" x14ac:dyDescent="0.3">
      <c r="B2063" t="s">
        <v>18</v>
      </c>
      <c r="D2063">
        <v>1</v>
      </c>
      <c r="E2063">
        <v>0</v>
      </c>
      <c r="F2063">
        <v>1</v>
      </c>
    </row>
    <row r="2064" spans="2:6" x14ac:dyDescent="0.3">
      <c r="B2064" t="s">
        <v>1517</v>
      </c>
      <c r="D2064">
        <v>108</v>
      </c>
      <c r="E2064">
        <v>441</v>
      </c>
      <c r="F2064">
        <v>1</v>
      </c>
    </row>
    <row r="2065" spans="2:6" x14ac:dyDescent="0.3">
      <c r="B2065" t="s">
        <v>11</v>
      </c>
      <c r="D2065">
        <v>0</v>
      </c>
      <c r="E2065">
        <v>0</v>
      </c>
      <c r="F2065">
        <v>1</v>
      </c>
    </row>
    <row r="2066" spans="2:6" x14ac:dyDescent="0.3">
      <c r="B2066" t="s">
        <v>11</v>
      </c>
      <c r="D2066">
        <v>0</v>
      </c>
      <c r="E2066">
        <v>0</v>
      </c>
      <c r="F2066">
        <v>1</v>
      </c>
    </row>
    <row r="2067" spans="2:6" x14ac:dyDescent="0.3">
      <c r="B2067" t="s">
        <v>11</v>
      </c>
      <c r="D2067">
        <v>0</v>
      </c>
      <c r="E2067">
        <v>0</v>
      </c>
      <c r="F2067">
        <v>1</v>
      </c>
    </row>
    <row r="2068" spans="2:6" x14ac:dyDescent="0.3">
      <c r="B2068" t="s">
        <v>11</v>
      </c>
      <c r="D2068">
        <v>0</v>
      </c>
      <c r="E2068">
        <v>0</v>
      </c>
      <c r="F2068">
        <v>1</v>
      </c>
    </row>
    <row r="2069" spans="2:6" x14ac:dyDescent="0.3">
      <c r="B2069" t="s">
        <v>11</v>
      </c>
      <c r="D2069">
        <v>0</v>
      </c>
      <c r="E2069">
        <v>0</v>
      </c>
      <c r="F2069">
        <v>1</v>
      </c>
    </row>
    <row r="2070" spans="2:6" x14ac:dyDescent="0.3">
      <c r="B2070" t="s">
        <v>11</v>
      </c>
      <c r="D2070">
        <v>0</v>
      </c>
      <c r="E2070">
        <v>0</v>
      </c>
      <c r="F2070">
        <v>1</v>
      </c>
    </row>
    <row r="2071" spans="2:6" x14ac:dyDescent="0.3">
      <c r="B2071" t="s">
        <v>11</v>
      </c>
      <c r="D2071">
        <v>0</v>
      </c>
      <c r="E2071">
        <v>0</v>
      </c>
      <c r="F2071">
        <v>1</v>
      </c>
    </row>
    <row r="2072" spans="2:6" x14ac:dyDescent="0.3">
      <c r="B2072" t="s">
        <v>11</v>
      </c>
      <c r="D2072">
        <v>0</v>
      </c>
      <c r="E2072">
        <v>0</v>
      </c>
      <c r="F2072">
        <v>1</v>
      </c>
    </row>
    <row r="2073" spans="2:6" x14ac:dyDescent="0.3">
      <c r="B2073" t="s">
        <v>11</v>
      </c>
      <c r="D2073">
        <v>0</v>
      </c>
      <c r="E2073">
        <v>0</v>
      </c>
      <c r="F2073">
        <v>1</v>
      </c>
    </row>
    <row r="2074" spans="2:6" x14ac:dyDescent="0.3">
      <c r="B2074" t="s">
        <v>11</v>
      </c>
      <c r="D2074">
        <v>0</v>
      </c>
      <c r="E2074">
        <v>0</v>
      </c>
      <c r="F2074">
        <v>1</v>
      </c>
    </row>
    <row r="2075" spans="2:6" x14ac:dyDescent="0.3">
      <c r="B2075" t="s">
        <v>11</v>
      </c>
      <c r="D2075">
        <v>0</v>
      </c>
      <c r="E2075">
        <v>0</v>
      </c>
      <c r="F2075">
        <v>1</v>
      </c>
    </row>
    <row r="2076" spans="2:6" x14ac:dyDescent="0.3">
      <c r="B2076" t="s">
        <v>11</v>
      </c>
      <c r="D2076">
        <v>0</v>
      </c>
      <c r="E2076">
        <v>0</v>
      </c>
      <c r="F2076">
        <v>1</v>
      </c>
    </row>
    <row r="2077" spans="2:6" x14ac:dyDescent="0.3">
      <c r="B2077" t="s">
        <v>11</v>
      </c>
      <c r="D2077">
        <v>0</v>
      </c>
      <c r="E2077">
        <v>0</v>
      </c>
      <c r="F2077">
        <v>1</v>
      </c>
    </row>
    <row r="2078" spans="2:6" x14ac:dyDescent="0.3">
      <c r="B2078" t="s">
        <v>11</v>
      </c>
      <c r="D2078">
        <v>0</v>
      </c>
      <c r="E2078">
        <v>0</v>
      </c>
      <c r="F2078">
        <v>1</v>
      </c>
    </row>
    <row r="2079" spans="2:6" x14ac:dyDescent="0.3">
      <c r="B2079" t="s">
        <v>11</v>
      </c>
      <c r="D2079">
        <v>0</v>
      </c>
      <c r="E2079">
        <v>0</v>
      </c>
      <c r="F2079">
        <v>1</v>
      </c>
    </row>
    <row r="2080" spans="2:6" x14ac:dyDescent="0.3">
      <c r="B2080" t="s">
        <v>11</v>
      </c>
      <c r="D2080">
        <v>0</v>
      </c>
      <c r="E2080">
        <v>0</v>
      </c>
      <c r="F2080">
        <v>1</v>
      </c>
    </row>
    <row r="2081" spans="2:6" x14ac:dyDescent="0.3">
      <c r="B2081" t="s">
        <v>11</v>
      </c>
      <c r="D2081">
        <v>0</v>
      </c>
      <c r="E2081">
        <v>0</v>
      </c>
      <c r="F2081">
        <v>1</v>
      </c>
    </row>
    <row r="2082" spans="2:6" x14ac:dyDescent="0.3">
      <c r="B2082" t="s">
        <v>11</v>
      </c>
      <c r="D2082">
        <v>0</v>
      </c>
      <c r="E2082">
        <v>0</v>
      </c>
      <c r="F2082">
        <v>1</v>
      </c>
    </row>
    <row r="2083" spans="2:6" x14ac:dyDescent="0.3">
      <c r="B2083" t="s">
        <v>11</v>
      </c>
      <c r="D2083">
        <v>0</v>
      </c>
      <c r="E2083">
        <v>0</v>
      </c>
      <c r="F2083">
        <v>1</v>
      </c>
    </row>
    <row r="2084" spans="2:6" x14ac:dyDescent="0.3">
      <c r="B2084" t="s">
        <v>11</v>
      </c>
      <c r="D2084">
        <v>0</v>
      </c>
      <c r="E2084">
        <v>0</v>
      </c>
      <c r="F2084">
        <v>1</v>
      </c>
    </row>
    <row r="2085" spans="2:6" x14ac:dyDescent="0.3">
      <c r="B2085" t="s">
        <v>11</v>
      </c>
      <c r="D2085">
        <v>0</v>
      </c>
      <c r="E2085">
        <v>0</v>
      </c>
      <c r="F2085">
        <v>1</v>
      </c>
    </row>
    <row r="2086" spans="2:6" x14ac:dyDescent="0.3">
      <c r="B2086" t="s">
        <v>11</v>
      </c>
      <c r="D2086">
        <v>0</v>
      </c>
      <c r="E2086">
        <v>0</v>
      </c>
      <c r="F2086">
        <v>1</v>
      </c>
    </row>
    <row r="2087" spans="2:6" x14ac:dyDescent="0.3">
      <c r="B2087" t="s">
        <v>11</v>
      </c>
      <c r="D2087">
        <v>0</v>
      </c>
      <c r="E2087">
        <v>0</v>
      </c>
      <c r="F2087">
        <v>1</v>
      </c>
    </row>
    <row r="2088" spans="2:6" x14ac:dyDescent="0.3">
      <c r="B2088" t="s">
        <v>11</v>
      </c>
      <c r="D2088">
        <v>0</v>
      </c>
      <c r="E2088">
        <v>0</v>
      </c>
      <c r="F2088">
        <v>1</v>
      </c>
    </row>
    <row r="2089" spans="2:6" x14ac:dyDescent="0.3">
      <c r="B2089" t="s">
        <v>11</v>
      </c>
      <c r="D2089">
        <v>0</v>
      </c>
      <c r="E2089">
        <v>0</v>
      </c>
      <c r="F2089">
        <v>1</v>
      </c>
    </row>
    <row r="2090" spans="2:6" x14ac:dyDescent="0.3">
      <c r="B2090" t="s">
        <v>11</v>
      </c>
      <c r="D2090">
        <v>0</v>
      </c>
      <c r="E2090">
        <v>0</v>
      </c>
      <c r="F2090">
        <v>1</v>
      </c>
    </row>
    <row r="2091" spans="2:6" x14ac:dyDescent="0.3">
      <c r="B2091" t="s">
        <v>11</v>
      </c>
      <c r="D2091">
        <v>0</v>
      </c>
      <c r="E2091">
        <v>0</v>
      </c>
      <c r="F2091">
        <v>1</v>
      </c>
    </row>
    <row r="2092" spans="2:6" x14ac:dyDescent="0.3">
      <c r="B2092" t="s">
        <v>11</v>
      </c>
      <c r="D2092">
        <v>0</v>
      </c>
      <c r="E2092">
        <v>0</v>
      </c>
      <c r="F2092">
        <v>1</v>
      </c>
    </row>
    <row r="2093" spans="2:6" x14ac:dyDescent="0.3">
      <c r="B2093" t="s">
        <v>11</v>
      </c>
      <c r="D2093">
        <v>0</v>
      </c>
      <c r="E2093">
        <v>0</v>
      </c>
      <c r="F2093">
        <v>1</v>
      </c>
    </row>
    <row r="2094" spans="2:6" x14ac:dyDescent="0.3">
      <c r="B2094" t="s">
        <v>11</v>
      </c>
      <c r="D2094">
        <v>0</v>
      </c>
      <c r="E2094">
        <v>0</v>
      </c>
      <c r="F2094">
        <v>1</v>
      </c>
    </row>
    <row r="2095" spans="2:6" x14ac:dyDescent="0.3">
      <c r="B2095" t="s">
        <v>11</v>
      </c>
      <c r="D2095">
        <v>0</v>
      </c>
      <c r="E2095">
        <v>0</v>
      </c>
      <c r="F2095">
        <v>1</v>
      </c>
    </row>
    <row r="2096" spans="2:6" x14ac:dyDescent="0.3">
      <c r="B2096" t="s">
        <v>11</v>
      </c>
      <c r="D2096">
        <v>0</v>
      </c>
      <c r="E2096">
        <v>0</v>
      </c>
      <c r="F2096">
        <v>1</v>
      </c>
    </row>
    <row r="2097" spans="2:6" x14ac:dyDescent="0.3">
      <c r="B2097" t="s">
        <v>11</v>
      </c>
      <c r="D2097">
        <v>0</v>
      </c>
      <c r="E2097">
        <v>0</v>
      </c>
      <c r="F2097">
        <v>1</v>
      </c>
    </row>
    <row r="2098" spans="2:6" x14ac:dyDescent="0.3">
      <c r="B2098" t="s">
        <v>11</v>
      </c>
      <c r="D2098">
        <v>0</v>
      </c>
      <c r="E2098">
        <v>0</v>
      </c>
      <c r="F2098">
        <v>1</v>
      </c>
    </row>
    <row r="2099" spans="2:6" x14ac:dyDescent="0.3">
      <c r="B2099" t="s">
        <v>11</v>
      </c>
      <c r="D2099">
        <v>0</v>
      </c>
      <c r="E2099">
        <v>0</v>
      </c>
      <c r="F2099">
        <v>1</v>
      </c>
    </row>
    <row r="2100" spans="2:6" x14ac:dyDescent="0.3">
      <c r="B2100" t="s">
        <v>11</v>
      </c>
      <c r="D2100">
        <v>0</v>
      </c>
      <c r="E2100">
        <v>0</v>
      </c>
      <c r="F2100">
        <v>1</v>
      </c>
    </row>
    <row r="2101" spans="2:6" x14ac:dyDescent="0.3">
      <c r="B2101" t="s">
        <v>11</v>
      </c>
      <c r="D2101">
        <v>0</v>
      </c>
      <c r="E2101">
        <v>0</v>
      </c>
      <c r="F2101">
        <v>1</v>
      </c>
    </row>
    <row r="2102" spans="2:6" x14ac:dyDescent="0.3">
      <c r="B2102" t="s">
        <v>11</v>
      </c>
      <c r="D2102">
        <v>0</v>
      </c>
      <c r="E2102">
        <v>0</v>
      </c>
      <c r="F2102">
        <v>1</v>
      </c>
    </row>
    <row r="2103" spans="2:6" x14ac:dyDescent="0.3">
      <c r="B2103" t="s">
        <v>11</v>
      </c>
      <c r="D2103">
        <v>0</v>
      </c>
      <c r="E2103">
        <v>0</v>
      </c>
      <c r="F2103">
        <v>1</v>
      </c>
    </row>
    <row r="2104" spans="2:6" x14ac:dyDescent="0.3">
      <c r="B2104" t="s">
        <v>11</v>
      </c>
      <c r="D2104">
        <v>0</v>
      </c>
      <c r="E2104">
        <v>0</v>
      </c>
      <c r="F2104">
        <v>1</v>
      </c>
    </row>
    <row r="2105" spans="2:6" x14ac:dyDescent="0.3">
      <c r="B2105" t="s">
        <v>11</v>
      </c>
      <c r="D2105">
        <v>0</v>
      </c>
      <c r="E2105">
        <v>0</v>
      </c>
      <c r="F2105">
        <v>1</v>
      </c>
    </row>
    <row r="2106" spans="2:6" x14ac:dyDescent="0.3">
      <c r="B2106" t="s">
        <v>11</v>
      </c>
      <c r="D2106">
        <v>0</v>
      </c>
      <c r="E2106">
        <v>0</v>
      </c>
      <c r="F2106">
        <v>1</v>
      </c>
    </row>
    <row r="2107" spans="2:6" x14ac:dyDescent="0.3">
      <c r="B2107" t="s">
        <v>11</v>
      </c>
      <c r="D2107">
        <v>0</v>
      </c>
      <c r="E2107">
        <v>0</v>
      </c>
      <c r="F2107">
        <v>1</v>
      </c>
    </row>
    <row r="2108" spans="2:6" x14ac:dyDescent="0.3">
      <c r="B2108" t="s">
        <v>11</v>
      </c>
      <c r="D2108">
        <v>0</v>
      </c>
      <c r="E2108">
        <v>0</v>
      </c>
      <c r="F2108">
        <v>1</v>
      </c>
    </row>
    <row r="2109" spans="2:6" x14ac:dyDescent="0.3">
      <c r="B2109" t="s">
        <v>11</v>
      </c>
      <c r="D2109">
        <v>0</v>
      </c>
      <c r="E2109">
        <v>0</v>
      </c>
      <c r="F2109">
        <v>1</v>
      </c>
    </row>
    <row r="2110" spans="2:6" x14ac:dyDescent="0.3">
      <c r="B2110" t="s">
        <v>11</v>
      </c>
      <c r="D2110">
        <v>0</v>
      </c>
      <c r="E2110">
        <v>0</v>
      </c>
      <c r="F2110">
        <v>1</v>
      </c>
    </row>
    <row r="2111" spans="2:6" x14ac:dyDescent="0.3">
      <c r="B2111" t="s">
        <v>11</v>
      </c>
      <c r="D2111">
        <v>0</v>
      </c>
      <c r="E2111">
        <v>0</v>
      </c>
      <c r="F2111">
        <v>1</v>
      </c>
    </row>
    <row r="2112" spans="2:6" x14ac:dyDescent="0.3">
      <c r="B2112" t="s">
        <v>11</v>
      </c>
      <c r="D2112">
        <v>0</v>
      </c>
      <c r="E2112">
        <v>0</v>
      </c>
      <c r="F2112">
        <v>1</v>
      </c>
    </row>
    <row r="2113" spans="2:6" x14ac:dyDescent="0.3">
      <c r="B2113" t="s">
        <v>11</v>
      </c>
      <c r="D2113">
        <v>0</v>
      </c>
      <c r="E2113">
        <v>0</v>
      </c>
      <c r="F2113">
        <v>1</v>
      </c>
    </row>
    <row r="2114" spans="2:6" x14ac:dyDescent="0.3">
      <c r="B2114" t="s">
        <v>11</v>
      </c>
      <c r="D2114">
        <v>0</v>
      </c>
      <c r="E2114">
        <v>0</v>
      </c>
      <c r="F2114">
        <v>1</v>
      </c>
    </row>
    <row r="2115" spans="2:6" x14ac:dyDescent="0.3">
      <c r="B2115" t="s">
        <v>11</v>
      </c>
      <c r="D2115">
        <v>0</v>
      </c>
      <c r="E2115">
        <v>0</v>
      </c>
      <c r="F2115">
        <v>1</v>
      </c>
    </row>
    <row r="2116" spans="2:6" x14ac:dyDescent="0.3">
      <c r="B2116" t="s">
        <v>11</v>
      </c>
      <c r="D2116">
        <v>0</v>
      </c>
      <c r="E2116">
        <v>0</v>
      </c>
      <c r="F2116">
        <v>1</v>
      </c>
    </row>
    <row r="2117" spans="2:6" x14ac:dyDescent="0.3">
      <c r="B2117" t="s">
        <v>11</v>
      </c>
      <c r="D2117">
        <v>0</v>
      </c>
      <c r="E2117">
        <v>0</v>
      </c>
      <c r="F2117">
        <v>1</v>
      </c>
    </row>
    <row r="2118" spans="2:6" x14ac:dyDescent="0.3">
      <c r="B2118" t="s">
        <v>11</v>
      </c>
      <c r="D2118">
        <v>0</v>
      </c>
      <c r="E2118">
        <v>0</v>
      </c>
      <c r="F2118">
        <v>1</v>
      </c>
    </row>
    <row r="2119" spans="2:6" x14ac:dyDescent="0.3">
      <c r="B2119" t="s">
        <v>11</v>
      </c>
      <c r="D2119">
        <v>0</v>
      </c>
      <c r="E2119">
        <v>0</v>
      </c>
      <c r="F2119">
        <v>1</v>
      </c>
    </row>
    <row r="2120" spans="2:6" x14ac:dyDescent="0.3">
      <c r="B2120" t="s">
        <v>11</v>
      </c>
      <c r="D2120">
        <v>0</v>
      </c>
      <c r="E2120">
        <v>0</v>
      </c>
      <c r="F2120">
        <v>1</v>
      </c>
    </row>
    <row r="2121" spans="2:6" x14ac:dyDescent="0.3">
      <c r="B2121" t="s">
        <v>11</v>
      </c>
      <c r="D2121">
        <v>0</v>
      </c>
      <c r="E2121">
        <v>0</v>
      </c>
      <c r="F2121">
        <v>1</v>
      </c>
    </row>
    <row r="2122" spans="2:6" x14ac:dyDescent="0.3">
      <c r="B2122" t="s">
        <v>11</v>
      </c>
      <c r="D2122">
        <v>0</v>
      </c>
      <c r="E2122">
        <v>0</v>
      </c>
      <c r="F2122">
        <v>1</v>
      </c>
    </row>
    <row r="2123" spans="2:6" x14ac:dyDescent="0.3">
      <c r="B2123" t="s">
        <v>11</v>
      </c>
      <c r="D2123">
        <v>0</v>
      </c>
      <c r="E2123">
        <v>0</v>
      </c>
      <c r="F2123">
        <v>1</v>
      </c>
    </row>
    <row r="2124" spans="2:6" x14ac:dyDescent="0.3">
      <c r="B2124" t="s">
        <v>11</v>
      </c>
      <c r="D2124">
        <v>0</v>
      </c>
      <c r="E2124">
        <v>0</v>
      </c>
      <c r="F2124">
        <v>1</v>
      </c>
    </row>
    <row r="2125" spans="2:6" x14ac:dyDescent="0.3">
      <c r="B2125" t="s">
        <v>11</v>
      </c>
      <c r="D2125">
        <v>0</v>
      </c>
      <c r="E2125">
        <v>0</v>
      </c>
      <c r="F2125">
        <v>1</v>
      </c>
    </row>
    <row r="2126" spans="2:6" x14ac:dyDescent="0.3">
      <c r="B2126" t="s">
        <v>11</v>
      </c>
      <c r="D2126">
        <v>0</v>
      </c>
      <c r="E2126">
        <v>0</v>
      </c>
      <c r="F2126">
        <v>1</v>
      </c>
    </row>
    <row r="2127" spans="2:6" x14ac:dyDescent="0.3">
      <c r="B2127" t="s">
        <v>11</v>
      </c>
      <c r="D2127">
        <v>0</v>
      </c>
      <c r="E2127">
        <v>0</v>
      </c>
      <c r="F2127">
        <v>1</v>
      </c>
    </row>
    <row r="2128" spans="2:6" x14ac:dyDescent="0.3">
      <c r="B2128" t="s">
        <v>11</v>
      </c>
      <c r="D2128">
        <v>0</v>
      </c>
      <c r="E2128">
        <v>0</v>
      </c>
      <c r="F2128">
        <v>1</v>
      </c>
    </row>
    <row r="2129" spans="2:6" x14ac:dyDescent="0.3">
      <c r="B2129" t="s">
        <v>11</v>
      </c>
      <c r="D2129">
        <v>0</v>
      </c>
      <c r="E2129">
        <v>0</v>
      </c>
      <c r="F2129">
        <v>1</v>
      </c>
    </row>
    <row r="2130" spans="2:6" x14ac:dyDescent="0.3">
      <c r="B2130" t="s">
        <v>18</v>
      </c>
      <c r="D2130">
        <v>1</v>
      </c>
      <c r="E2130">
        <v>0</v>
      </c>
      <c r="F2130">
        <v>1</v>
      </c>
    </row>
    <row r="2131" spans="2:6" x14ac:dyDescent="0.3">
      <c r="B2131" t="s">
        <v>18</v>
      </c>
      <c r="D2131">
        <v>1</v>
      </c>
      <c r="E2131">
        <v>0</v>
      </c>
      <c r="F2131">
        <v>1</v>
      </c>
    </row>
    <row r="2132" spans="2:6" x14ac:dyDescent="0.3">
      <c r="B2132" t="s">
        <v>483</v>
      </c>
      <c r="D2132">
        <v>3</v>
      </c>
      <c r="E2132">
        <v>2</v>
      </c>
      <c r="F2132">
        <v>1</v>
      </c>
    </row>
    <row r="2133" spans="2:6" x14ac:dyDescent="0.3">
      <c r="B2133" t="s">
        <v>484</v>
      </c>
      <c r="D2133">
        <v>5</v>
      </c>
      <c r="E2133">
        <v>5</v>
      </c>
      <c r="F2133">
        <v>1</v>
      </c>
    </row>
    <row r="2134" spans="2:6" x14ac:dyDescent="0.3">
      <c r="B2134" t="s">
        <v>1518</v>
      </c>
      <c r="D2134">
        <v>13</v>
      </c>
      <c r="E2134">
        <v>14</v>
      </c>
      <c r="F2134">
        <v>1</v>
      </c>
    </row>
    <row r="2135" spans="2:6" x14ac:dyDescent="0.3">
      <c r="B2135" t="s">
        <v>1519</v>
      </c>
      <c r="D2135">
        <v>35</v>
      </c>
      <c r="E2135">
        <v>42</v>
      </c>
      <c r="F2135">
        <v>1</v>
      </c>
    </row>
    <row r="2136" spans="2:6" x14ac:dyDescent="0.3">
      <c r="B2136" t="s">
        <v>1520</v>
      </c>
      <c r="D2136">
        <v>75</v>
      </c>
      <c r="E2136">
        <v>72</v>
      </c>
      <c r="F2136">
        <v>1</v>
      </c>
    </row>
    <row r="2137" spans="2:6" x14ac:dyDescent="0.3">
      <c r="B2137" t="s">
        <v>1521</v>
      </c>
      <c r="D2137">
        <v>75</v>
      </c>
      <c r="E2137">
        <v>176</v>
      </c>
      <c r="F2137">
        <v>1</v>
      </c>
    </row>
    <row r="2138" spans="2:6" x14ac:dyDescent="0.3">
      <c r="B2138" t="s">
        <v>1522</v>
      </c>
      <c r="D2138">
        <v>90</v>
      </c>
      <c r="E2138">
        <v>333</v>
      </c>
      <c r="F2138">
        <v>1</v>
      </c>
    </row>
    <row r="2139" spans="2:6" x14ac:dyDescent="0.3">
      <c r="B2139" t="s">
        <v>1523</v>
      </c>
      <c r="D2139">
        <v>106</v>
      </c>
      <c r="E2139">
        <v>787</v>
      </c>
      <c r="F2139">
        <v>1</v>
      </c>
    </row>
    <row r="2140" spans="2:6" x14ac:dyDescent="0.3">
      <c r="B2140" t="s">
        <v>1524</v>
      </c>
      <c r="D2140">
        <v>120</v>
      </c>
      <c r="E2140">
        <v>1565</v>
      </c>
      <c r="F2140">
        <v>1</v>
      </c>
    </row>
    <row r="2141" spans="2:6" x14ac:dyDescent="0.3">
      <c r="B2141" t="s">
        <v>1525</v>
      </c>
      <c r="D2141">
        <v>132</v>
      </c>
      <c r="E2141">
        <v>2443</v>
      </c>
      <c r="F2141">
        <v>1</v>
      </c>
    </row>
    <row r="2142" spans="2:6" x14ac:dyDescent="0.3">
      <c r="B2142" t="s">
        <v>1526</v>
      </c>
      <c r="D2142">
        <v>142</v>
      </c>
      <c r="E2142">
        <v>4118</v>
      </c>
      <c r="F2142">
        <v>1</v>
      </c>
    </row>
    <row r="2143" spans="2:6" x14ac:dyDescent="0.3">
      <c r="B2143" t="s">
        <v>1527</v>
      </c>
      <c r="D2143">
        <v>149</v>
      </c>
      <c r="E2143">
        <v>6338</v>
      </c>
      <c r="F2143">
        <v>1</v>
      </c>
    </row>
    <row r="2144" spans="2:6" x14ac:dyDescent="0.3">
      <c r="B2144" t="s">
        <v>1528</v>
      </c>
      <c r="D2144">
        <v>156</v>
      </c>
      <c r="E2144">
        <v>7658</v>
      </c>
      <c r="F2144">
        <v>1</v>
      </c>
    </row>
    <row r="2145" spans="2:6" x14ac:dyDescent="0.3">
      <c r="B2145" t="s">
        <v>1529</v>
      </c>
      <c r="D2145">
        <v>160</v>
      </c>
      <c r="E2145">
        <v>10088</v>
      </c>
      <c r="F2145">
        <v>1</v>
      </c>
    </row>
    <row r="2146" spans="2:6" x14ac:dyDescent="0.3">
      <c r="B2146" t="s">
        <v>1530</v>
      </c>
      <c r="D2146">
        <v>164</v>
      </c>
      <c r="E2146">
        <v>12188</v>
      </c>
      <c r="F2146">
        <v>1</v>
      </c>
    </row>
    <row r="2147" spans="2:6" x14ac:dyDescent="0.3">
      <c r="B2147" t="s">
        <v>1531</v>
      </c>
      <c r="D2147">
        <v>169</v>
      </c>
      <c r="E2147">
        <v>15216</v>
      </c>
      <c r="F2147">
        <v>1</v>
      </c>
    </row>
    <row r="2148" spans="2:6" x14ac:dyDescent="0.3">
      <c r="B2148" t="s">
        <v>1532</v>
      </c>
      <c r="D2148">
        <v>176</v>
      </c>
      <c r="E2148">
        <v>23232</v>
      </c>
      <c r="F2148">
        <v>1</v>
      </c>
    </row>
    <row r="2149" spans="2:6" x14ac:dyDescent="0.3">
      <c r="B2149" t="s">
        <v>1533</v>
      </c>
      <c r="D2149">
        <v>180</v>
      </c>
      <c r="E2149">
        <v>29568</v>
      </c>
      <c r="F2149">
        <v>1</v>
      </c>
    </row>
    <row r="2150" spans="2:6" x14ac:dyDescent="0.3">
      <c r="B2150" t="s">
        <v>1534</v>
      </c>
      <c r="D2150">
        <v>180</v>
      </c>
      <c r="E2150">
        <v>32192</v>
      </c>
      <c r="F2150">
        <v>1</v>
      </c>
    </row>
    <row r="2151" spans="2:6" x14ac:dyDescent="0.3">
      <c r="B2151" t="s">
        <v>1535</v>
      </c>
      <c r="D2151">
        <v>180</v>
      </c>
      <c r="E2151">
        <v>41504</v>
      </c>
      <c r="F2151">
        <v>1</v>
      </c>
    </row>
    <row r="2152" spans="2:6" x14ac:dyDescent="0.3">
      <c r="B2152" t="s">
        <v>1536</v>
      </c>
      <c r="D2152">
        <v>186</v>
      </c>
      <c r="E2152">
        <v>42656</v>
      </c>
      <c r="F2152">
        <v>1</v>
      </c>
    </row>
    <row r="2153" spans="2:6" x14ac:dyDescent="0.3">
      <c r="B2153" t="s">
        <v>1537</v>
      </c>
      <c r="D2153">
        <v>188</v>
      </c>
      <c r="E2153">
        <v>49904</v>
      </c>
      <c r="F2153">
        <v>1</v>
      </c>
    </row>
    <row r="2154" spans="2:6" x14ac:dyDescent="0.3">
      <c r="B2154" t="s">
        <v>1538</v>
      </c>
      <c r="D2154">
        <v>190</v>
      </c>
      <c r="E2154">
        <v>64304</v>
      </c>
      <c r="F2154">
        <v>1</v>
      </c>
    </row>
    <row r="2155" spans="2:6" x14ac:dyDescent="0.3">
      <c r="B2155" t="s">
        <v>1539</v>
      </c>
      <c r="D2155">
        <v>193</v>
      </c>
      <c r="E2155">
        <v>62368</v>
      </c>
      <c r="F2155">
        <v>1</v>
      </c>
    </row>
    <row r="2156" spans="2:6" x14ac:dyDescent="0.3">
      <c r="B2156" t="s">
        <v>1540</v>
      </c>
      <c r="D2156">
        <v>195</v>
      </c>
      <c r="E2156">
        <v>3168</v>
      </c>
      <c r="F2156">
        <v>1</v>
      </c>
    </row>
    <row r="2157" spans="2:6" x14ac:dyDescent="0.3">
      <c r="B2157" t="s">
        <v>1541</v>
      </c>
      <c r="D2157">
        <v>198</v>
      </c>
      <c r="E2157">
        <v>29376</v>
      </c>
      <c r="F2157">
        <v>1</v>
      </c>
    </row>
    <row r="2158" spans="2:6" x14ac:dyDescent="0.3">
      <c r="B2158" t="s">
        <v>1542</v>
      </c>
      <c r="D2158">
        <v>201</v>
      </c>
      <c r="E2158">
        <v>37728</v>
      </c>
      <c r="F2158">
        <v>1</v>
      </c>
    </row>
    <row r="2159" spans="2:6" x14ac:dyDescent="0.3">
      <c r="B2159" t="s">
        <v>1543</v>
      </c>
      <c r="D2159">
        <v>201</v>
      </c>
      <c r="E2159">
        <v>39136</v>
      </c>
      <c r="F2159">
        <v>1</v>
      </c>
    </row>
    <row r="2160" spans="2:6" x14ac:dyDescent="0.3">
      <c r="B2160" t="s">
        <v>1544</v>
      </c>
      <c r="D2160">
        <v>201</v>
      </c>
      <c r="E2160">
        <v>36544</v>
      </c>
      <c r="F2160">
        <v>1</v>
      </c>
    </row>
    <row r="2161" spans="2:6" x14ac:dyDescent="0.3">
      <c r="B2161" t="s">
        <v>1545</v>
      </c>
      <c r="D2161">
        <v>204</v>
      </c>
      <c r="E2161">
        <v>52768</v>
      </c>
      <c r="F2161">
        <v>1</v>
      </c>
    </row>
    <row r="2162" spans="2:6" x14ac:dyDescent="0.3">
      <c r="B2162" t="s">
        <v>1546</v>
      </c>
      <c r="D2162">
        <v>204</v>
      </c>
      <c r="E2162">
        <v>46976</v>
      </c>
      <c r="F2162">
        <v>1</v>
      </c>
    </row>
    <row r="2163" spans="2:6" x14ac:dyDescent="0.3">
      <c r="B2163" t="s">
        <v>1547</v>
      </c>
      <c r="D2163">
        <v>204</v>
      </c>
      <c r="E2163">
        <v>5952</v>
      </c>
      <c r="F2163">
        <v>1</v>
      </c>
    </row>
    <row r="2164" spans="2:6" x14ac:dyDescent="0.3">
      <c r="B2164" t="s">
        <v>1548</v>
      </c>
      <c r="D2164">
        <v>208</v>
      </c>
      <c r="E2164">
        <v>29888</v>
      </c>
      <c r="F2164">
        <v>1</v>
      </c>
    </row>
    <row r="2165" spans="2:6" x14ac:dyDescent="0.3">
      <c r="B2165" t="s">
        <v>1549</v>
      </c>
      <c r="D2165">
        <v>208</v>
      </c>
      <c r="E2165">
        <v>20672</v>
      </c>
      <c r="F2165">
        <v>1</v>
      </c>
    </row>
    <row r="2166" spans="2:6" x14ac:dyDescent="0.3">
      <c r="B2166" t="s">
        <v>1550</v>
      </c>
      <c r="D2166">
        <v>210</v>
      </c>
      <c r="E2166">
        <v>32384</v>
      </c>
      <c r="F2166">
        <v>1</v>
      </c>
    </row>
    <row r="2167" spans="2:6" x14ac:dyDescent="0.3">
      <c r="B2167" t="s">
        <v>1551</v>
      </c>
      <c r="D2167">
        <v>211</v>
      </c>
      <c r="E2167">
        <v>41216</v>
      </c>
      <c r="F2167">
        <v>1</v>
      </c>
    </row>
    <row r="2168" spans="2:6" x14ac:dyDescent="0.3">
      <c r="B2168" t="s">
        <v>1552</v>
      </c>
      <c r="D2168">
        <v>208</v>
      </c>
      <c r="E2168">
        <v>36544</v>
      </c>
      <c r="F2168">
        <v>1</v>
      </c>
    </row>
    <row r="2169" spans="2:6" x14ac:dyDescent="0.3">
      <c r="B2169" t="s">
        <v>1553</v>
      </c>
      <c r="D2169">
        <v>205</v>
      </c>
      <c r="E2169">
        <v>55808</v>
      </c>
      <c r="F2169">
        <v>1</v>
      </c>
    </row>
    <row r="2170" spans="2:6" x14ac:dyDescent="0.3">
      <c r="B2170" t="s">
        <v>1554</v>
      </c>
      <c r="D2170">
        <v>203</v>
      </c>
      <c r="E2170">
        <v>45536</v>
      </c>
      <c r="F2170">
        <v>1</v>
      </c>
    </row>
    <row r="2171" spans="2:6" x14ac:dyDescent="0.3">
      <c r="B2171" t="s">
        <v>1555</v>
      </c>
      <c r="D2171">
        <v>207</v>
      </c>
      <c r="E2171">
        <v>23744</v>
      </c>
      <c r="F2171">
        <v>1</v>
      </c>
    </row>
    <row r="2172" spans="2:6" x14ac:dyDescent="0.3">
      <c r="B2172" t="s">
        <v>1556</v>
      </c>
      <c r="D2172">
        <v>204</v>
      </c>
      <c r="E2172">
        <v>51424</v>
      </c>
      <c r="F2172">
        <v>1</v>
      </c>
    </row>
    <row r="2173" spans="2:6" x14ac:dyDescent="0.3">
      <c r="B2173" t="s">
        <v>1557</v>
      </c>
      <c r="D2173">
        <v>206</v>
      </c>
      <c r="E2173">
        <v>832</v>
      </c>
      <c r="F2173">
        <v>1</v>
      </c>
    </row>
    <row r="2174" spans="2:6" x14ac:dyDescent="0.3">
      <c r="B2174" t="s">
        <v>1558</v>
      </c>
      <c r="D2174">
        <v>199</v>
      </c>
      <c r="E2174">
        <v>35648</v>
      </c>
      <c r="F2174">
        <v>1</v>
      </c>
    </row>
    <row r="2175" spans="2:6" x14ac:dyDescent="0.3">
      <c r="B2175" t="s">
        <v>1559</v>
      </c>
      <c r="D2175">
        <v>197</v>
      </c>
      <c r="E2175">
        <v>13344</v>
      </c>
      <c r="F2175">
        <v>1</v>
      </c>
    </row>
    <row r="2176" spans="2:6" x14ac:dyDescent="0.3">
      <c r="B2176" t="s">
        <v>1560</v>
      </c>
      <c r="D2176">
        <v>197</v>
      </c>
      <c r="E2176">
        <v>23936</v>
      </c>
      <c r="F2176">
        <v>1</v>
      </c>
    </row>
    <row r="2177" spans="2:6" x14ac:dyDescent="0.3">
      <c r="B2177" t="s">
        <v>1561</v>
      </c>
      <c r="D2177">
        <v>197</v>
      </c>
      <c r="E2177">
        <v>8768</v>
      </c>
      <c r="F2177">
        <v>1</v>
      </c>
    </row>
    <row r="2178" spans="2:6" x14ac:dyDescent="0.3">
      <c r="B2178" t="s">
        <v>1562</v>
      </c>
      <c r="D2178">
        <v>197</v>
      </c>
      <c r="E2178">
        <v>51040</v>
      </c>
      <c r="F2178">
        <v>1</v>
      </c>
    </row>
    <row r="2179" spans="2:6" x14ac:dyDescent="0.3">
      <c r="B2179" t="s">
        <v>1563</v>
      </c>
      <c r="D2179">
        <v>205</v>
      </c>
      <c r="E2179">
        <v>31392</v>
      </c>
      <c r="F2179">
        <v>1</v>
      </c>
    </row>
    <row r="2180" spans="2:6" x14ac:dyDescent="0.3">
      <c r="B2180" t="s">
        <v>1564</v>
      </c>
      <c r="D2180">
        <v>206</v>
      </c>
      <c r="E2180">
        <v>6720</v>
      </c>
      <c r="F2180">
        <v>1</v>
      </c>
    </row>
    <row r="2181" spans="2:6" x14ac:dyDescent="0.3">
      <c r="B2181" t="s">
        <v>1565</v>
      </c>
      <c r="D2181">
        <v>205</v>
      </c>
      <c r="E2181">
        <v>42432</v>
      </c>
      <c r="F2181">
        <v>1</v>
      </c>
    </row>
    <row r="2182" spans="2:6" x14ac:dyDescent="0.3">
      <c r="B2182" t="s">
        <v>1566</v>
      </c>
      <c r="D2182">
        <v>217</v>
      </c>
      <c r="E2182">
        <v>41728</v>
      </c>
      <c r="F2182">
        <v>1</v>
      </c>
    </row>
    <row r="2183" spans="2:6" x14ac:dyDescent="0.3">
      <c r="B2183" t="s">
        <v>1567</v>
      </c>
      <c r="D2183">
        <v>212</v>
      </c>
      <c r="E2183">
        <v>15616</v>
      </c>
      <c r="F2183">
        <v>1</v>
      </c>
    </row>
    <row r="2184" spans="2:6" x14ac:dyDescent="0.3">
      <c r="B2184" t="s">
        <v>1568</v>
      </c>
      <c r="D2184">
        <v>219</v>
      </c>
      <c r="E2184">
        <v>18048</v>
      </c>
      <c r="F2184">
        <v>1</v>
      </c>
    </row>
    <row r="2185" spans="2:6" x14ac:dyDescent="0.3">
      <c r="B2185" t="s">
        <v>1569</v>
      </c>
      <c r="D2185">
        <v>227</v>
      </c>
      <c r="E2185">
        <v>49664</v>
      </c>
      <c r="F2185">
        <v>1</v>
      </c>
    </row>
    <row r="2186" spans="2:6" x14ac:dyDescent="0.3">
      <c r="B2186" t="s">
        <v>1570</v>
      </c>
      <c r="D2186">
        <v>227</v>
      </c>
      <c r="E2186">
        <v>3456</v>
      </c>
      <c r="F2186">
        <v>1</v>
      </c>
    </row>
    <row r="2187" spans="2:6" x14ac:dyDescent="0.3">
      <c r="B2187" t="s">
        <v>1571</v>
      </c>
      <c r="D2187">
        <v>231</v>
      </c>
      <c r="E2187">
        <v>52096</v>
      </c>
      <c r="F2187">
        <v>1</v>
      </c>
    </row>
    <row r="2188" spans="2:6" x14ac:dyDescent="0.3">
      <c r="B2188" t="s">
        <v>1572</v>
      </c>
      <c r="D2188">
        <v>230</v>
      </c>
      <c r="E2188">
        <v>32128</v>
      </c>
      <c r="F2188">
        <v>1</v>
      </c>
    </row>
    <row r="2189" spans="2:6" x14ac:dyDescent="0.3">
      <c r="B2189" t="s">
        <v>1573</v>
      </c>
      <c r="D2189">
        <v>232</v>
      </c>
      <c r="E2189">
        <v>16384</v>
      </c>
      <c r="F2189">
        <v>1</v>
      </c>
    </row>
    <row r="2190" spans="2:6" x14ac:dyDescent="0.3">
      <c r="B2190" t="s">
        <v>1574</v>
      </c>
      <c r="D2190">
        <v>232</v>
      </c>
      <c r="E2190">
        <v>42240</v>
      </c>
      <c r="F2190">
        <v>1</v>
      </c>
    </row>
    <row r="2191" spans="2:6" x14ac:dyDescent="0.3">
      <c r="B2191" t="s">
        <v>1575</v>
      </c>
      <c r="D2191">
        <v>232</v>
      </c>
      <c r="E2191">
        <v>33536</v>
      </c>
      <c r="F2191">
        <v>1</v>
      </c>
    </row>
    <row r="2192" spans="2:6" x14ac:dyDescent="0.3">
      <c r="B2192" t="s">
        <v>1576</v>
      </c>
      <c r="D2192">
        <v>232</v>
      </c>
      <c r="E2192">
        <v>32768</v>
      </c>
      <c r="F2192">
        <v>1</v>
      </c>
    </row>
    <row r="2193" spans="2:6" x14ac:dyDescent="0.3">
      <c r="B2193" t="s">
        <v>1577</v>
      </c>
      <c r="D2193">
        <v>233</v>
      </c>
      <c r="E2193">
        <v>45568</v>
      </c>
      <c r="F2193">
        <v>1</v>
      </c>
    </row>
    <row r="2194" spans="2:6" x14ac:dyDescent="0.3">
      <c r="B2194" t="s">
        <v>1578</v>
      </c>
      <c r="D2194">
        <v>235</v>
      </c>
      <c r="E2194">
        <v>9216</v>
      </c>
      <c r="F2194">
        <v>1</v>
      </c>
    </row>
    <row r="2195" spans="2:6" x14ac:dyDescent="0.3">
      <c r="B2195" t="s">
        <v>1579</v>
      </c>
      <c r="D2195">
        <v>234</v>
      </c>
      <c r="E2195">
        <v>54528</v>
      </c>
      <c r="F2195">
        <v>1</v>
      </c>
    </row>
    <row r="2196" spans="2:6" x14ac:dyDescent="0.3">
      <c r="B2196" t="s">
        <v>1580</v>
      </c>
      <c r="D2196">
        <v>233</v>
      </c>
      <c r="E2196">
        <v>11264</v>
      </c>
      <c r="F2196">
        <v>1</v>
      </c>
    </row>
    <row r="2197" spans="2:6" x14ac:dyDescent="0.3">
      <c r="B2197" t="s">
        <v>1581</v>
      </c>
      <c r="D2197">
        <v>230</v>
      </c>
      <c r="E2197">
        <v>50176</v>
      </c>
      <c r="F2197">
        <v>1</v>
      </c>
    </row>
    <row r="2198" spans="2:6" x14ac:dyDescent="0.3">
      <c r="B2198" t="s">
        <v>1582</v>
      </c>
      <c r="D2198">
        <v>225</v>
      </c>
      <c r="E2198">
        <v>56832</v>
      </c>
      <c r="F2198">
        <v>1</v>
      </c>
    </row>
    <row r="2199" spans="2:6" x14ac:dyDescent="0.3">
      <c r="B2199" t="s">
        <v>1583</v>
      </c>
      <c r="D2199">
        <v>226</v>
      </c>
      <c r="E2199">
        <v>48128</v>
      </c>
      <c r="F2199">
        <v>1</v>
      </c>
    </row>
    <row r="2200" spans="2:6" x14ac:dyDescent="0.3">
      <c r="B2200" t="s">
        <v>1584</v>
      </c>
      <c r="D2200">
        <v>233</v>
      </c>
      <c r="E2200">
        <v>24064</v>
      </c>
      <c r="F2200">
        <v>1</v>
      </c>
    </row>
    <row r="2201" spans="2:6" x14ac:dyDescent="0.3">
      <c r="B2201" t="s">
        <v>1585</v>
      </c>
      <c r="D2201">
        <v>234</v>
      </c>
      <c r="E2201">
        <v>23552</v>
      </c>
      <c r="F2201">
        <v>1</v>
      </c>
    </row>
    <row r="2202" spans="2:6" x14ac:dyDescent="0.3">
      <c r="B2202" t="s">
        <v>1586</v>
      </c>
      <c r="D2202">
        <v>236</v>
      </c>
      <c r="E2202">
        <v>46592</v>
      </c>
      <c r="F2202">
        <v>1</v>
      </c>
    </row>
    <row r="2203" spans="2:6" x14ac:dyDescent="0.3">
      <c r="B2203" t="s">
        <v>1587</v>
      </c>
      <c r="D2203">
        <v>236</v>
      </c>
      <c r="E2203">
        <v>36864</v>
      </c>
      <c r="F2203">
        <v>1</v>
      </c>
    </row>
    <row r="2204" spans="2:6" x14ac:dyDescent="0.3">
      <c r="B2204" t="s">
        <v>1588</v>
      </c>
      <c r="D2204">
        <v>236</v>
      </c>
      <c r="E2204">
        <v>5120</v>
      </c>
      <c r="F2204">
        <v>1</v>
      </c>
    </row>
    <row r="2205" spans="2:6" x14ac:dyDescent="0.3">
      <c r="B2205" t="s">
        <v>1589</v>
      </c>
      <c r="D2205">
        <v>234</v>
      </c>
      <c r="E2205">
        <v>12544</v>
      </c>
      <c r="F2205">
        <v>1</v>
      </c>
    </row>
    <row r="2206" spans="2:6" x14ac:dyDescent="0.3">
      <c r="B2206" t="s">
        <v>1590</v>
      </c>
      <c r="D2206">
        <v>232</v>
      </c>
      <c r="E2206">
        <v>31488</v>
      </c>
      <c r="F2206">
        <v>1</v>
      </c>
    </row>
    <row r="2207" spans="2:6" x14ac:dyDescent="0.3">
      <c r="B2207" t="s">
        <v>1591</v>
      </c>
      <c r="D2207">
        <v>228</v>
      </c>
      <c r="E2207">
        <v>51968</v>
      </c>
      <c r="F2207">
        <v>1</v>
      </c>
    </row>
    <row r="2208" spans="2:6" x14ac:dyDescent="0.3">
      <c r="B2208" t="s">
        <v>1592</v>
      </c>
      <c r="D2208">
        <v>255</v>
      </c>
      <c r="E2208">
        <v>7680</v>
      </c>
      <c r="F2208">
        <v>1</v>
      </c>
    </row>
    <row r="2209" spans="2:6" x14ac:dyDescent="0.3">
      <c r="B2209" t="s">
        <v>1593</v>
      </c>
      <c r="D2209">
        <v>255</v>
      </c>
      <c r="E2209">
        <v>39168</v>
      </c>
      <c r="F2209">
        <v>1</v>
      </c>
    </row>
    <row r="2210" spans="2:6" x14ac:dyDescent="0.3">
      <c r="B2210" t="s">
        <v>1594</v>
      </c>
      <c r="D2210">
        <v>255</v>
      </c>
      <c r="E2210">
        <v>59136</v>
      </c>
      <c r="F2210">
        <v>1</v>
      </c>
    </row>
    <row r="2211" spans="2:6" x14ac:dyDescent="0.3">
      <c r="B2211" t="s">
        <v>1595</v>
      </c>
      <c r="D2211">
        <v>255</v>
      </c>
      <c r="E2211">
        <v>53248</v>
      </c>
      <c r="F2211">
        <v>1</v>
      </c>
    </row>
    <row r="2212" spans="2:6" x14ac:dyDescent="0.3">
      <c r="B2212" t="s">
        <v>1596</v>
      </c>
      <c r="D2212">
        <v>255</v>
      </c>
      <c r="E2212">
        <v>28672</v>
      </c>
      <c r="F2212">
        <v>1</v>
      </c>
    </row>
    <row r="2213" spans="2:6" x14ac:dyDescent="0.3">
      <c r="B2213" t="s">
        <v>1595</v>
      </c>
      <c r="D2213">
        <v>255</v>
      </c>
      <c r="E2213">
        <v>53248</v>
      </c>
      <c r="F2213">
        <v>1</v>
      </c>
    </row>
    <row r="2214" spans="2:6" x14ac:dyDescent="0.3">
      <c r="B2214" t="s">
        <v>1597</v>
      </c>
      <c r="D2214">
        <v>255</v>
      </c>
      <c r="E2214">
        <v>30720</v>
      </c>
      <c r="F2214">
        <v>1</v>
      </c>
    </row>
    <row r="2215" spans="2:6" x14ac:dyDescent="0.3">
      <c r="B2215" t="s">
        <v>1598</v>
      </c>
      <c r="D2215">
        <v>255</v>
      </c>
      <c r="E2215">
        <v>61440</v>
      </c>
      <c r="F2215">
        <v>1</v>
      </c>
    </row>
    <row r="2216" spans="2:6" x14ac:dyDescent="0.3">
      <c r="B2216" t="s">
        <v>1599</v>
      </c>
      <c r="D2216">
        <v>255</v>
      </c>
      <c r="E2216">
        <v>49152</v>
      </c>
      <c r="F2216">
        <v>1</v>
      </c>
    </row>
    <row r="2217" spans="2:6" x14ac:dyDescent="0.3">
      <c r="B2217" t="s">
        <v>1595</v>
      </c>
      <c r="D2217">
        <v>255</v>
      </c>
      <c r="E2217">
        <v>53248</v>
      </c>
      <c r="F2217">
        <v>1</v>
      </c>
    </row>
    <row r="2218" spans="2:6" x14ac:dyDescent="0.3">
      <c r="B2218" t="s">
        <v>1600</v>
      </c>
      <c r="D2218">
        <v>255</v>
      </c>
      <c r="E2218">
        <v>24576</v>
      </c>
      <c r="F2218">
        <v>1</v>
      </c>
    </row>
    <row r="2219" spans="2:6" x14ac:dyDescent="0.3">
      <c r="B2219" t="s">
        <v>1601</v>
      </c>
      <c r="D2219">
        <v>255</v>
      </c>
      <c r="E2219">
        <v>32768</v>
      </c>
      <c r="F2219">
        <v>1</v>
      </c>
    </row>
    <row r="2220" spans="2:6" x14ac:dyDescent="0.3">
      <c r="B2220" t="s">
        <v>1597</v>
      </c>
      <c r="D2220">
        <v>255</v>
      </c>
      <c r="E2220">
        <v>30720</v>
      </c>
      <c r="F2220">
        <v>1</v>
      </c>
    </row>
    <row r="2221" spans="2:6" x14ac:dyDescent="0.3">
      <c r="B2221" t="s">
        <v>1602</v>
      </c>
      <c r="D2221">
        <v>255</v>
      </c>
      <c r="E2221">
        <v>55296</v>
      </c>
      <c r="F2221">
        <v>1</v>
      </c>
    </row>
    <row r="2222" spans="2:6" x14ac:dyDescent="0.3">
      <c r="B2222" t="s">
        <v>1407</v>
      </c>
      <c r="D2222">
        <v>255</v>
      </c>
      <c r="E2222">
        <v>34816</v>
      </c>
      <c r="F2222">
        <v>1</v>
      </c>
    </row>
    <row r="2223" spans="2:6" x14ac:dyDescent="0.3">
      <c r="B2223" t="s">
        <v>1603</v>
      </c>
      <c r="D2223">
        <v>255</v>
      </c>
      <c r="E2223">
        <v>36864</v>
      </c>
      <c r="F2223">
        <v>1</v>
      </c>
    </row>
    <row r="2224" spans="2:6" x14ac:dyDescent="0.3">
      <c r="B2224" t="s">
        <v>1604</v>
      </c>
      <c r="D2224">
        <v>255</v>
      </c>
      <c r="E2224">
        <v>6144</v>
      </c>
      <c r="F2224">
        <v>1</v>
      </c>
    </row>
    <row r="2225" spans="2:6" x14ac:dyDescent="0.3">
      <c r="B2225" t="s">
        <v>1605</v>
      </c>
      <c r="D2225">
        <v>255</v>
      </c>
      <c r="E2225">
        <v>26624</v>
      </c>
      <c r="F2225">
        <v>1</v>
      </c>
    </row>
    <row r="2226" spans="2:6" x14ac:dyDescent="0.3">
      <c r="B2226" t="s">
        <v>1606</v>
      </c>
      <c r="D2226">
        <v>255</v>
      </c>
      <c r="E2226">
        <v>18432</v>
      </c>
      <c r="F2226">
        <v>1</v>
      </c>
    </row>
    <row r="2227" spans="2:6" x14ac:dyDescent="0.3">
      <c r="B2227" t="s">
        <v>1607</v>
      </c>
      <c r="D2227">
        <v>255</v>
      </c>
      <c r="E2227">
        <v>10240</v>
      </c>
      <c r="F2227">
        <v>1</v>
      </c>
    </row>
    <row r="2228" spans="2:6" x14ac:dyDescent="0.3">
      <c r="B2228" t="s">
        <v>1608</v>
      </c>
      <c r="D2228">
        <v>255</v>
      </c>
      <c r="E2228">
        <v>59392</v>
      </c>
      <c r="F2228">
        <v>1</v>
      </c>
    </row>
    <row r="2229" spans="2:6" x14ac:dyDescent="0.3">
      <c r="B2229" t="s">
        <v>1609</v>
      </c>
      <c r="D2229">
        <v>255</v>
      </c>
      <c r="E2229">
        <v>63488</v>
      </c>
      <c r="F2229">
        <v>1</v>
      </c>
    </row>
    <row r="2230" spans="2:6" x14ac:dyDescent="0.3">
      <c r="B2230" t="s">
        <v>1610</v>
      </c>
      <c r="D2230">
        <v>255</v>
      </c>
      <c r="E2230">
        <v>2048</v>
      </c>
      <c r="F2230">
        <v>1</v>
      </c>
    </row>
    <row r="2231" spans="2:6" x14ac:dyDescent="0.3">
      <c r="B2231" t="s">
        <v>1611</v>
      </c>
      <c r="D2231">
        <v>255</v>
      </c>
      <c r="E2231">
        <v>16384</v>
      </c>
      <c r="F2231">
        <v>1</v>
      </c>
    </row>
    <row r="2232" spans="2:6" x14ac:dyDescent="0.3">
      <c r="B2232" t="s">
        <v>1601</v>
      </c>
      <c r="D2232">
        <v>255</v>
      </c>
      <c r="E2232">
        <v>32768</v>
      </c>
      <c r="F2232">
        <v>1</v>
      </c>
    </row>
    <row r="2233" spans="2:6" x14ac:dyDescent="0.3">
      <c r="B2233" t="s">
        <v>1611</v>
      </c>
      <c r="D2233">
        <v>255</v>
      </c>
      <c r="E2233">
        <v>16384</v>
      </c>
      <c r="F2233">
        <v>1</v>
      </c>
    </row>
    <row r="2234" spans="2:6" x14ac:dyDescent="0.3">
      <c r="B2234" t="s">
        <v>1602</v>
      </c>
      <c r="D2234">
        <v>255</v>
      </c>
      <c r="E2234">
        <v>55296</v>
      </c>
      <c r="F2234">
        <v>1</v>
      </c>
    </row>
    <row r="2235" spans="2:6" x14ac:dyDescent="0.3">
      <c r="B2235" t="s">
        <v>1612</v>
      </c>
      <c r="D2235">
        <v>234</v>
      </c>
      <c r="E2235">
        <v>6144</v>
      </c>
      <c r="F2235">
        <v>1</v>
      </c>
    </row>
    <row r="2236" spans="2:6" x14ac:dyDescent="0.3">
      <c r="B2236" t="s">
        <v>1613</v>
      </c>
      <c r="D2236">
        <v>220</v>
      </c>
      <c r="E2236">
        <v>35840</v>
      </c>
      <c r="F2236">
        <v>1</v>
      </c>
    </row>
    <row r="2237" spans="2:6" x14ac:dyDescent="0.3">
      <c r="B2237" t="s">
        <v>1606</v>
      </c>
      <c r="D2237">
        <v>255</v>
      </c>
      <c r="E2237">
        <v>18432</v>
      </c>
      <c r="F2237">
        <v>1</v>
      </c>
    </row>
    <row r="2238" spans="2:6" x14ac:dyDescent="0.3">
      <c r="B2238" t="s">
        <v>1614</v>
      </c>
      <c r="D2238">
        <v>255</v>
      </c>
      <c r="E2238">
        <v>22528</v>
      </c>
      <c r="F2238">
        <v>1</v>
      </c>
    </row>
    <row r="2239" spans="2:6" x14ac:dyDescent="0.3">
      <c r="B2239" t="s">
        <v>1615</v>
      </c>
      <c r="D2239">
        <v>255</v>
      </c>
      <c r="E2239">
        <v>51712</v>
      </c>
      <c r="F2239">
        <v>1</v>
      </c>
    </row>
    <row r="2240" spans="2:6" x14ac:dyDescent="0.3">
      <c r="B2240" t="s">
        <v>1616</v>
      </c>
      <c r="D2240">
        <v>255</v>
      </c>
      <c r="E2240">
        <v>24320</v>
      </c>
      <c r="F2240">
        <v>1</v>
      </c>
    </row>
    <row r="2241" spans="2:6" x14ac:dyDescent="0.3">
      <c r="B2241" t="s">
        <v>1617</v>
      </c>
      <c r="D2241">
        <v>240</v>
      </c>
      <c r="E2241">
        <v>23040</v>
      </c>
      <c r="F2241">
        <v>1</v>
      </c>
    </row>
    <row r="2242" spans="2:6" x14ac:dyDescent="0.3">
      <c r="B2242" t="s">
        <v>1618</v>
      </c>
      <c r="D2242">
        <v>231</v>
      </c>
      <c r="E2242">
        <v>24320</v>
      </c>
      <c r="F2242">
        <v>1</v>
      </c>
    </row>
    <row r="2243" spans="2:6" x14ac:dyDescent="0.3">
      <c r="B2243" t="s">
        <v>1619</v>
      </c>
      <c r="D2243">
        <v>229</v>
      </c>
      <c r="E2243">
        <v>13568</v>
      </c>
      <c r="F2243">
        <v>1</v>
      </c>
    </row>
    <row r="2244" spans="2:6" x14ac:dyDescent="0.3">
      <c r="B2244" t="s">
        <v>1620</v>
      </c>
      <c r="D2244">
        <v>241</v>
      </c>
      <c r="E2244">
        <v>2816</v>
      </c>
      <c r="F2244">
        <v>1</v>
      </c>
    </row>
    <row r="2245" spans="2:6" x14ac:dyDescent="0.3">
      <c r="B2245" t="s">
        <v>1435</v>
      </c>
      <c r="D2245">
        <v>234</v>
      </c>
      <c r="E2245">
        <v>21248</v>
      </c>
      <c r="F2245">
        <v>1</v>
      </c>
    </row>
    <row r="2246" spans="2:6" x14ac:dyDescent="0.3">
      <c r="B2246" t="s">
        <v>1621</v>
      </c>
      <c r="D2246">
        <v>232</v>
      </c>
      <c r="E2246">
        <v>23040</v>
      </c>
      <c r="F2246">
        <v>1</v>
      </c>
    </row>
    <row r="2247" spans="2:6" x14ac:dyDescent="0.3">
      <c r="B2247" t="s">
        <v>1622</v>
      </c>
      <c r="D2247">
        <v>236</v>
      </c>
      <c r="E2247">
        <v>19200</v>
      </c>
      <c r="F2247">
        <v>1</v>
      </c>
    </row>
    <row r="2248" spans="2:6" x14ac:dyDescent="0.3">
      <c r="B2248" t="s">
        <v>1623</v>
      </c>
      <c r="D2248">
        <v>241</v>
      </c>
      <c r="E2248">
        <v>31744</v>
      </c>
      <c r="F2248">
        <v>1</v>
      </c>
    </row>
    <row r="2249" spans="2:6" x14ac:dyDescent="0.3">
      <c r="B2249" t="s">
        <v>1624</v>
      </c>
      <c r="D2249">
        <v>231</v>
      </c>
      <c r="E2249">
        <v>58368</v>
      </c>
      <c r="F2249">
        <v>1</v>
      </c>
    </row>
    <row r="2250" spans="2:6" x14ac:dyDescent="0.3">
      <c r="B2250" t="s">
        <v>1625</v>
      </c>
      <c r="D2250">
        <v>231</v>
      </c>
      <c r="E2250">
        <v>24576</v>
      </c>
      <c r="F2250">
        <v>1</v>
      </c>
    </row>
    <row r="2251" spans="2:6" x14ac:dyDescent="0.3">
      <c r="B2251" t="s">
        <v>1626</v>
      </c>
      <c r="D2251">
        <v>232</v>
      </c>
      <c r="E2251">
        <v>9984</v>
      </c>
      <c r="F2251">
        <v>1</v>
      </c>
    </row>
    <row r="2252" spans="2:6" x14ac:dyDescent="0.3">
      <c r="B2252" t="s">
        <v>1621</v>
      </c>
      <c r="D2252">
        <v>232</v>
      </c>
      <c r="E2252">
        <v>23040</v>
      </c>
      <c r="F2252">
        <v>1</v>
      </c>
    </row>
    <row r="2253" spans="2:6" x14ac:dyDescent="0.3">
      <c r="B2253" t="s">
        <v>1627</v>
      </c>
      <c r="D2253">
        <v>228</v>
      </c>
      <c r="E2253">
        <v>4864</v>
      </c>
      <c r="F2253">
        <v>1</v>
      </c>
    </row>
    <row r="2254" spans="2:6" x14ac:dyDescent="0.3">
      <c r="B2254" t="s">
        <v>1628</v>
      </c>
      <c r="D2254">
        <v>216</v>
      </c>
      <c r="E2254">
        <v>59904</v>
      </c>
      <c r="F2254">
        <v>1</v>
      </c>
    </row>
    <row r="2255" spans="2:6" x14ac:dyDescent="0.3">
      <c r="B2255" t="s">
        <v>1629</v>
      </c>
      <c r="D2255">
        <v>224</v>
      </c>
      <c r="E2255">
        <v>44800</v>
      </c>
      <c r="F2255">
        <v>1</v>
      </c>
    </row>
    <row r="2256" spans="2:6" x14ac:dyDescent="0.3">
      <c r="B2256" t="s">
        <v>1630</v>
      </c>
      <c r="D2256">
        <v>231</v>
      </c>
      <c r="E2256">
        <v>41088</v>
      </c>
      <c r="F2256">
        <v>1</v>
      </c>
    </row>
    <row r="2257" spans="2:6" x14ac:dyDescent="0.3">
      <c r="B2257" t="s">
        <v>1631</v>
      </c>
      <c r="D2257">
        <v>229</v>
      </c>
      <c r="E2257">
        <v>25856</v>
      </c>
      <c r="F2257">
        <v>1</v>
      </c>
    </row>
    <row r="2258" spans="2:6" x14ac:dyDescent="0.3">
      <c r="B2258" t="s">
        <v>1570</v>
      </c>
      <c r="D2258">
        <v>227</v>
      </c>
      <c r="E2258">
        <v>3456</v>
      </c>
      <c r="F2258">
        <v>1</v>
      </c>
    </row>
    <row r="2259" spans="2:6" x14ac:dyDescent="0.3">
      <c r="B2259" t="s">
        <v>1632</v>
      </c>
      <c r="D2259">
        <v>221</v>
      </c>
      <c r="E2259">
        <v>42240</v>
      </c>
      <c r="F2259">
        <v>1</v>
      </c>
    </row>
    <row r="2260" spans="2:6" x14ac:dyDescent="0.3">
      <c r="B2260" t="s">
        <v>1633</v>
      </c>
      <c r="D2260">
        <v>221</v>
      </c>
      <c r="E2260">
        <v>4864</v>
      </c>
      <c r="F2260">
        <v>1</v>
      </c>
    </row>
    <row r="2261" spans="2:6" x14ac:dyDescent="0.3">
      <c r="B2261" t="s">
        <v>1634</v>
      </c>
      <c r="D2261">
        <v>232</v>
      </c>
      <c r="E2261">
        <v>512</v>
      </c>
      <c r="F2261">
        <v>1</v>
      </c>
    </row>
    <row r="2262" spans="2:6" x14ac:dyDescent="0.3">
      <c r="B2262" t="s">
        <v>1635</v>
      </c>
      <c r="D2262">
        <v>230</v>
      </c>
      <c r="E2262">
        <v>46208</v>
      </c>
      <c r="F2262">
        <v>1</v>
      </c>
    </row>
    <row r="2263" spans="2:6" x14ac:dyDescent="0.3">
      <c r="B2263" t="s">
        <v>1636</v>
      </c>
      <c r="D2263">
        <v>231</v>
      </c>
      <c r="E2263">
        <v>28416</v>
      </c>
      <c r="F2263">
        <v>1</v>
      </c>
    </row>
    <row r="2264" spans="2:6" x14ac:dyDescent="0.3">
      <c r="B2264" t="s">
        <v>274</v>
      </c>
      <c r="D2264">
        <v>223</v>
      </c>
      <c r="E2264">
        <v>19712</v>
      </c>
      <c r="F2264">
        <v>1</v>
      </c>
    </row>
    <row r="2265" spans="2:6" x14ac:dyDescent="0.3">
      <c r="B2265" t="s">
        <v>1637</v>
      </c>
      <c r="D2265">
        <v>219</v>
      </c>
      <c r="E2265">
        <v>45568</v>
      </c>
      <c r="F2265">
        <v>1</v>
      </c>
    </row>
    <row r="2266" spans="2:6" x14ac:dyDescent="0.3">
      <c r="B2266" t="s">
        <v>1638</v>
      </c>
      <c r="D2266">
        <v>220</v>
      </c>
      <c r="E2266">
        <v>50816</v>
      </c>
      <c r="F2266">
        <v>1</v>
      </c>
    </row>
    <row r="2267" spans="2:6" x14ac:dyDescent="0.3">
      <c r="B2267" t="s">
        <v>1639</v>
      </c>
      <c r="D2267">
        <v>221</v>
      </c>
      <c r="E2267">
        <v>9216</v>
      </c>
      <c r="F2267">
        <v>1</v>
      </c>
    </row>
    <row r="2268" spans="2:6" x14ac:dyDescent="0.3">
      <c r="B2268" t="s">
        <v>1640</v>
      </c>
      <c r="D2268">
        <v>222</v>
      </c>
      <c r="E2268">
        <v>26240</v>
      </c>
      <c r="F2268">
        <v>1</v>
      </c>
    </row>
    <row r="2269" spans="2:6" x14ac:dyDescent="0.3">
      <c r="B2269" t="s">
        <v>1641</v>
      </c>
      <c r="D2269">
        <v>210</v>
      </c>
      <c r="E2269">
        <v>20160</v>
      </c>
      <c r="F2269">
        <v>1</v>
      </c>
    </row>
    <row r="2270" spans="2:6" x14ac:dyDescent="0.3">
      <c r="B2270" t="s">
        <v>1642</v>
      </c>
      <c r="D2270">
        <v>209</v>
      </c>
      <c r="E2270">
        <v>28416</v>
      </c>
      <c r="F2270">
        <v>1</v>
      </c>
    </row>
    <row r="2271" spans="2:6" x14ac:dyDescent="0.3">
      <c r="B2271" t="s">
        <v>1643</v>
      </c>
      <c r="D2271">
        <v>220</v>
      </c>
      <c r="E2271">
        <v>13312</v>
      </c>
      <c r="F2271">
        <v>1</v>
      </c>
    </row>
    <row r="2272" spans="2:6" x14ac:dyDescent="0.3">
      <c r="B2272" t="s">
        <v>1644</v>
      </c>
      <c r="D2272">
        <v>224</v>
      </c>
      <c r="E2272">
        <v>34944</v>
      </c>
      <c r="F2272">
        <v>1</v>
      </c>
    </row>
    <row r="2273" spans="2:6" x14ac:dyDescent="0.3">
      <c r="B2273" t="s">
        <v>211</v>
      </c>
      <c r="D2273">
        <v>228</v>
      </c>
      <c r="E2273">
        <v>20992</v>
      </c>
      <c r="F2273">
        <v>1</v>
      </c>
    </row>
    <row r="2274" spans="2:6" x14ac:dyDescent="0.3">
      <c r="B2274" t="s">
        <v>1645</v>
      </c>
      <c r="D2274">
        <v>225</v>
      </c>
      <c r="E2274">
        <v>4480</v>
      </c>
      <c r="F2274">
        <v>1</v>
      </c>
    </row>
    <row r="2275" spans="2:6" x14ac:dyDescent="0.3">
      <c r="B2275" t="s">
        <v>1646</v>
      </c>
      <c r="D2275">
        <v>217</v>
      </c>
      <c r="E2275">
        <v>58176</v>
      </c>
      <c r="F2275">
        <v>1</v>
      </c>
    </row>
    <row r="2276" spans="2:6" x14ac:dyDescent="0.3">
      <c r="B2276" t="s">
        <v>1647</v>
      </c>
      <c r="D2276">
        <v>217</v>
      </c>
      <c r="E2276">
        <v>22912</v>
      </c>
      <c r="F2276">
        <v>1</v>
      </c>
    </row>
    <row r="2277" spans="2:6" x14ac:dyDescent="0.3">
      <c r="B2277" t="s">
        <v>1648</v>
      </c>
      <c r="D2277">
        <v>223</v>
      </c>
      <c r="E2277">
        <v>48640</v>
      </c>
      <c r="F2277">
        <v>1</v>
      </c>
    </row>
    <row r="2278" spans="2:6" x14ac:dyDescent="0.3">
      <c r="B2278" t="s">
        <v>1649</v>
      </c>
      <c r="D2278">
        <v>222</v>
      </c>
      <c r="E2278">
        <v>20608</v>
      </c>
      <c r="F2278">
        <v>1</v>
      </c>
    </row>
    <row r="2279" spans="2:6" x14ac:dyDescent="0.3">
      <c r="B2279" t="s">
        <v>1650</v>
      </c>
      <c r="D2279">
        <v>224</v>
      </c>
      <c r="E2279">
        <v>64512</v>
      </c>
      <c r="F2279">
        <v>1</v>
      </c>
    </row>
    <row r="2280" spans="2:6" x14ac:dyDescent="0.3">
      <c r="B2280" t="s">
        <v>1651</v>
      </c>
      <c r="D2280">
        <v>227</v>
      </c>
      <c r="E2280">
        <v>6528</v>
      </c>
      <c r="F2280">
        <v>1</v>
      </c>
    </row>
    <row r="2281" spans="2:6" x14ac:dyDescent="0.3">
      <c r="B2281" t="s">
        <v>1652</v>
      </c>
      <c r="D2281">
        <v>228</v>
      </c>
      <c r="E2281">
        <v>29184</v>
      </c>
      <c r="F2281">
        <v>1</v>
      </c>
    </row>
    <row r="2282" spans="2:6" x14ac:dyDescent="0.3">
      <c r="B2282" t="s">
        <v>1653</v>
      </c>
      <c r="D2282">
        <v>229</v>
      </c>
      <c r="E2282">
        <v>35200</v>
      </c>
      <c r="F2282">
        <v>1</v>
      </c>
    </row>
    <row r="2283" spans="2:6" x14ac:dyDescent="0.3">
      <c r="B2283" t="s">
        <v>1654</v>
      </c>
      <c r="D2283">
        <v>222</v>
      </c>
      <c r="E2283">
        <v>65152</v>
      </c>
      <c r="F2283">
        <v>1</v>
      </c>
    </row>
    <row r="2284" spans="2:6" x14ac:dyDescent="0.3">
      <c r="B2284" t="s">
        <v>1655</v>
      </c>
      <c r="D2284">
        <v>206</v>
      </c>
      <c r="E2284">
        <v>8512</v>
      </c>
      <c r="F2284">
        <v>1</v>
      </c>
    </row>
    <row r="2285" spans="2:6" x14ac:dyDescent="0.3">
      <c r="B2285" t="s">
        <v>1656</v>
      </c>
      <c r="D2285">
        <v>211</v>
      </c>
      <c r="E2285">
        <v>56704</v>
      </c>
      <c r="F2285">
        <v>1</v>
      </c>
    </row>
    <row r="2286" spans="2:6" x14ac:dyDescent="0.3">
      <c r="B2286" t="s">
        <v>1657</v>
      </c>
      <c r="D2286">
        <v>211</v>
      </c>
      <c r="E2286">
        <v>24832</v>
      </c>
      <c r="F2286">
        <v>1</v>
      </c>
    </row>
    <row r="2287" spans="2:6" x14ac:dyDescent="0.3">
      <c r="B2287" t="s">
        <v>1658</v>
      </c>
      <c r="D2287">
        <v>221</v>
      </c>
      <c r="E2287">
        <v>55040</v>
      </c>
      <c r="F2287">
        <v>1</v>
      </c>
    </row>
    <row r="2288" spans="2:6" x14ac:dyDescent="0.3">
      <c r="B2288" t="s">
        <v>1659</v>
      </c>
      <c r="D2288">
        <v>213</v>
      </c>
      <c r="E2288">
        <v>37248</v>
      </c>
      <c r="F2288">
        <v>1</v>
      </c>
    </row>
    <row r="2289" spans="2:6" x14ac:dyDescent="0.3">
      <c r="B2289" t="s">
        <v>1660</v>
      </c>
      <c r="D2289">
        <v>211</v>
      </c>
      <c r="E2289">
        <v>32384</v>
      </c>
      <c r="F2289">
        <v>1</v>
      </c>
    </row>
    <row r="2290" spans="2:6" x14ac:dyDescent="0.3">
      <c r="B2290" t="s">
        <v>1661</v>
      </c>
      <c r="D2290">
        <v>224</v>
      </c>
      <c r="E2290">
        <v>53504</v>
      </c>
      <c r="F2290">
        <v>1</v>
      </c>
    </row>
    <row r="2291" spans="2:6" x14ac:dyDescent="0.3">
      <c r="B2291" t="s">
        <v>1662</v>
      </c>
      <c r="D2291">
        <v>221</v>
      </c>
      <c r="E2291">
        <v>50560</v>
      </c>
      <c r="F2291">
        <v>1</v>
      </c>
    </row>
    <row r="2292" spans="2:6" x14ac:dyDescent="0.3">
      <c r="B2292" t="s">
        <v>1663</v>
      </c>
      <c r="D2292">
        <v>222</v>
      </c>
      <c r="E2292">
        <v>7040</v>
      </c>
      <c r="F2292">
        <v>1</v>
      </c>
    </row>
    <row r="2293" spans="2:6" x14ac:dyDescent="0.3">
      <c r="B2293" t="s">
        <v>1664</v>
      </c>
      <c r="D2293">
        <v>211</v>
      </c>
      <c r="E2293">
        <v>63936</v>
      </c>
      <c r="F2293">
        <v>1</v>
      </c>
    </row>
    <row r="2294" spans="2:6" x14ac:dyDescent="0.3">
      <c r="B2294" t="s">
        <v>1665</v>
      </c>
      <c r="D2294">
        <v>211</v>
      </c>
      <c r="E2294">
        <v>35456</v>
      </c>
      <c r="F2294">
        <v>1</v>
      </c>
    </row>
    <row r="2295" spans="2:6" x14ac:dyDescent="0.3">
      <c r="B2295" t="s">
        <v>1666</v>
      </c>
      <c r="D2295">
        <v>214</v>
      </c>
      <c r="E2295">
        <v>896</v>
      </c>
      <c r="F2295">
        <v>1</v>
      </c>
    </row>
    <row r="2296" spans="2:6" x14ac:dyDescent="0.3">
      <c r="B2296" t="s">
        <v>1667</v>
      </c>
      <c r="D2296">
        <v>214</v>
      </c>
      <c r="E2296">
        <v>53248</v>
      </c>
      <c r="F2296">
        <v>1</v>
      </c>
    </row>
    <row r="2297" spans="2:6" x14ac:dyDescent="0.3">
      <c r="B2297" t="s">
        <v>1668</v>
      </c>
      <c r="D2297">
        <v>199</v>
      </c>
      <c r="E2297">
        <v>40320</v>
      </c>
      <c r="F2297">
        <v>1</v>
      </c>
    </row>
    <row r="2298" spans="2:6" x14ac:dyDescent="0.3">
      <c r="B2298" t="s">
        <v>1669</v>
      </c>
      <c r="D2298">
        <v>197</v>
      </c>
      <c r="E2298">
        <v>18688</v>
      </c>
      <c r="F2298">
        <v>1</v>
      </c>
    </row>
    <row r="2299" spans="2:6" x14ac:dyDescent="0.3">
      <c r="B2299" t="s">
        <v>1670</v>
      </c>
      <c r="D2299">
        <v>197</v>
      </c>
      <c r="E2299">
        <v>23872</v>
      </c>
      <c r="F2299">
        <v>1</v>
      </c>
    </row>
    <row r="2300" spans="2:6" x14ac:dyDescent="0.3">
      <c r="B2300" t="s">
        <v>1671</v>
      </c>
      <c r="D2300">
        <v>217</v>
      </c>
      <c r="E2300">
        <v>9728</v>
      </c>
      <c r="F2300">
        <v>1</v>
      </c>
    </row>
    <row r="2301" spans="2:6" x14ac:dyDescent="0.3">
      <c r="B2301" t="s">
        <v>1672</v>
      </c>
      <c r="D2301">
        <v>214</v>
      </c>
      <c r="E2301">
        <v>56896</v>
      </c>
      <c r="F2301">
        <v>1</v>
      </c>
    </row>
    <row r="2302" spans="2:6" x14ac:dyDescent="0.3">
      <c r="B2302" t="s">
        <v>1673</v>
      </c>
      <c r="D2302">
        <v>218</v>
      </c>
      <c r="E2302">
        <v>51264</v>
      </c>
      <c r="F2302">
        <v>1</v>
      </c>
    </row>
    <row r="2303" spans="2:6" x14ac:dyDescent="0.3">
      <c r="B2303" t="s">
        <v>1674</v>
      </c>
      <c r="D2303">
        <v>213</v>
      </c>
      <c r="E2303">
        <v>6976</v>
      </c>
      <c r="F2303">
        <v>1</v>
      </c>
    </row>
    <row r="2304" spans="2:6" x14ac:dyDescent="0.3">
      <c r="B2304" t="s">
        <v>1675</v>
      </c>
      <c r="D2304">
        <v>207</v>
      </c>
      <c r="E2304">
        <v>32480</v>
      </c>
      <c r="F2304">
        <v>1</v>
      </c>
    </row>
    <row r="2305" spans="2:6" x14ac:dyDescent="0.3">
      <c r="B2305" t="s">
        <v>1676</v>
      </c>
      <c r="D2305">
        <v>209</v>
      </c>
      <c r="E2305">
        <v>23744</v>
      </c>
      <c r="F2305">
        <v>1</v>
      </c>
    </row>
    <row r="2306" spans="2:6" x14ac:dyDescent="0.3">
      <c r="B2306" t="s">
        <v>1677</v>
      </c>
      <c r="D2306">
        <v>193</v>
      </c>
      <c r="E2306">
        <v>62256</v>
      </c>
      <c r="F2306">
        <v>1</v>
      </c>
    </row>
    <row r="2307" spans="2:6" x14ac:dyDescent="0.3">
      <c r="B2307" t="s">
        <v>1678</v>
      </c>
      <c r="D2307">
        <v>198</v>
      </c>
      <c r="E2307">
        <v>28608</v>
      </c>
      <c r="F2307">
        <v>1</v>
      </c>
    </row>
    <row r="2308" spans="2:6" x14ac:dyDescent="0.3">
      <c r="B2308" t="s">
        <v>1679</v>
      </c>
      <c r="D2308">
        <v>195</v>
      </c>
      <c r="E2308">
        <v>22016</v>
      </c>
      <c r="F2308">
        <v>1</v>
      </c>
    </row>
    <row r="2309" spans="2:6" x14ac:dyDescent="0.3">
      <c r="B2309" t="s">
        <v>1680</v>
      </c>
      <c r="D2309">
        <v>191</v>
      </c>
      <c r="E2309">
        <v>60256</v>
      </c>
      <c r="F2309">
        <v>1</v>
      </c>
    </row>
    <row r="2310" spans="2:6" x14ac:dyDescent="0.3">
      <c r="B2310" t="s">
        <v>1681</v>
      </c>
      <c r="D2310">
        <v>205</v>
      </c>
      <c r="E2310">
        <v>65248</v>
      </c>
      <c r="F2310">
        <v>1</v>
      </c>
    </row>
    <row r="2311" spans="2:6" x14ac:dyDescent="0.3">
      <c r="B2311" t="s">
        <v>1682</v>
      </c>
      <c r="D2311">
        <v>202</v>
      </c>
      <c r="E2311">
        <v>43392</v>
      </c>
      <c r="F2311">
        <v>1</v>
      </c>
    </row>
    <row r="2312" spans="2:6" x14ac:dyDescent="0.3">
      <c r="B2312" t="s">
        <v>1683</v>
      </c>
      <c r="D2312">
        <v>199</v>
      </c>
      <c r="E2312">
        <v>29952</v>
      </c>
      <c r="F2312">
        <v>1</v>
      </c>
    </row>
    <row r="2313" spans="2:6" x14ac:dyDescent="0.3">
      <c r="B2313" t="s">
        <v>1684</v>
      </c>
      <c r="D2313">
        <v>197</v>
      </c>
      <c r="E2313">
        <v>15648</v>
      </c>
      <c r="F2313">
        <v>1</v>
      </c>
    </row>
    <row r="2314" spans="2:6" x14ac:dyDescent="0.3">
      <c r="B2314" t="s">
        <v>1685</v>
      </c>
      <c r="D2314">
        <v>196</v>
      </c>
      <c r="E2314">
        <v>13824</v>
      </c>
      <c r="F2314">
        <v>1</v>
      </c>
    </row>
    <row r="2315" spans="2:6" x14ac:dyDescent="0.3">
      <c r="B2315" t="s">
        <v>1686</v>
      </c>
      <c r="D2315">
        <v>191</v>
      </c>
      <c r="E2315">
        <v>59248</v>
      </c>
      <c r="F2315">
        <v>1</v>
      </c>
    </row>
    <row r="2316" spans="2:6" x14ac:dyDescent="0.3">
      <c r="B2316" t="s">
        <v>1687</v>
      </c>
      <c r="D2316">
        <v>187</v>
      </c>
      <c r="E2316">
        <v>48032</v>
      </c>
      <c r="F2316">
        <v>1</v>
      </c>
    </row>
    <row r="2317" spans="2:6" x14ac:dyDescent="0.3">
      <c r="B2317" t="s">
        <v>1688</v>
      </c>
      <c r="D2317">
        <v>184</v>
      </c>
      <c r="E2317">
        <v>41328</v>
      </c>
      <c r="F2317">
        <v>1</v>
      </c>
    </row>
    <row r="2318" spans="2:6" x14ac:dyDescent="0.3">
      <c r="B2318" t="s">
        <v>1689</v>
      </c>
      <c r="D2318">
        <v>180</v>
      </c>
      <c r="E2318">
        <v>31584</v>
      </c>
      <c r="F2318">
        <v>1</v>
      </c>
    </row>
    <row r="2319" spans="2:6" x14ac:dyDescent="0.3">
      <c r="B2319" t="s">
        <v>1690</v>
      </c>
      <c r="D2319">
        <v>174</v>
      </c>
      <c r="E2319">
        <v>22680</v>
      </c>
      <c r="F2319">
        <v>1</v>
      </c>
    </row>
    <row r="2320" spans="2:6" x14ac:dyDescent="0.3">
      <c r="B2320" t="s">
        <v>1691</v>
      </c>
      <c r="D2320">
        <v>172</v>
      </c>
      <c r="E2320">
        <v>18968</v>
      </c>
      <c r="F2320">
        <v>1</v>
      </c>
    </row>
    <row r="2321" spans="2:6" x14ac:dyDescent="0.3">
      <c r="B2321" t="s">
        <v>1692</v>
      </c>
      <c r="D2321">
        <v>169</v>
      </c>
      <c r="E2321">
        <v>16372</v>
      </c>
      <c r="F2321">
        <v>1</v>
      </c>
    </row>
    <row r="2322" spans="2:6" x14ac:dyDescent="0.3">
      <c r="B2322" t="s">
        <v>1693</v>
      </c>
      <c r="D2322">
        <v>164</v>
      </c>
      <c r="E2322">
        <v>13844</v>
      </c>
      <c r="F2322">
        <v>1</v>
      </c>
    </row>
    <row r="2323" spans="2:6" x14ac:dyDescent="0.3">
      <c r="B2323" t="s">
        <v>1694</v>
      </c>
      <c r="D2323">
        <v>161</v>
      </c>
      <c r="E2323">
        <v>11040</v>
      </c>
      <c r="F2323">
        <v>1</v>
      </c>
    </row>
    <row r="2324" spans="2:6" x14ac:dyDescent="0.3">
      <c r="B2324" t="s">
        <v>1695</v>
      </c>
      <c r="D2324">
        <v>156</v>
      </c>
      <c r="E2324">
        <v>8098</v>
      </c>
      <c r="F2324">
        <v>1</v>
      </c>
    </row>
    <row r="2325" spans="2:6" x14ac:dyDescent="0.3">
      <c r="B2325" t="s">
        <v>1696</v>
      </c>
      <c r="D2325">
        <v>147</v>
      </c>
      <c r="E2325">
        <v>4628</v>
      </c>
      <c r="F2325">
        <v>1</v>
      </c>
    </row>
    <row r="2326" spans="2:6" x14ac:dyDescent="0.3">
      <c r="B2326" t="s">
        <v>1697</v>
      </c>
      <c r="D2326">
        <v>139</v>
      </c>
      <c r="E2326">
        <v>3238</v>
      </c>
      <c r="F2326">
        <v>1</v>
      </c>
    </row>
    <row r="2327" spans="2:6" x14ac:dyDescent="0.3">
      <c r="B2327" t="s">
        <v>1698</v>
      </c>
      <c r="D2327">
        <v>130</v>
      </c>
      <c r="E2327">
        <v>2174</v>
      </c>
      <c r="F2327">
        <v>1</v>
      </c>
    </row>
    <row r="2328" spans="2:6" x14ac:dyDescent="0.3">
      <c r="B2328" t="s">
        <v>1699</v>
      </c>
      <c r="D2328">
        <v>118</v>
      </c>
      <c r="E2328">
        <v>1088</v>
      </c>
      <c r="F2328">
        <v>1</v>
      </c>
    </row>
    <row r="2329" spans="2:6" x14ac:dyDescent="0.3">
      <c r="B2329" t="s">
        <v>1700</v>
      </c>
      <c r="D2329">
        <v>103</v>
      </c>
      <c r="E2329">
        <v>485</v>
      </c>
      <c r="F2329">
        <v>1</v>
      </c>
    </row>
    <row r="2330" spans="2:6" x14ac:dyDescent="0.3">
      <c r="B2330" t="s">
        <v>1701</v>
      </c>
      <c r="D2330">
        <v>91</v>
      </c>
      <c r="E2330">
        <v>202</v>
      </c>
      <c r="F2330">
        <v>1</v>
      </c>
    </row>
    <row r="2331" spans="2:6" x14ac:dyDescent="0.3">
      <c r="B2331" t="s">
        <v>1702</v>
      </c>
      <c r="D2331">
        <v>78</v>
      </c>
      <c r="E2331">
        <v>110</v>
      </c>
      <c r="F2331">
        <v>1</v>
      </c>
    </row>
    <row r="2332" spans="2:6" x14ac:dyDescent="0.3">
      <c r="B2332" t="s">
        <v>1703</v>
      </c>
      <c r="D2332">
        <v>44</v>
      </c>
      <c r="E2332">
        <v>42</v>
      </c>
      <c r="F2332">
        <v>1</v>
      </c>
    </row>
    <row r="2333" spans="2:6" x14ac:dyDescent="0.3">
      <c r="B2333" t="s">
        <v>1704</v>
      </c>
      <c r="D2333">
        <v>18</v>
      </c>
      <c r="E2333">
        <v>22</v>
      </c>
      <c r="F2333">
        <v>1</v>
      </c>
    </row>
    <row r="2334" spans="2:6" x14ac:dyDescent="0.3">
      <c r="B2334" t="s">
        <v>1705</v>
      </c>
      <c r="D2334">
        <v>7</v>
      </c>
      <c r="E2334">
        <v>8</v>
      </c>
      <c r="F2334">
        <v>1</v>
      </c>
    </row>
    <row r="2335" spans="2:6" x14ac:dyDescent="0.3">
      <c r="B2335" t="s">
        <v>483</v>
      </c>
      <c r="D2335">
        <v>3</v>
      </c>
      <c r="E2335">
        <v>2</v>
      </c>
      <c r="F2335">
        <v>1</v>
      </c>
    </row>
    <row r="2336" spans="2:6" x14ac:dyDescent="0.3">
      <c r="B2336" t="s">
        <v>17</v>
      </c>
      <c r="D2336">
        <v>2</v>
      </c>
      <c r="E2336">
        <v>1</v>
      </c>
      <c r="F2336">
        <v>1</v>
      </c>
    </row>
    <row r="2337" spans="2:6" x14ac:dyDescent="0.3">
      <c r="B2337" t="s">
        <v>18</v>
      </c>
      <c r="D2337">
        <v>1</v>
      </c>
      <c r="E2337">
        <v>0</v>
      </c>
      <c r="F2337">
        <v>1</v>
      </c>
    </row>
    <row r="2338" spans="2:6" x14ac:dyDescent="0.3">
      <c r="B2338" t="s">
        <v>11</v>
      </c>
      <c r="D2338">
        <v>0</v>
      </c>
      <c r="E2338">
        <v>0</v>
      </c>
      <c r="F2338">
        <v>1</v>
      </c>
    </row>
    <row r="2339" spans="2:6" x14ac:dyDescent="0.3">
      <c r="B2339" t="s">
        <v>11</v>
      </c>
      <c r="D2339">
        <v>0</v>
      </c>
      <c r="E2339">
        <v>0</v>
      </c>
      <c r="F2339">
        <v>1</v>
      </c>
    </row>
    <row r="2340" spans="2:6" x14ac:dyDescent="0.3">
      <c r="B2340" t="s">
        <v>11</v>
      </c>
      <c r="D2340">
        <v>0</v>
      </c>
      <c r="E2340">
        <v>0</v>
      </c>
      <c r="F2340">
        <v>1</v>
      </c>
    </row>
    <row r="2341" spans="2:6" x14ac:dyDescent="0.3">
      <c r="B2341" t="s">
        <v>11</v>
      </c>
      <c r="D2341">
        <v>0</v>
      </c>
      <c r="E2341">
        <v>0</v>
      </c>
      <c r="F2341">
        <v>1</v>
      </c>
    </row>
    <row r="2342" spans="2:6" x14ac:dyDescent="0.3">
      <c r="B2342" t="s">
        <v>11</v>
      </c>
      <c r="D2342">
        <v>0</v>
      </c>
      <c r="E2342">
        <v>0</v>
      </c>
      <c r="F2342">
        <v>1</v>
      </c>
    </row>
    <row r="2343" spans="2:6" x14ac:dyDescent="0.3">
      <c r="B2343" t="s">
        <v>11</v>
      </c>
      <c r="D2343">
        <v>0</v>
      </c>
      <c r="E2343">
        <v>0</v>
      </c>
      <c r="F2343">
        <v>1</v>
      </c>
    </row>
    <row r="2344" spans="2:6" x14ac:dyDescent="0.3">
      <c r="B2344" t="s">
        <v>11</v>
      </c>
      <c r="D2344">
        <v>0</v>
      </c>
      <c r="E2344">
        <v>0</v>
      </c>
      <c r="F2344">
        <v>1</v>
      </c>
    </row>
    <row r="2345" spans="2:6" x14ac:dyDescent="0.3">
      <c r="B2345" t="s">
        <v>11</v>
      </c>
      <c r="D2345">
        <v>0</v>
      </c>
      <c r="E2345">
        <v>0</v>
      </c>
      <c r="F2345">
        <v>1</v>
      </c>
    </row>
    <row r="2346" spans="2:6" x14ac:dyDescent="0.3">
      <c r="B2346" t="s">
        <v>11</v>
      </c>
      <c r="D2346">
        <v>0</v>
      </c>
      <c r="E2346">
        <v>0</v>
      </c>
      <c r="F2346">
        <v>1</v>
      </c>
    </row>
    <row r="2347" spans="2:6" x14ac:dyDescent="0.3">
      <c r="B2347" t="s">
        <v>11</v>
      </c>
      <c r="D2347">
        <v>0</v>
      </c>
      <c r="E2347">
        <v>0</v>
      </c>
      <c r="F2347">
        <v>1</v>
      </c>
    </row>
    <row r="2348" spans="2:6" x14ac:dyDescent="0.3">
      <c r="B2348" t="s">
        <v>11</v>
      </c>
      <c r="D2348">
        <v>0</v>
      </c>
      <c r="E2348">
        <v>0</v>
      </c>
      <c r="F2348">
        <v>1</v>
      </c>
    </row>
    <row r="2349" spans="2:6" x14ac:dyDescent="0.3">
      <c r="B2349" t="s">
        <v>11</v>
      </c>
      <c r="D2349">
        <v>0</v>
      </c>
      <c r="E2349">
        <v>0</v>
      </c>
      <c r="F2349">
        <v>1</v>
      </c>
    </row>
    <row r="2350" spans="2:6" x14ac:dyDescent="0.3">
      <c r="B2350" t="s">
        <v>11</v>
      </c>
      <c r="D2350">
        <v>0</v>
      </c>
      <c r="E2350">
        <v>0</v>
      </c>
      <c r="F2350">
        <v>1</v>
      </c>
    </row>
    <row r="2351" spans="2:6" x14ac:dyDescent="0.3">
      <c r="B2351" t="s">
        <v>11</v>
      </c>
      <c r="D2351">
        <v>0</v>
      </c>
      <c r="E2351">
        <v>0</v>
      </c>
      <c r="F2351">
        <v>1</v>
      </c>
    </row>
    <row r="2352" spans="2:6" x14ac:dyDescent="0.3">
      <c r="B2352" t="s">
        <v>11</v>
      </c>
      <c r="D2352">
        <v>0</v>
      </c>
      <c r="E2352">
        <v>0</v>
      </c>
      <c r="F2352">
        <v>1</v>
      </c>
    </row>
    <row r="2353" spans="2:6" x14ac:dyDescent="0.3">
      <c r="B2353" t="s">
        <v>11</v>
      </c>
      <c r="D2353">
        <v>0</v>
      </c>
      <c r="E2353">
        <v>0</v>
      </c>
      <c r="F2353">
        <v>1</v>
      </c>
    </row>
    <row r="2354" spans="2:6" x14ac:dyDescent="0.3">
      <c r="B2354" t="s">
        <v>11</v>
      </c>
      <c r="D2354">
        <v>0</v>
      </c>
      <c r="E2354">
        <v>0</v>
      </c>
      <c r="F2354">
        <v>1</v>
      </c>
    </row>
    <row r="2355" spans="2:6" x14ac:dyDescent="0.3">
      <c r="B2355" t="s">
        <v>11</v>
      </c>
      <c r="D2355">
        <v>0</v>
      </c>
      <c r="E2355">
        <v>0</v>
      </c>
      <c r="F2355">
        <v>1</v>
      </c>
    </row>
    <row r="2356" spans="2:6" x14ac:dyDescent="0.3">
      <c r="B2356" t="s">
        <v>11</v>
      </c>
      <c r="D2356">
        <v>0</v>
      </c>
      <c r="E2356">
        <v>0</v>
      </c>
      <c r="F2356">
        <v>1</v>
      </c>
    </row>
    <row r="2357" spans="2:6" x14ac:dyDescent="0.3">
      <c r="B2357" t="s">
        <v>11</v>
      </c>
      <c r="D2357">
        <v>0</v>
      </c>
      <c r="E2357">
        <v>0</v>
      </c>
      <c r="F2357">
        <v>1</v>
      </c>
    </row>
    <row r="2358" spans="2:6" x14ac:dyDescent="0.3">
      <c r="B2358" t="s">
        <v>11</v>
      </c>
      <c r="D2358">
        <v>0</v>
      </c>
      <c r="E2358">
        <v>0</v>
      </c>
      <c r="F2358">
        <v>1</v>
      </c>
    </row>
    <row r="2359" spans="2:6" x14ac:dyDescent="0.3">
      <c r="B2359" t="s">
        <v>11</v>
      </c>
      <c r="D2359">
        <v>0</v>
      </c>
      <c r="E2359">
        <v>0</v>
      </c>
      <c r="F2359">
        <v>1</v>
      </c>
    </row>
    <row r="2360" spans="2:6" x14ac:dyDescent="0.3">
      <c r="B2360" t="s">
        <v>11</v>
      </c>
      <c r="D2360">
        <v>0</v>
      </c>
      <c r="E2360">
        <v>0</v>
      </c>
      <c r="F2360">
        <v>1</v>
      </c>
    </row>
    <row r="2361" spans="2:6" x14ac:dyDescent="0.3">
      <c r="B2361" t="s">
        <v>11</v>
      </c>
      <c r="D2361">
        <v>0</v>
      </c>
      <c r="E2361">
        <v>0</v>
      </c>
      <c r="F2361">
        <v>1</v>
      </c>
    </row>
    <row r="2362" spans="2:6" x14ac:dyDescent="0.3">
      <c r="B2362" t="s">
        <v>11</v>
      </c>
      <c r="D2362">
        <v>0</v>
      </c>
      <c r="E2362">
        <v>0</v>
      </c>
      <c r="F2362">
        <v>1</v>
      </c>
    </row>
    <row r="2363" spans="2:6" x14ac:dyDescent="0.3">
      <c r="B2363" t="s">
        <v>11</v>
      </c>
      <c r="D2363">
        <v>0</v>
      </c>
      <c r="E2363">
        <v>0</v>
      </c>
      <c r="F2363">
        <v>1</v>
      </c>
    </row>
    <row r="2364" spans="2:6" x14ac:dyDescent="0.3">
      <c r="B2364" t="s">
        <v>11</v>
      </c>
      <c r="D2364">
        <v>0</v>
      </c>
      <c r="E2364">
        <v>0</v>
      </c>
      <c r="F2364">
        <v>1</v>
      </c>
    </row>
    <row r="2365" spans="2:6" x14ac:dyDescent="0.3">
      <c r="B2365" t="s">
        <v>11</v>
      </c>
      <c r="D2365">
        <v>0</v>
      </c>
      <c r="E2365">
        <v>0</v>
      </c>
      <c r="F2365">
        <v>1</v>
      </c>
    </row>
    <row r="2366" spans="2:6" x14ac:dyDescent="0.3">
      <c r="B2366" t="s">
        <v>11</v>
      </c>
      <c r="D2366">
        <v>0</v>
      </c>
      <c r="E2366">
        <v>0</v>
      </c>
      <c r="F2366">
        <v>1</v>
      </c>
    </row>
    <row r="2367" spans="2:6" x14ac:dyDescent="0.3">
      <c r="B2367" t="s">
        <v>11</v>
      </c>
      <c r="D2367">
        <v>0</v>
      </c>
      <c r="E2367">
        <v>0</v>
      </c>
      <c r="F2367">
        <v>1</v>
      </c>
    </row>
    <row r="2368" spans="2:6" x14ac:dyDescent="0.3">
      <c r="B2368" t="s">
        <v>11</v>
      </c>
      <c r="D2368">
        <v>0</v>
      </c>
      <c r="E2368">
        <v>0</v>
      </c>
      <c r="F2368">
        <v>1</v>
      </c>
    </row>
    <row r="2369" spans="2:6" x14ac:dyDescent="0.3">
      <c r="B2369" t="s">
        <v>11</v>
      </c>
      <c r="D2369">
        <v>0</v>
      </c>
      <c r="E2369">
        <v>0</v>
      </c>
      <c r="F2369">
        <v>1</v>
      </c>
    </row>
    <row r="2370" spans="2:6" x14ac:dyDescent="0.3">
      <c r="B2370" t="s">
        <v>11</v>
      </c>
      <c r="D2370">
        <v>0</v>
      </c>
      <c r="E2370">
        <v>0</v>
      </c>
      <c r="F2370">
        <v>1</v>
      </c>
    </row>
    <row r="2371" spans="2:6" x14ac:dyDescent="0.3">
      <c r="B2371" t="s">
        <v>11</v>
      </c>
      <c r="D2371">
        <v>0</v>
      </c>
      <c r="E2371">
        <v>0</v>
      </c>
      <c r="F2371">
        <v>1</v>
      </c>
    </row>
    <row r="2372" spans="2:6" x14ac:dyDescent="0.3">
      <c r="B2372" t="s">
        <v>11</v>
      </c>
      <c r="D2372">
        <v>0</v>
      </c>
      <c r="E2372">
        <v>0</v>
      </c>
      <c r="F2372">
        <v>1</v>
      </c>
    </row>
    <row r="2373" spans="2:6" x14ac:dyDescent="0.3">
      <c r="B2373" t="s">
        <v>11</v>
      </c>
      <c r="D2373">
        <v>0</v>
      </c>
      <c r="E2373">
        <v>0</v>
      </c>
      <c r="F2373">
        <v>1</v>
      </c>
    </row>
    <row r="2374" spans="2:6" x14ac:dyDescent="0.3">
      <c r="B2374" t="s">
        <v>11</v>
      </c>
      <c r="D2374">
        <v>0</v>
      </c>
      <c r="E2374">
        <v>0</v>
      </c>
      <c r="F2374">
        <v>1</v>
      </c>
    </row>
    <row r="2375" spans="2:6" x14ac:dyDescent="0.3">
      <c r="B2375" t="s">
        <v>11</v>
      </c>
      <c r="D2375">
        <v>0</v>
      </c>
      <c r="E2375">
        <v>0</v>
      </c>
      <c r="F2375">
        <v>1</v>
      </c>
    </row>
    <row r="2376" spans="2:6" x14ac:dyDescent="0.3">
      <c r="B2376" t="s">
        <v>11</v>
      </c>
      <c r="D2376">
        <v>0</v>
      </c>
      <c r="E2376">
        <v>0</v>
      </c>
      <c r="F2376">
        <v>1</v>
      </c>
    </row>
    <row r="2377" spans="2:6" x14ac:dyDescent="0.3">
      <c r="B2377" t="s">
        <v>11</v>
      </c>
      <c r="D2377">
        <v>0</v>
      </c>
      <c r="E2377">
        <v>0</v>
      </c>
      <c r="F2377">
        <v>1</v>
      </c>
    </row>
    <row r="2378" spans="2:6" x14ac:dyDescent="0.3">
      <c r="B2378" t="s">
        <v>11</v>
      </c>
      <c r="D2378">
        <v>0</v>
      </c>
      <c r="E2378">
        <v>0</v>
      </c>
      <c r="F2378">
        <v>1</v>
      </c>
    </row>
    <row r="2379" spans="2:6" x14ac:dyDescent="0.3">
      <c r="B2379" t="s">
        <v>11</v>
      </c>
      <c r="D2379">
        <v>0</v>
      </c>
      <c r="E2379">
        <v>0</v>
      </c>
      <c r="F2379">
        <v>1</v>
      </c>
    </row>
    <row r="2380" spans="2:6" x14ac:dyDescent="0.3">
      <c r="B2380" t="s">
        <v>11</v>
      </c>
      <c r="D2380">
        <v>0</v>
      </c>
      <c r="E2380">
        <v>0</v>
      </c>
      <c r="F2380">
        <v>1</v>
      </c>
    </row>
    <row r="2381" spans="2:6" x14ac:dyDescent="0.3">
      <c r="B2381" t="s">
        <v>11</v>
      </c>
      <c r="D2381">
        <v>0</v>
      </c>
      <c r="E2381">
        <v>0</v>
      </c>
      <c r="F2381">
        <v>1</v>
      </c>
    </row>
    <row r="2382" spans="2:6" x14ac:dyDescent="0.3">
      <c r="B2382" t="s">
        <v>11</v>
      </c>
      <c r="D2382">
        <v>0</v>
      </c>
      <c r="E2382">
        <v>0</v>
      </c>
      <c r="F2382">
        <v>1</v>
      </c>
    </row>
    <row r="2383" spans="2:6" x14ac:dyDescent="0.3">
      <c r="B2383" t="s">
        <v>11</v>
      </c>
      <c r="D2383">
        <v>0</v>
      </c>
      <c r="E2383">
        <v>0</v>
      </c>
      <c r="F2383">
        <v>1</v>
      </c>
    </row>
    <row r="2384" spans="2:6" x14ac:dyDescent="0.3">
      <c r="B2384" t="s">
        <v>11</v>
      </c>
      <c r="D2384">
        <v>0</v>
      </c>
      <c r="E2384">
        <v>0</v>
      </c>
      <c r="F2384">
        <v>1</v>
      </c>
    </row>
    <row r="2385" spans="2:6" x14ac:dyDescent="0.3">
      <c r="B2385" t="s">
        <v>11</v>
      </c>
      <c r="D2385">
        <v>0</v>
      </c>
      <c r="E2385">
        <v>0</v>
      </c>
      <c r="F2385">
        <v>1</v>
      </c>
    </row>
    <row r="2386" spans="2:6" x14ac:dyDescent="0.3">
      <c r="B2386" t="s">
        <v>11</v>
      </c>
      <c r="D2386">
        <v>0</v>
      </c>
      <c r="E2386">
        <v>0</v>
      </c>
      <c r="F2386">
        <v>1</v>
      </c>
    </row>
    <row r="2387" spans="2:6" x14ac:dyDescent="0.3">
      <c r="B2387" t="s">
        <v>11</v>
      </c>
      <c r="D2387">
        <v>0</v>
      </c>
      <c r="E2387">
        <v>0</v>
      </c>
      <c r="F2387">
        <v>1</v>
      </c>
    </row>
    <row r="2388" spans="2:6" x14ac:dyDescent="0.3">
      <c r="B2388" t="s">
        <v>11</v>
      </c>
      <c r="D2388">
        <v>0</v>
      </c>
      <c r="E2388">
        <v>0</v>
      </c>
      <c r="F2388">
        <v>1</v>
      </c>
    </row>
    <row r="2389" spans="2:6" x14ac:dyDescent="0.3">
      <c r="B2389" t="s">
        <v>11</v>
      </c>
      <c r="D2389">
        <v>0</v>
      </c>
      <c r="E2389">
        <v>0</v>
      </c>
      <c r="F2389">
        <v>1</v>
      </c>
    </row>
    <row r="2390" spans="2:6" x14ac:dyDescent="0.3">
      <c r="B2390" t="s">
        <v>11</v>
      </c>
      <c r="D2390">
        <v>0</v>
      </c>
      <c r="E2390">
        <v>0</v>
      </c>
      <c r="F2390">
        <v>1</v>
      </c>
    </row>
    <row r="2391" spans="2:6" x14ac:dyDescent="0.3">
      <c r="B2391" t="s">
        <v>11</v>
      </c>
      <c r="D2391">
        <v>0</v>
      </c>
      <c r="E2391">
        <v>0</v>
      </c>
      <c r="F2391">
        <v>1</v>
      </c>
    </row>
    <row r="2392" spans="2:6" x14ac:dyDescent="0.3">
      <c r="B2392" t="s">
        <v>11</v>
      </c>
      <c r="D2392">
        <v>0</v>
      </c>
      <c r="E2392">
        <v>0</v>
      </c>
      <c r="F2392">
        <v>1</v>
      </c>
    </row>
    <row r="2393" spans="2:6" x14ac:dyDescent="0.3">
      <c r="B2393" t="s">
        <v>11</v>
      </c>
      <c r="D2393">
        <v>0</v>
      </c>
      <c r="E2393">
        <v>0</v>
      </c>
      <c r="F2393">
        <v>1</v>
      </c>
    </row>
    <row r="2394" spans="2:6" x14ac:dyDescent="0.3">
      <c r="B2394" t="s">
        <v>11</v>
      </c>
      <c r="D2394">
        <v>0</v>
      </c>
      <c r="E2394">
        <v>0</v>
      </c>
      <c r="F2394">
        <v>1</v>
      </c>
    </row>
    <row r="2395" spans="2:6" x14ac:dyDescent="0.3">
      <c r="B2395" t="s">
        <v>11</v>
      </c>
      <c r="D2395">
        <v>0</v>
      </c>
      <c r="E2395">
        <v>0</v>
      </c>
      <c r="F2395">
        <v>1</v>
      </c>
    </row>
    <row r="2396" spans="2:6" x14ac:dyDescent="0.3">
      <c r="B2396" t="s">
        <v>11</v>
      </c>
      <c r="D2396">
        <v>0</v>
      </c>
      <c r="E2396">
        <v>0</v>
      </c>
      <c r="F2396">
        <v>1</v>
      </c>
    </row>
    <row r="2397" spans="2:6" x14ac:dyDescent="0.3">
      <c r="B2397" t="s">
        <v>11</v>
      </c>
      <c r="D2397">
        <v>0</v>
      </c>
      <c r="E2397">
        <v>0</v>
      </c>
      <c r="F2397">
        <v>1</v>
      </c>
    </row>
    <row r="2398" spans="2:6" x14ac:dyDescent="0.3">
      <c r="B2398" t="s">
        <v>11</v>
      </c>
      <c r="D2398">
        <v>0</v>
      </c>
      <c r="E2398">
        <v>0</v>
      </c>
      <c r="F2398">
        <v>1</v>
      </c>
    </row>
    <row r="2399" spans="2:6" x14ac:dyDescent="0.3">
      <c r="B2399" t="s">
        <v>11</v>
      </c>
      <c r="D2399">
        <v>0</v>
      </c>
      <c r="E2399">
        <v>0</v>
      </c>
      <c r="F2399">
        <v>1</v>
      </c>
    </row>
    <row r="2400" spans="2:6" x14ac:dyDescent="0.3">
      <c r="B2400" t="s">
        <v>11</v>
      </c>
      <c r="D2400">
        <v>0</v>
      </c>
      <c r="E2400">
        <v>0</v>
      </c>
      <c r="F2400">
        <v>1</v>
      </c>
    </row>
    <row r="2401" spans="2:6" x14ac:dyDescent="0.3">
      <c r="B2401" t="s">
        <v>11</v>
      </c>
      <c r="D2401">
        <v>0</v>
      </c>
      <c r="E2401">
        <v>0</v>
      </c>
      <c r="F2401">
        <v>1</v>
      </c>
    </row>
    <row r="2402" spans="2:6" x14ac:dyDescent="0.3">
      <c r="B2402" t="s">
        <v>11</v>
      </c>
      <c r="D2402">
        <v>0</v>
      </c>
      <c r="E2402">
        <v>0</v>
      </c>
      <c r="F2402">
        <v>1</v>
      </c>
    </row>
    <row r="2403" spans="2:6" x14ac:dyDescent="0.3">
      <c r="B2403" t="s">
        <v>11</v>
      </c>
      <c r="D2403">
        <v>0</v>
      </c>
      <c r="E2403">
        <v>0</v>
      </c>
      <c r="F2403">
        <v>1</v>
      </c>
    </row>
    <row r="2404" spans="2:6" x14ac:dyDescent="0.3">
      <c r="B2404" t="s">
        <v>11</v>
      </c>
      <c r="D2404">
        <v>0</v>
      </c>
      <c r="E2404">
        <v>0</v>
      </c>
      <c r="F2404">
        <v>1</v>
      </c>
    </row>
    <row r="2405" spans="2:6" x14ac:dyDescent="0.3">
      <c r="B2405" t="s">
        <v>18</v>
      </c>
      <c r="D2405">
        <v>1</v>
      </c>
      <c r="E2405">
        <v>0</v>
      </c>
      <c r="F2405">
        <v>1</v>
      </c>
    </row>
    <row r="2406" spans="2:6" x14ac:dyDescent="0.3">
      <c r="B2406" t="s">
        <v>17</v>
      </c>
      <c r="D2406">
        <v>2</v>
      </c>
      <c r="E2406">
        <v>1</v>
      </c>
      <c r="F2406">
        <v>1</v>
      </c>
    </row>
    <row r="2407" spans="2:6" x14ac:dyDescent="0.3">
      <c r="B2407" t="s">
        <v>484</v>
      </c>
      <c r="D2407">
        <v>5</v>
      </c>
      <c r="E2407">
        <v>5</v>
      </c>
      <c r="F2407">
        <v>1</v>
      </c>
    </row>
    <row r="2408" spans="2:6" x14ac:dyDescent="0.3">
      <c r="B2408" t="s">
        <v>347</v>
      </c>
      <c r="D2408">
        <v>13</v>
      </c>
      <c r="E2408">
        <v>16</v>
      </c>
      <c r="F2408">
        <v>1</v>
      </c>
    </row>
    <row r="2409" spans="2:6" x14ac:dyDescent="0.3">
      <c r="B2409" t="s">
        <v>1706</v>
      </c>
      <c r="D2409">
        <v>31</v>
      </c>
      <c r="E2409">
        <v>40</v>
      </c>
      <c r="F2409">
        <v>1</v>
      </c>
    </row>
    <row r="2410" spans="2:6" x14ac:dyDescent="0.3">
      <c r="B2410" t="s">
        <v>1707</v>
      </c>
      <c r="D2410">
        <v>75</v>
      </c>
      <c r="E2410">
        <v>77</v>
      </c>
      <c r="F2410">
        <v>1</v>
      </c>
    </row>
    <row r="2411" spans="2:6" x14ac:dyDescent="0.3">
      <c r="B2411" t="s">
        <v>1708</v>
      </c>
      <c r="D2411">
        <v>92</v>
      </c>
      <c r="E2411">
        <v>151</v>
      </c>
      <c r="F2411">
        <v>1</v>
      </c>
    </row>
    <row r="2412" spans="2:6" x14ac:dyDescent="0.3">
      <c r="B2412" t="s">
        <v>1709</v>
      </c>
      <c r="D2412">
        <v>109</v>
      </c>
      <c r="E2412">
        <v>423</v>
      </c>
      <c r="F2412">
        <v>1</v>
      </c>
    </row>
    <row r="2413" spans="2:6" x14ac:dyDescent="0.3">
      <c r="B2413" t="s">
        <v>1710</v>
      </c>
      <c r="D2413">
        <v>122</v>
      </c>
      <c r="E2413">
        <v>912</v>
      </c>
      <c r="F2413">
        <v>1</v>
      </c>
    </row>
    <row r="2414" spans="2:6" x14ac:dyDescent="0.3">
      <c r="B2414" t="s">
        <v>1711</v>
      </c>
      <c r="D2414">
        <v>135</v>
      </c>
      <c r="E2414">
        <v>2072</v>
      </c>
      <c r="F2414">
        <v>1</v>
      </c>
    </row>
    <row r="2415" spans="2:6" x14ac:dyDescent="0.3">
      <c r="B2415" t="s">
        <v>1712</v>
      </c>
      <c r="D2415">
        <v>135</v>
      </c>
      <c r="E2415">
        <v>3398</v>
      </c>
      <c r="F2415">
        <v>1</v>
      </c>
    </row>
    <row r="2416" spans="2:6" x14ac:dyDescent="0.3">
      <c r="B2416" t="s">
        <v>1713</v>
      </c>
      <c r="D2416">
        <v>143</v>
      </c>
      <c r="E2416">
        <v>4520</v>
      </c>
      <c r="F2416">
        <v>1</v>
      </c>
    </row>
    <row r="2417" spans="2:6" x14ac:dyDescent="0.3">
      <c r="B2417" t="s">
        <v>1714</v>
      </c>
      <c r="D2417">
        <v>150</v>
      </c>
      <c r="E2417">
        <v>7008</v>
      </c>
      <c r="F2417">
        <v>1</v>
      </c>
    </row>
    <row r="2418" spans="2:6" x14ac:dyDescent="0.3">
      <c r="B2418" t="s">
        <v>1715</v>
      </c>
      <c r="D2418">
        <v>158</v>
      </c>
      <c r="E2418">
        <v>10016</v>
      </c>
      <c r="F2418">
        <v>1</v>
      </c>
    </row>
    <row r="2419" spans="2:6" x14ac:dyDescent="0.3">
      <c r="B2419" t="s">
        <v>1716</v>
      </c>
      <c r="D2419">
        <v>162</v>
      </c>
      <c r="E2419">
        <v>12176</v>
      </c>
      <c r="F2419">
        <v>1</v>
      </c>
    </row>
    <row r="2420" spans="2:6" x14ac:dyDescent="0.3">
      <c r="B2420" t="s">
        <v>1717</v>
      </c>
      <c r="D2420">
        <v>167</v>
      </c>
      <c r="E2420">
        <v>15588</v>
      </c>
      <c r="F2420">
        <v>1</v>
      </c>
    </row>
    <row r="2421" spans="2:6" x14ac:dyDescent="0.3">
      <c r="B2421" t="s">
        <v>1718</v>
      </c>
      <c r="D2421">
        <v>171</v>
      </c>
      <c r="E2421">
        <v>19144</v>
      </c>
      <c r="F2421">
        <v>1</v>
      </c>
    </row>
    <row r="2422" spans="2:6" x14ac:dyDescent="0.3">
      <c r="B2422" t="s">
        <v>1719</v>
      </c>
      <c r="D2422">
        <v>174</v>
      </c>
      <c r="E2422">
        <v>22672</v>
      </c>
      <c r="F2422">
        <v>1</v>
      </c>
    </row>
    <row r="2423" spans="2:6" x14ac:dyDescent="0.3">
      <c r="B2423" t="s">
        <v>1720</v>
      </c>
      <c r="D2423">
        <v>176</v>
      </c>
      <c r="E2423">
        <v>24840</v>
      </c>
      <c r="F2423">
        <v>1</v>
      </c>
    </row>
    <row r="2424" spans="2:6" x14ac:dyDescent="0.3">
      <c r="B2424" t="s">
        <v>1721</v>
      </c>
      <c r="D2424">
        <v>178</v>
      </c>
      <c r="E2424">
        <v>27864</v>
      </c>
      <c r="F2424">
        <v>1</v>
      </c>
    </row>
    <row r="2425" spans="2:6" x14ac:dyDescent="0.3">
      <c r="B2425" t="s">
        <v>1722</v>
      </c>
      <c r="D2425">
        <v>180</v>
      </c>
      <c r="E2425">
        <v>29808</v>
      </c>
      <c r="F2425">
        <v>1</v>
      </c>
    </row>
    <row r="2426" spans="2:6" x14ac:dyDescent="0.3">
      <c r="B2426" t="s">
        <v>1723</v>
      </c>
      <c r="D2426">
        <v>182</v>
      </c>
      <c r="E2426">
        <v>32848</v>
      </c>
      <c r="F2426">
        <v>1</v>
      </c>
    </row>
    <row r="2427" spans="2:6" x14ac:dyDescent="0.3">
      <c r="B2427" t="s">
        <v>1724</v>
      </c>
      <c r="D2427">
        <v>183</v>
      </c>
      <c r="E2427">
        <v>34736</v>
      </c>
      <c r="F2427">
        <v>1</v>
      </c>
    </row>
    <row r="2428" spans="2:6" x14ac:dyDescent="0.3">
      <c r="B2428" t="s">
        <v>1725</v>
      </c>
      <c r="D2428">
        <v>183</v>
      </c>
      <c r="E2428">
        <v>35600</v>
      </c>
      <c r="F2428">
        <v>1</v>
      </c>
    </row>
    <row r="2429" spans="2:6" x14ac:dyDescent="0.3">
      <c r="B2429" t="s">
        <v>1726</v>
      </c>
      <c r="D2429">
        <v>183</v>
      </c>
      <c r="E2429">
        <v>36608</v>
      </c>
      <c r="F2429">
        <v>1</v>
      </c>
    </row>
    <row r="2430" spans="2:6" x14ac:dyDescent="0.3">
      <c r="B2430" t="s">
        <v>1727</v>
      </c>
      <c r="D2430">
        <v>184</v>
      </c>
      <c r="E2430">
        <v>38176</v>
      </c>
      <c r="F2430">
        <v>1</v>
      </c>
    </row>
    <row r="2431" spans="2:6" x14ac:dyDescent="0.3">
      <c r="B2431" t="s">
        <v>1728</v>
      </c>
      <c r="D2431">
        <v>184</v>
      </c>
      <c r="E2431">
        <v>39648</v>
      </c>
      <c r="F2431">
        <v>1</v>
      </c>
    </row>
    <row r="2432" spans="2:6" x14ac:dyDescent="0.3">
      <c r="B2432" t="s">
        <v>1729</v>
      </c>
      <c r="D2432">
        <v>185</v>
      </c>
      <c r="E2432">
        <v>40672</v>
      </c>
      <c r="F2432">
        <v>1</v>
      </c>
    </row>
    <row r="2433" spans="2:6" x14ac:dyDescent="0.3">
      <c r="B2433" t="s">
        <v>1730</v>
      </c>
      <c r="D2433">
        <v>185</v>
      </c>
      <c r="E2433">
        <v>42208</v>
      </c>
      <c r="F2433">
        <v>1</v>
      </c>
    </row>
    <row r="2434" spans="2:6" x14ac:dyDescent="0.3">
      <c r="B2434" t="s">
        <v>1731</v>
      </c>
      <c r="D2434">
        <v>186</v>
      </c>
      <c r="E2434">
        <v>43280</v>
      </c>
      <c r="F2434">
        <v>1</v>
      </c>
    </row>
    <row r="2435" spans="2:6" x14ac:dyDescent="0.3">
      <c r="B2435" t="s">
        <v>1732</v>
      </c>
      <c r="D2435">
        <v>187</v>
      </c>
      <c r="E2435">
        <v>45216</v>
      </c>
      <c r="F2435">
        <v>1</v>
      </c>
    </row>
    <row r="2436" spans="2:6" x14ac:dyDescent="0.3">
      <c r="B2436" t="s">
        <v>1733</v>
      </c>
      <c r="D2436">
        <v>187</v>
      </c>
      <c r="E2436">
        <v>46960</v>
      </c>
      <c r="F2436">
        <v>1</v>
      </c>
    </row>
    <row r="2437" spans="2:6" x14ac:dyDescent="0.3">
      <c r="B2437" t="s">
        <v>1264</v>
      </c>
      <c r="D2437">
        <v>188</v>
      </c>
      <c r="E2437">
        <v>48368</v>
      </c>
      <c r="F2437">
        <v>1</v>
      </c>
    </row>
    <row r="2438" spans="2:6" x14ac:dyDescent="0.3">
      <c r="B2438" t="s">
        <v>1734</v>
      </c>
      <c r="D2438">
        <v>188</v>
      </c>
      <c r="E2438">
        <v>49872</v>
      </c>
      <c r="F2438">
        <v>1</v>
      </c>
    </row>
    <row r="2439" spans="2:6" x14ac:dyDescent="0.3">
      <c r="B2439" t="s">
        <v>1735</v>
      </c>
      <c r="D2439">
        <v>189</v>
      </c>
      <c r="E2439">
        <v>51232</v>
      </c>
      <c r="F2439">
        <v>1</v>
      </c>
    </row>
    <row r="2440" spans="2:6" x14ac:dyDescent="0.3">
      <c r="B2440" t="s">
        <v>1736</v>
      </c>
      <c r="D2440">
        <v>189</v>
      </c>
      <c r="E2440">
        <v>53408</v>
      </c>
      <c r="F2440">
        <v>1</v>
      </c>
    </row>
    <row r="2441" spans="2:6" x14ac:dyDescent="0.3">
      <c r="B2441" t="s">
        <v>1737</v>
      </c>
      <c r="D2441">
        <v>190</v>
      </c>
      <c r="E2441">
        <v>55712</v>
      </c>
      <c r="F2441">
        <v>1</v>
      </c>
    </row>
    <row r="2442" spans="2:6" x14ac:dyDescent="0.3">
      <c r="B2442" t="s">
        <v>1738</v>
      </c>
      <c r="D2442">
        <v>191</v>
      </c>
      <c r="E2442">
        <v>56864</v>
      </c>
      <c r="F2442">
        <v>1</v>
      </c>
    </row>
    <row r="2443" spans="2:6" x14ac:dyDescent="0.3">
      <c r="B2443" t="s">
        <v>1739</v>
      </c>
      <c r="D2443">
        <v>192</v>
      </c>
      <c r="E2443">
        <v>58896</v>
      </c>
      <c r="F2443">
        <v>1</v>
      </c>
    </row>
    <row r="2444" spans="2:6" x14ac:dyDescent="0.3">
      <c r="B2444" t="s">
        <v>1740</v>
      </c>
      <c r="D2444">
        <v>193</v>
      </c>
      <c r="E2444">
        <v>60976</v>
      </c>
      <c r="F2444">
        <v>1</v>
      </c>
    </row>
    <row r="2445" spans="2:6" x14ac:dyDescent="0.3">
      <c r="B2445" t="s">
        <v>1677</v>
      </c>
      <c r="D2445">
        <v>193</v>
      </c>
      <c r="E2445">
        <v>62256</v>
      </c>
      <c r="F2445">
        <v>1</v>
      </c>
    </row>
    <row r="2446" spans="2:6" x14ac:dyDescent="0.3">
      <c r="B2446" t="s">
        <v>1741</v>
      </c>
      <c r="D2446">
        <v>193</v>
      </c>
      <c r="E2446">
        <v>63632</v>
      </c>
      <c r="F2446">
        <v>1</v>
      </c>
    </row>
    <row r="2447" spans="2:6" x14ac:dyDescent="0.3">
      <c r="B2447" t="s">
        <v>1742</v>
      </c>
      <c r="D2447">
        <v>194</v>
      </c>
      <c r="E2447">
        <v>64</v>
      </c>
      <c r="F2447">
        <v>1</v>
      </c>
    </row>
    <row r="2448" spans="2:6" x14ac:dyDescent="0.3">
      <c r="B2448" t="s">
        <v>1743</v>
      </c>
      <c r="D2448">
        <v>195</v>
      </c>
      <c r="E2448">
        <v>2496</v>
      </c>
      <c r="F2448">
        <v>1</v>
      </c>
    </row>
    <row r="2449" spans="2:6" x14ac:dyDescent="0.3">
      <c r="B2449" t="s">
        <v>1744</v>
      </c>
      <c r="D2449">
        <v>195</v>
      </c>
      <c r="E2449">
        <v>3392</v>
      </c>
      <c r="F2449">
        <v>1</v>
      </c>
    </row>
    <row r="2450" spans="2:6" x14ac:dyDescent="0.3">
      <c r="B2450" t="s">
        <v>1745</v>
      </c>
      <c r="D2450">
        <v>195</v>
      </c>
      <c r="E2450">
        <v>4704</v>
      </c>
      <c r="F2450">
        <v>1</v>
      </c>
    </row>
    <row r="2451" spans="2:6" x14ac:dyDescent="0.3">
      <c r="B2451" t="s">
        <v>1746</v>
      </c>
      <c r="D2451">
        <v>196</v>
      </c>
      <c r="E2451">
        <v>6240</v>
      </c>
      <c r="F2451">
        <v>1</v>
      </c>
    </row>
    <row r="2452" spans="2:6" x14ac:dyDescent="0.3">
      <c r="B2452" t="s">
        <v>1747</v>
      </c>
      <c r="D2452">
        <v>196</v>
      </c>
      <c r="E2452">
        <v>9056</v>
      </c>
      <c r="F2452">
        <v>1</v>
      </c>
    </row>
    <row r="2453" spans="2:6" x14ac:dyDescent="0.3">
      <c r="B2453" t="s">
        <v>1748</v>
      </c>
      <c r="D2453">
        <v>197</v>
      </c>
      <c r="E2453">
        <v>12960</v>
      </c>
      <c r="F2453">
        <v>1</v>
      </c>
    </row>
    <row r="2454" spans="2:6" x14ac:dyDescent="0.3">
      <c r="B2454" t="s">
        <v>1749</v>
      </c>
      <c r="D2454">
        <v>197</v>
      </c>
      <c r="E2454">
        <v>14272</v>
      </c>
      <c r="F2454">
        <v>1</v>
      </c>
    </row>
    <row r="2455" spans="2:6" x14ac:dyDescent="0.3">
      <c r="B2455" t="s">
        <v>1750</v>
      </c>
      <c r="D2455">
        <v>197</v>
      </c>
      <c r="E2455">
        <v>18496</v>
      </c>
      <c r="F2455">
        <v>1</v>
      </c>
    </row>
    <row r="2456" spans="2:6" x14ac:dyDescent="0.3">
      <c r="B2456" t="s">
        <v>1751</v>
      </c>
      <c r="D2456">
        <v>198</v>
      </c>
      <c r="E2456">
        <v>22048</v>
      </c>
      <c r="F2456">
        <v>1</v>
      </c>
    </row>
    <row r="2457" spans="2:6" x14ac:dyDescent="0.3">
      <c r="B2457" t="s">
        <v>1752</v>
      </c>
      <c r="D2457">
        <v>199</v>
      </c>
      <c r="E2457">
        <v>31584</v>
      </c>
      <c r="F2457">
        <v>1</v>
      </c>
    </row>
    <row r="2458" spans="2:6" x14ac:dyDescent="0.3">
      <c r="B2458" t="s">
        <v>1753</v>
      </c>
      <c r="D2458">
        <v>202</v>
      </c>
      <c r="E2458">
        <v>40832</v>
      </c>
      <c r="F2458">
        <v>1</v>
      </c>
    </row>
    <row r="2459" spans="2:6" x14ac:dyDescent="0.3">
      <c r="B2459" t="s">
        <v>1754</v>
      </c>
      <c r="D2459">
        <v>203</v>
      </c>
      <c r="E2459">
        <v>49600</v>
      </c>
      <c r="F2459">
        <v>1</v>
      </c>
    </row>
    <row r="2460" spans="2:6" x14ac:dyDescent="0.3">
      <c r="B2460" t="s">
        <v>1755</v>
      </c>
      <c r="D2460">
        <v>206</v>
      </c>
      <c r="E2460">
        <v>59968</v>
      </c>
      <c r="F2460">
        <v>1</v>
      </c>
    </row>
    <row r="2461" spans="2:6" x14ac:dyDescent="0.3">
      <c r="B2461" t="s">
        <v>1756</v>
      </c>
      <c r="D2461">
        <v>207</v>
      </c>
      <c r="E2461">
        <v>64832</v>
      </c>
      <c r="F2461">
        <v>1</v>
      </c>
    </row>
    <row r="2462" spans="2:6" x14ac:dyDescent="0.3">
      <c r="B2462" t="s">
        <v>1757</v>
      </c>
      <c r="D2462">
        <v>207</v>
      </c>
      <c r="E2462">
        <v>17344</v>
      </c>
      <c r="F2462">
        <v>1</v>
      </c>
    </row>
    <row r="2463" spans="2:6" x14ac:dyDescent="0.3">
      <c r="B2463" t="s">
        <v>1758</v>
      </c>
      <c r="D2463">
        <v>209</v>
      </c>
      <c r="E2463">
        <v>26944</v>
      </c>
      <c r="F2463">
        <v>1</v>
      </c>
    </row>
    <row r="2464" spans="2:6" x14ac:dyDescent="0.3">
      <c r="B2464" t="s">
        <v>1759</v>
      </c>
      <c r="D2464">
        <v>203</v>
      </c>
      <c r="E2464">
        <v>40864</v>
      </c>
      <c r="F2464">
        <v>1</v>
      </c>
    </row>
    <row r="2465" spans="2:6" x14ac:dyDescent="0.3">
      <c r="B2465" t="s">
        <v>1760</v>
      </c>
      <c r="D2465">
        <v>216</v>
      </c>
      <c r="E2465">
        <v>36224</v>
      </c>
      <c r="F2465">
        <v>1</v>
      </c>
    </row>
    <row r="2466" spans="2:6" x14ac:dyDescent="0.3">
      <c r="B2466" t="s">
        <v>1761</v>
      </c>
      <c r="D2466">
        <v>207</v>
      </c>
      <c r="E2466">
        <v>15744</v>
      </c>
      <c r="F2466">
        <v>1</v>
      </c>
    </row>
    <row r="2467" spans="2:6" x14ac:dyDescent="0.3">
      <c r="B2467" t="s">
        <v>1762</v>
      </c>
      <c r="D2467">
        <v>216</v>
      </c>
      <c r="E2467">
        <v>43840</v>
      </c>
      <c r="F2467">
        <v>1</v>
      </c>
    </row>
    <row r="2468" spans="2:6" x14ac:dyDescent="0.3">
      <c r="B2468" t="s">
        <v>1763</v>
      </c>
      <c r="D2468">
        <v>216</v>
      </c>
      <c r="E2468">
        <v>33600</v>
      </c>
      <c r="F2468">
        <v>1</v>
      </c>
    </row>
    <row r="2469" spans="2:6" x14ac:dyDescent="0.3">
      <c r="B2469" t="s">
        <v>1764</v>
      </c>
      <c r="D2469">
        <v>223</v>
      </c>
      <c r="E2469">
        <v>55808</v>
      </c>
      <c r="F2469">
        <v>1</v>
      </c>
    </row>
    <row r="2470" spans="2:6" x14ac:dyDescent="0.3">
      <c r="B2470" t="s">
        <v>1765</v>
      </c>
      <c r="D2470">
        <v>220</v>
      </c>
      <c r="E2470">
        <v>18304</v>
      </c>
      <c r="F2470">
        <v>1</v>
      </c>
    </row>
    <row r="2471" spans="2:6" x14ac:dyDescent="0.3">
      <c r="B2471" t="s">
        <v>1766</v>
      </c>
      <c r="D2471">
        <v>220</v>
      </c>
      <c r="E2471">
        <v>28032</v>
      </c>
      <c r="F2471">
        <v>1</v>
      </c>
    </row>
    <row r="2472" spans="2:6" x14ac:dyDescent="0.3">
      <c r="B2472" t="s">
        <v>1767</v>
      </c>
      <c r="D2472">
        <v>220</v>
      </c>
      <c r="E2472">
        <v>38784</v>
      </c>
      <c r="F2472">
        <v>1</v>
      </c>
    </row>
    <row r="2473" spans="2:6" x14ac:dyDescent="0.3">
      <c r="B2473" t="s">
        <v>1768</v>
      </c>
      <c r="D2473">
        <v>221</v>
      </c>
      <c r="E2473">
        <v>43776</v>
      </c>
      <c r="F2473">
        <v>1</v>
      </c>
    </row>
    <row r="2474" spans="2:6" x14ac:dyDescent="0.3">
      <c r="B2474" t="s">
        <v>1769</v>
      </c>
      <c r="D2474">
        <v>225</v>
      </c>
      <c r="E2474">
        <v>63360</v>
      </c>
      <c r="F2474">
        <v>1</v>
      </c>
    </row>
    <row r="2475" spans="2:6" x14ac:dyDescent="0.3">
      <c r="B2475" t="s">
        <v>426</v>
      </c>
      <c r="D2475">
        <v>225</v>
      </c>
      <c r="E2475">
        <v>41088</v>
      </c>
      <c r="F2475">
        <v>1</v>
      </c>
    </row>
    <row r="2476" spans="2:6" x14ac:dyDescent="0.3">
      <c r="B2476" t="s">
        <v>1770</v>
      </c>
      <c r="D2476">
        <v>232</v>
      </c>
      <c r="E2476">
        <v>33024</v>
      </c>
      <c r="F2476">
        <v>1</v>
      </c>
    </row>
    <row r="2477" spans="2:6" x14ac:dyDescent="0.3">
      <c r="B2477" t="s">
        <v>1771</v>
      </c>
      <c r="D2477">
        <v>237</v>
      </c>
      <c r="E2477">
        <v>40960</v>
      </c>
      <c r="F2477">
        <v>1</v>
      </c>
    </row>
    <row r="2478" spans="2:6" x14ac:dyDescent="0.3">
      <c r="B2478" t="s">
        <v>1772</v>
      </c>
      <c r="D2478">
        <v>233</v>
      </c>
      <c r="E2478">
        <v>44544</v>
      </c>
      <c r="F2478">
        <v>1</v>
      </c>
    </row>
    <row r="2479" spans="2:6" x14ac:dyDescent="0.3">
      <c r="B2479" t="s">
        <v>1773</v>
      </c>
      <c r="D2479">
        <v>226</v>
      </c>
      <c r="E2479">
        <v>35200</v>
      </c>
      <c r="F2479">
        <v>1</v>
      </c>
    </row>
    <row r="2480" spans="2:6" x14ac:dyDescent="0.3">
      <c r="B2480" t="s">
        <v>1774</v>
      </c>
      <c r="D2480">
        <v>227</v>
      </c>
      <c r="E2480">
        <v>26624</v>
      </c>
      <c r="F2480">
        <v>1</v>
      </c>
    </row>
    <row r="2481" spans="2:6" x14ac:dyDescent="0.3">
      <c r="B2481" t="s">
        <v>1775</v>
      </c>
      <c r="D2481">
        <v>218</v>
      </c>
      <c r="E2481">
        <v>6016</v>
      </c>
      <c r="F2481">
        <v>1</v>
      </c>
    </row>
    <row r="2482" spans="2:6" x14ac:dyDescent="0.3">
      <c r="B2482" t="s">
        <v>1776</v>
      </c>
      <c r="D2482">
        <v>218</v>
      </c>
      <c r="E2482">
        <v>40960</v>
      </c>
      <c r="F2482">
        <v>1</v>
      </c>
    </row>
    <row r="2483" spans="2:6" x14ac:dyDescent="0.3">
      <c r="B2483" t="s">
        <v>1777</v>
      </c>
      <c r="D2483">
        <v>255</v>
      </c>
      <c r="E2483">
        <v>41728</v>
      </c>
      <c r="F2483">
        <v>1</v>
      </c>
    </row>
    <row r="2484" spans="2:6" x14ac:dyDescent="0.3">
      <c r="B2484" t="s">
        <v>1778</v>
      </c>
      <c r="D2484">
        <v>255</v>
      </c>
      <c r="E2484">
        <v>43008</v>
      </c>
      <c r="F2484">
        <v>1</v>
      </c>
    </row>
    <row r="2485" spans="2:6" x14ac:dyDescent="0.3">
      <c r="B2485" t="s">
        <v>1779</v>
      </c>
      <c r="D2485">
        <v>255</v>
      </c>
      <c r="E2485">
        <v>14336</v>
      </c>
      <c r="F2485">
        <v>1</v>
      </c>
    </row>
    <row r="2486" spans="2:6" x14ac:dyDescent="0.3">
      <c r="B2486" t="s">
        <v>1599</v>
      </c>
      <c r="D2486">
        <v>255</v>
      </c>
      <c r="E2486">
        <v>49152</v>
      </c>
      <c r="F2486">
        <v>1</v>
      </c>
    </row>
    <row r="2487" spans="2:6" x14ac:dyDescent="0.3">
      <c r="B2487" t="s">
        <v>1778</v>
      </c>
      <c r="D2487">
        <v>255</v>
      </c>
      <c r="E2487">
        <v>43008</v>
      </c>
      <c r="F2487">
        <v>1</v>
      </c>
    </row>
    <row r="2488" spans="2:6" x14ac:dyDescent="0.3">
      <c r="B2488" t="s">
        <v>1606</v>
      </c>
      <c r="D2488">
        <v>255</v>
      </c>
      <c r="E2488">
        <v>18432</v>
      </c>
      <c r="F2488">
        <v>1</v>
      </c>
    </row>
    <row r="2489" spans="2:6" x14ac:dyDescent="0.3">
      <c r="B2489" t="s">
        <v>1780</v>
      </c>
      <c r="D2489">
        <v>232</v>
      </c>
      <c r="E2489">
        <v>5888</v>
      </c>
      <c r="F2489">
        <v>1</v>
      </c>
    </row>
    <row r="2490" spans="2:6" x14ac:dyDescent="0.3">
      <c r="B2490" t="s">
        <v>1781</v>
      </c>
      <c r="D2490">
        <v>236</v>
      </c>
      <c r="E2490">
        <v>24576</v>
      </c>
      <c r="F2490">
        <v>1</v>
      </c>
    </row>
    <row r="2491" spans="2:6" x14ac:dyDescent="0.3">
      <c r="B2491" t="s">
        <v>1605</v>
      </c>
      <c r="D2491">
        <v>255</v>
      </c>
      <c r="E2491">
        <v>26624</v>
      </c>
      <c r="F2491">
        <v>1</v>
      </c>
    </row>
    <row r="2492" spans="2:6" x14ac:dyDescent="0.3">
      <c r="B2492" t="s">
        <v>1782</v>
      </c>
      <c r="D2492">
        <v>255</v>
      </c>
      <c r="E2492">
        <v>64512</v>
      </c>
      <c r="F2492">
        <v>1</v>
      </c>
    </row>
    <row r="2493" spans="2:6" x14ac:dyDescent="0.3">
      <c r="B2493" t="s">
        <v>1783</v>
      </c>
      <c r="D2493">
        <v>255</v>
      </c>
      <c r="E2493">
        <v>51200</v>
      </c>
      <c r="F2493">
        <v>1</v>
      </c>
    </row>
    <row r="2494" spans="2:6" x14ac:dyDescent="0.3">
      <c r="B2494" t="s">
        <v>1784</v>
      </c>
      <c r="D2494">
        <v>255</v>
      </c>
      <c r="E2494">
        <v>8192</v>
      </c>
      <c r="F2494">
        <v>1</v>
      </c>
    </row>
    <row r="2495" spans="2:6" x14ac:dyDescent="0.3">
      <c r="B2495" t="s">
        <v>1779</v>
      </c>
      <c r="D2495">
        <v>255</v>
      </c>
      <c r="E2495">
        <v>14336</v>
      </c>
      <c r="F2495">
        <v>1</v>
      </c>
    </row>
    <row r="2496" spans="2:6" x14ac:dyDescent="0.3">
      <c r="B2496" t="s">
        <v>1779</v>
      </c>
      <c r="D2496">
        <v>255</v>
      </c>
      <c r="E2496">
        <v>14336</v>
      </c>
      <c r="F2496">
        <v>1</v>
      </c>
    </row>
    <row r="2497" spans="2:6" x14ac:dyDescent="0.3">
      <c r="B2497" t="s">
        <v>1785</v>
      </c>
      <c r="D2497">
        <v>255</v>
      </c>
      <c r="E2497">
        <v>0</v>
      </c>
      <c r="F2497">
        <v>1</v>
      </c>
    </row>
    <row r="2498" spans="2:6" x14ac:dyDescent="0.3">
      <c r="B2498" t="s">
        <v>1786</v>
      </c>
      <c r="D2498">
        <v>245</v>
      </c>
      <c r="E2498">
        <v>28672</v>
      </c>
      <c r="F2498">
        <v>1</v>
      </c>
    </row>
    <row r="2499" spans="2:6" x14ac:dyDescent="0.3">
      <c r="B2499" t="s">
        <v>1602</v>
      </c>
      <c r="D2499">
        <v>255</v>
      </c>
      <c r="E2499">
        <v>55296</v>
      </c>
      <c r="F2499">
        <v>1</v>
      </c>
    </row>
    <row r="2500" spans="2:6" x14ac:dyDescent="0.3">
      <c r="B2500" t="s">
        <v>1783</v>
      </c>
      <c r="D2500">
        <v>255</v>
      </c>
      <c r="E2500">
        <v>51200</v>
      </c>
      <c r="F2500">
        <v>1</v>
      </c>
    </row>
    <row r="2501" spans="2:6" x14ac:dyDescent="0.3">
      <c r="B2501" t="s">
        <v>1778</v>
      </c>
      <c r="D2501">
        <v>255</v>
      </c>
      <c r="E2501">
        <v>43008</v>
      </c>
      <c r="F2501">
        <v>1</v>
      </c>
    </row>
    <row r="2502" spans="2:6" x14ac:dyDescent="0.3">
      <c r="B2502" t="s">
        <v>1612</v>
      </c>
      <c r="D2502">
        <v>234</v>
      </c>
      <c r="E2502">
        <v>6144</v>
      </c>
      <c r="F2502">
        <v>1</v>
      </c>
    </row>
    <row r="2503" spans="2:6" x14ac:dyDescent="0.3">
      <c r="B2503" t="s">
        <v>1596</v>
      </c>
      <c r="D2503">
        <v>255</v>
      </c>
      <c r="E2503">
        <v>28672</v>
      </c>
      <c r="F2503">
        <v>1</v>
      </c>
    </row>
    <row r="2504" spans="2:6" x14ac:dyDescent="0.3">
      <c r="B2504" t="s">
        <v>1785</v>
      </c>
      <c r="D2504">
        <v>255</v>
      </c>
      <c r="E2504">
        <v>0</v>
      </c>
      <c r="F2504">
        <v>1</v>
      </c>
    </row>
    <row r="2505" spans="2:6" x14ac:dyDescent="0.3">
      <c r="B2505" t="s">
        <v>1787</v>
      </c>
      <c r="D2505">
        <v>255</v>
      </c>
      <c r="E2505">
        <v>57344</v>
      </c>
      <c r="F2505">
        <v>1</v>
      </c>
    </row>
    <row r="2506" spans="2:6" x14ac:dyDescent="0.3">
      <c r="B2506" t="s">
        <v>1788</v>
      </c>
      <c r="D2506">
        <v>255</v>
      </c>
      <c r="E2506">
        <v>20480</v>
      </c>
      <c r="F2506">
        <v>1</v>
      </c>
    </row>
    <row r="2507" spans="2:6" x14ac:dyDescent="0.3">
      <c r="B2507" t="s">
        <v>1788</v>
      </c>
      <c r="D2507">
        <v>255</v>
      </c>
      <c r="E2507">
        <v>20480</v>
      </c>
      <c r="F2507">
        <v>1</v>
      </c>
    </row>
    <row r="2508" spans="2:6" x14ac:dyDescent="0.3">
      <c r="B2508" t="s">
        <v>1789</v>
      </c>
      <c r="D2508">
        <v>244</v>
      </c>
      <c r="E2508">
        <v>59392</v>
      </c>
      <c r="F2508">
        <v>1</v>
      </c>
    </row>
    <row r="2509" spans="2:6" x14ac:dyDescent="0.3">
      <c r="B2509" t="s">
        <v>1790</v>
      </c>
      <c r="D2509">
        <v>246</v>
      </c>
      <c r="E2509">
        <v>18432</v>
      </c>
      <c r="F2509">
        <v>1</v>
      </c>
    </row>
    <row r="2510" spans="2:6" x14ac:dyDescent="0.3">
      <c r="B2510" t="s">
        <v>1791</v>
      </c>
      <c r="D2510">
        <v>255</v>
      </c>
      <c r="E2510">
        <v>38912</v>
      </c>
      <c r="F2510">
        <v>1</v>
      </c>
    </row>
    <row r="2511" spans="2:6" x14ac:dyDescent="0.3">
      <c r="B2511" t="s">
        <v>1614</v>
      </c>
      <c r="D2511">
        <v>255</v>
      </c>
      <c r="E2511">
        <v>22528</v>
      </c>
      <c r="F2511">
        <v>1</v>
      </c>
    </row>
    <row r="2512" spans="2:6" x14ac:dyDescent="0.3">
      <c r="B2512" t="s">
        <v>1792</v>
      </c>
      <c r="D2512">
        <v>255</v>
      </c>
      <c r="E2512">
        <v>59904</v>
      </c>
      <c r="F2512">
        <v>1</v>
      </c>
    </row>
    <row r="2513" spans="2:6" x14ac:dyDescent="0.3">
      <c r="B2513" t="s">
        <v>1611</v>
      </c>
      <c r="D2513">
        <v>255</v>
      </c>
      <c r="E2513">
        <v>16384</v>
      </c>
      <c r="F2513">
        <v>1</v>
      </c>
    </row>
    <row r="2514" spans="2:6" x14ac:dyDescent="0.3">
      <c r="B2514" t="s">
        <v>1599</v>
      </c>
      <c r="D2514">
        <v>255</v>
      </c>
      <c r="E2514">
        <v>49152</v>
      </c>
      <c r="F2514">
        <v>1</v>
      </c>
    </row>
    <row r="2515" spans="2:6" x14ac:dyDescent="0.3">
      <c r="B2515" t="s">
        <v>1793</v>
      </c>
      <c r="D2515">
        <v>225</v>
      </c>
      <c r="E2515">
        <v>49408</v>
      </c>
      <c r="F2515">
        <v>1</v>
      </c>
    </row>
    <row r="2516" spans="2:6" x14ac:dyDescent="0.3">
      <c r="B2516" t="s">
        <v>1794</v>
      </c>
      <c r="D2516">
        <v>255</v>
      </c>
      <c r="E2516">
        <v>24448</v>
      </c>
      <c r="F2516">
        <v>1</v>
      </c>
    </row>
    <row r="2517" spans="2:6" x14ac:dyDescent="0.3">
      <c r="B2517" t="s">
        <v>1795</v>
      </c>
      <c r="D2517">
        <v>233</v>
      </c>
      <c r="E2517">
        <v>43392</v>
      </c>
      <c r="F2517">
        <v>1</v>
      </c>
    </row>
    <row r="2518" spans="2:6" x14ac:dyDescent="0.3">
      <c r="B2518" t="s">
        <v>1796</v>
      </c>
      <c r="D2518">
        <v>226</v>
      </c>
      <c r="E2518">
        <v>46592</v>
      </c>
      <c r="F2518">
        <v>1</v>
      </c>
    </row>
    <row r="2519" spans="2:6" x14ac:dyDescent="0.3">
      <c r="B2519" t="s">
        <v>1797</v>
      </c>
      <c r="D2519">
        <v>225</v>
      </c>
      <c r="E2519">
        <v>18432</v>
      </c>
      <c r="F2519">
        <v>1</v>
      </c>
    </row>
    <row r="2520" spans="2:6" x14ac:dyDescent="0.3">
      <c r="B2520" t="s">
        <v>1798</v>
      </c>
      <c r="D2520">
        <v>225</v>
      </c>
      <c r="E2520">
        <v>16384</v>
      </c>
      <c r="F2520">
        <v>1</v>
      </c>
    </row>
    <row r="2521" spans="2:6" x14ac:dyDescent="0.3">
      <c r="B2521" t="s">
        <v>1799</v>
      </c>
      <c r="D2521">
        <v>225</v>
      </c>
      <c r="E2521">
        <v>3968</v>
      </c>
      <c r="F2521">
        <v>1</v>
      </c>
    </row>
    <row r="2522" spans="2:6" x14ac:dyDescent="0.3">
      <c r="B2522" t="s">
        <v>1800</v>
      </c>
      <c r="D2522">
        <v>226</v>
      </c>
      <c r="E2522">
        <v>35456</v>
      </c>
      <c r="F2522">
        <v>1</v>
      </c>
    </row>
    <row r="2523" spans="2:6" x14ac:dyDescent="0.3">
      <c r="B2523" t="s">
        <v>1801</v>
      </c>
      <c r="D2523">
        <v>230</v>
      </c>
      <c r="E2523">
        <v>10368</v>
      </c>
      <c r="F2523">
        <v>1</v>
      </c>
    </row>
    <row r="2524" spans="2:6" x14ac:dyDescent="0.3">
      <c r="B2524" t="s">
        <v>1802</v>
      </c>
      <c r="D2524">
        <v>230</v>
      </c>
      <c r="E2524">
        <v>60416</v>
      </c>
      <c r="F2524">
        <v>1</v>
      </c>
    </row>
    <row r="2525" spans="2:6" x14ac:dyDescent="0.3">
      <c r="B2525" t="s">
        <v>1803</v>
      </c>
      <c r="D2525">
        <v>230</v>
      </c>
      <c r="E2525">
        <v>40192</v>
      </c>
      <c r="F2525">
        <v>1</v>
      </c>
    </row>
    <row r="2526" spans="2:6" x14ac:dyDescent="0.3">
      <c r="B2526" t="s">
        <v>1804</v>
      </c>
      <c r="D2526">
        <v>229</v>
      </c>
      <c r="E2526">
        <v>11776</v>
      </c>
      <c r="F2526">
        <v>1</v>
      </c>
    </row>
    <row r="2527" spans="2:6" x14ac:dyDescent="0.3">
      <c r="B2527" t="s">
        <v>1805</v>
      </c>
      <c r="D2527">
        <v>222</v>
      </c>
      <c r="E2527">
        <v>44032</v>
      </c>
      <c r="F2527">
        <v>1</v>
      </c>
    </row>
    <row r="2528" spans="2:6" x14ac:dyDescent="0.3">
      <c r="B2528" t="s">
        <v>1806</v>
      </c>
      <c r="D2528">
        <v>222</v>
      </c>
      <c r="E2528">
        <v>48000</v>
      </c>
      <c r="F2528">
        <v>1</v>
      </c>
    </row>
    <row r="2529" spans="2:6" x14ac:dyDescent="0.3">
      <c r="B2529" t="s">
        <v>1807</v>
      </c>
      <c r="D2529">
        <v>228</v>
      </c>
      <c r="E2529">
        <v>27904</v>
      </c>
      <c r="F2529">
        <v>1</v>
      </c>
    </row>
    <row r="2530" spans="2:6" x14ac:dyDescent="0.3">
      <c r="B2530" t="s">
        <v>1808</v>
      </c>
      <c r="D2530">
        <v>231</v>
      </c>
      <c r="E2530">
        <v>27904</v>
      </c>
      <c r="F2530">
        <v>1</v>
      </c>
    </row>
    <row r="2531" spans="2:6" x14ac:dyDescent="0.3">
      <c r="B2531" t="s">
        <v>1809</v>
      </c>
      <c r="D2531">
        <v>128</v>
      </c>
      <c r="E2531">
        <v>3881</v>
      </c>
      <c r="F2531">
        <v>1</v>
      </c>
    </row>
    <row r="2532" spans="2:6" x14ac:dyDescent="0.3">
      <c r="B2532" t="s">
        <v>1810</v>
      </c>
      <c r="D2532">
        <v>131</v>
      </c>
      <c r="E2532">
        <v>1936</v>
      </c>
      <c r="F2532">
        <v>1</v>
      </c>
    </row>
    <row r="2533" spans="2:6" x14ac:dyDescent="0.3">
      <c r="B2533" t="s">
        <v>1811</v>
      </c>
      <c r="D2533">
        <v>148</v>
      </c>
      <c r="E2533">
        <v>3897</v>
      </c>
      <c r="F2533">
        <v>1</v>
      </c>
    </row>
    <row r="2534" spans="2:6" x14ac:dyDescent="0.3">
      <c r="B2534" t="s">
        <v>1812</v>
      </c>
      <c r="D2534">
        <v>147</v>
      </c>
      <c r="E2534">
        <v>3803</v>
      </c>
      <c r="F2534">
        <v>1</v>
      </c>
    </row>
    <row r="2535" spans="2:6" x14ac:dyDescent="0.3">
      <c r="B2535" t="s">
        <v>1813</v>
      </c>
      <c r="D2535">
        <v>147</v>
      </c>
      <c r="E2535">
        <v>3942</v>
      </c>
      <c r="F2535">
        <v>1</v>
      </c>
    </row>
    <row r="2536" spans="2:6" x14ac:dyDescent="0.3">
      <c r="B2536" t="s">
        <v>1814</v>
      </c>
      <c r="D2536">
        <v>125</v>
      </c>
      <c r="E2536">
        <v>1229</v>
      </c>
      <c r="F2536">
        <v>1</v>
      </c>
    </row>
    <row r="2537" spans="2:6" x14ac:dyDescent="0.3">
      <c r="B2537" t="s">
        <v>1815</v>
      </c>
      <c r="D2537">
        <v>124</v>
      </c>
      <c r="E2537">
        <v>1204</v>
      </c>
      <c r="F2537">
        <v>1</v>
      </c>
    </row>
    <row r="2538" spans="2:6" x14ac:dyDescent="0.3">
      <c r="B2538" t="s">
        <v>1816</v>
      </c>
      <c r="D2538">
        <v>124</v>
      </c>
      <c r="E2538">
        <v>3775</v>
      </c>
      <c r="F2538">
        <v>1</v>
      </c>
    </row>
    <row r="2539" spans="2:6" x14ac:dyDescent="0.3">
      <c r="B2539" t="s">
        <v>1817</v>
      </c>
      <c r="D2539">
        <v>145</v>
      </c>
      <c r="E2539">
        <v>3611</v>
      </c>
      <c r="F2539">
        <v>1</v>
      </c>
    </row>
    <row r="2540" spans="2:6" x14ac:dyDescent="0.3">
      <c r="B2540" t="s">
        <v>1818</v>
      </c>
      <c r="D2540">
        <v>145</v>
      </c>
      <c r="E2540">
        <v>3568</v>
      </c>
      <c r="F2540">
        <v>1</v>
      </c>
    </row>
    <row r="2541" spans="2:6" x14ac:dyDescent="0.3">
      <c r="B2541" t="s">
        <v>1819</v>
      </c>
      <c r="D2541">
        <v>145</v>
      </c>
      <c r="E2541">
        <v>3603</v>
      </c>
      <c r="F2541">
        <v>1</v>
      </c>
    </row>
    <row r="2542" spans="2:6" x14ac:dyDescent="0.3">
      <c r="B2542" t="s">
        <v>1820</v>
      </c>
      <c r="D2542">
        <v>145</v>
      </c>
      <c r="E2542">
        <v>3533</v>
      </c>
      <c r="F2542">
        <v>1</v>
      </c>
    </row>
    <row r="2543" spans="2:6" x14ac:dyDescent="0.3">
      <c r="B2543" t="s">
        <v>1821</v>
      </c>
      <c r="D2543">
        <v>145</v>
      </c>
      <c r="E2543">
        <v>3707</v>
      </c>
      <c r="F2543">
        <v>1</v>
      </c>
    </row>
    <row r="2544" spans="2:6" x14ac:dyDescent="0.3">
      <c r="B2544" t="s">
        <v>1822</v>
      </c>
      <c r="D2544">
        <v>144</v>
      </c>
      <c r="E2544">
        <v>3469</v>
      </c>
      <c r="F2544">
        <v>1</v>
      </c>
    </row>
    <row r="2545" spans="2:6" x14ac:dyDescent="0.3">
      <c r="B2545" t="s">
        <v>1822</v>
      </c>
      <c r="D2545">
        <v>144</v>
      </c>
      <c r="E2545">
        <v>3469</v>
      </c>
      <c r="F2545">
        <v>1</v>
      </c>
    </row>
    <row r="2546" spans="2:6" x14ac:dyDescent="0.3">
      <c r="B2546" t="s">
        <v>1823</v>
      </c>
      <c r="D2546">
        <v>144</v>
      </c>
      <c r="E2546">
        <v>3407</v>
      </c>
      <c r="F2546">
        <v>1</v>
      </c>
    </row>
    <row r="2547" spans="2:6" x14ac:dyDescent="0.3">
      <c r="B2547" t="s">
        <v>1824</v>
      </c>
      <c r="D2547">
        <v>144</v>
      </c>
      <c r="E2547">
        <v>3427</v>
      </c>
      <c r="F2547">
        <v>1</v>
      </c>
    </row>
    <row r="2548" spans="2:6" x14ac:dyDescent="0.3">
      <c r="B2548" t="s">
        <v>1825</v>
      </c>
      <c r="D2548">
        <v>144</v>
      </c>
      <c r="E2548">
        <v>3416</v>
      </c>
      <c r="F2548">
        <v>1</v>
      </c>
    </row>
    <row r="2549" spans="2:6" x14ac:dyDescent="0.3">
      <c r="B2549" t="s">
        <v>1826</v>
      </c>
      <c r="D2549">
        <v>144</v>
      </c>
      <c r="E2549">
        <v>3417</v>
      </c>
      <c r="F2549">
        <v>1</v>
      </c>
    </row>
    <row r="2550" spans="2:6" x14ac:dyDescent="0.3">
      <c r="B2550" t="s">
        <v>1827</v>
      </c>
      <c r="D2550">
        <v>144</v>
      </c>
      <c r="E2550">
        <v>3455</v>
      </c>
      <c r="F2550">
        <v>1</v>
      </c>
    </row>
    <row r="2551" spans="2:6" x14ac:dyDescent="0.3">
      <c r="B2551" t="s">
        <v>1828</v>
      </c>
      <c r="D2551">
        <v>145</v>
      </c>
      <c r="E2551">
        <v>3585</v>
      </c>
      <c r="F2551">
        <v>1</v>
      </c>
    </row>
    <row r="2552" spans="2:6" x14ac:dyDescent="0.3">
      <c r="B2552" t="s">
        <v>1829</v>
      </c>
      <c r="D2552">
        <v>146</v>
      </c>
      <c r="E2552">
        <v>3746</v>
      </c>
      <c r="F2552">
        <v>1</v>
      </c>
    </row>
    <row r="2553" spans="2:6" x14ac:dyDescent="0.3">
      <c r="B2553" t="s">
        <v>1830</v>
      </c>
      <c r="D2553">
        <v>146</v>
      </c>
      <c r="E2553">
        <v>4062</v>
      </c>
      <c r="F2553">
        <v>1</v>
      </c>
    </row>
    <row r="2554" spans="2:6" x14ac:dyDescent="0.3">
      <c r="B2554" t="s">
        <v>1831</v>
      </c>
      <c r="D2554">
        <v>147</v>
      </c>
      <c r="E2554">
        <v>4320</v>
      </c>
      <c r="F2554">
        <v>1</v>
      </c>
    </row>
    <row r="2555" spans="2:6" x14ac:dyDescent="0.3">
      <c r="B2555" t="s">
        <v>1832</v>
      </c>
      <c r="D2555">
        <v>147</v>
      </c>
      <c r="E2555">
        <v>4492</v>
      </c>
      <c r="F2555">
        <v>1</v>
      </c>
    </row>
    <row r="2556" spans="2:6" x14ac:dyDescent="0.3">
      <c r="B2556" t="s">
        <v>1833</v>
      </c>
      <c r="D2556">
        <v>148</v>
      </c>
      <c r="E2556">
        <v>4734</v>
      </c>
      <c r="F2556">
        <v>1</v>
      </c>
    </row>
    <row r="2557" spans="2:6" x14ac:dyDescent="0.3">
      <c r="B2557" t="s">
        <v>1834</v>
      </c>
      <c r="D2557">
        <v>148</v>
      </c>
      <c r="E2557">
        <v>5018</v>
      </c>
      <c r="F2557">
        <v>1</v>
      </c>
    </row>
    <row r="2558" spans="2:6" x14ac:dyDescent="0.3">
      <c r="B2558" t="s">
        <v>1835</v>
      </c>
      <c r="D2558">
        <v>149</v>
      </c>
      <c r="E2558">
        <v>5296</v>
      </c>
      <c r="F2558">
        <v>1</v>
      </c>
    </row>
    <row r="2559" spans="2:6" x14ac:dyDescent="0.3">
      <c r="B2559" t="s">
        <v>1836</v>
      </c>
      <c r="D2559">
        <v>150</v>
      </c>
      <c r="E2559">
        <v>5594</v>
      </c>
      <c r="F2559">
        <v>1</v>
      </c>
    </row>
    <row r="2560" spans="2:6" x14ac:dyDescent="0.3">
      <c r="B2560" t="s">
        <v>1837</v>
      </c>
      <c r="D2560">
        <v>151</v>
      </c>
      <c r="E2560">
        <v>5794</v>
      </c>
      <c r="F2560">
        <v>1</v>
      </c>
    </row>
    <row r="2561" spans="2:6" x14ac:dyDescent="0.3">
      <c r="B2561" t="s">
        <v>1838</v>
      </c>
      <c r="D2561">
        <v>151</v>
      </c>
      <c r="E2561">
        <v>5970</v>
      </c>
      <c r="F2561">
        <v>1</v>
      </c>
    </row>
    <row r="2562" spans="2:6" x14ac:dyDescent="0.3">
      <c r="B2562" t="s">
        <v>1839</v>
      </c>
      <c r="D2562">
        <v>152</v>
      </c>
      <c r="E2562">
        <v>6228</v>
      </c>
      <c r="F2562">
        <v>1</v>
      </c>
    </row>
    <row r="2563" spans="2:6" x14ac:dyDescent="0.3">
      <c r="B2563" t="s">
        <v>1840</v>
      </c>
      <c r="D2563">
        <v>153</v>
      </c>
      <c r="E2563">
        <v>6458</v>
      </c>
      <c r="F2563">
        <v>1</v>
      </c>
    </row>
    <row r="2564" spans="2:6" x14ac:dyDescent="0.3">
      <c r="B2564" t="s">
        <v>1841</v>
      </c>
      <c r="D2564">
        <v>154</v>
      </c>
      <c r="E2564">
        <v>6736</v>
      </c>
      <c r="F2564">
        <v>1</v>
      </c>
    </row>
    <row r="2565" spans="2:6" x14ac:dyDescent="0.3">
      <c r="B2565" t="s">
        <v>1842</v>
      </c>
      <c r="D2565">
        <v>154</v>
      </c>
      <c r="E2565">
        <v>6920</v>
      </c>
      <c r="F2565">
        <v>1</v>
      </c>
    </row>
    <row r="2566" spans="2:6" x14ac:dyDescent="0.3">
      <c r="B2566" t="s">
        <v>1843</v>
      </c>
      <c r="D2566">
        <v>155</v>
      </c>
      <c r="E2566">
        <v>7260</v>
      </c>
      <c r="F2566">
        <v>1</v>
      </c>
    </row>
    <row r="2567" spans="2:6" x14ac:dyDescent="0.3">
      <c r="B2567" t="s">
        <v>1844</v>
      </c>
      <c r="D2567">
        <v>156</v>
      </c>
      <c r="E2567">
        <v>7522</v>
      </c>
      <c r="F2567">
        <v>1</v>
      </c>
    </row>
    <row r="2568" spans="2:6" x14ac:dyDescent="0.3">
      <c r="B2568" t="s">
        <v>1845</v>
      </c>
      <c r="D2568">
        <v>157</v>
      </c>
      <c r="E2568">
        <v>7778</v>
      </c>
      <c r="F2568">
        <v>1</v>
      </c>
    </row>
    <row r="2569" spans="2:6" x14ac:dyDescent="0.3">
      <c r="B2569" t="s">
        <v>14</v>
      </c>
      <c r="D2569">
        <v>157</v>
      </c>
      <c r="E2569">
        <v>7940</v>
      </c>
      <c r="F2569">
        <v>1</v>
      </c>
    </row>
    <row r="2570" spans="2:6" x14ac:dyDescent="0.3">
      <c r="B2570" t="s">
        <v>1846</v>
      </c>
      <c r="D2570">
        <v>158</v>
      </c>
      <c r="E2570">
        <v>8066</v>
      </c>
      <c r="F2570">
        <v>1</v>
      </c>
    </row>
    <row r="2571" spans="2:6" x14ac:dyDescent="0.3">
      <c r="B2571" t="s">
        <v>1847</v>
      </c>
      <c r="D2571">
        <v>158</v>
      </c>
      <c r="E2571">
        <v>8428</v>
      </c>
      <c r="F2571">
        <v>1</v>
      </c>
    </row>
    <row r="2572" spans="2:6" x14ac:dyDescent="0.3">
      <c r="B2572" t="s">
        <v>1848</v>
      </c>
      <c r="D2572">
        <v>158</v>
      </c>
      <c r="E2572">
        <v>8576</v>
      </c>
      <c r="F2572">
        <v>1</v>
      </c>
    </row>
    <row r="2573" spans="2:6" x14ac:dyDescent="0.3">
      <c r="B2573" t="s">
        <v>1849</v>
      </c>
      <c r="D2573">
        <v>159</v>
      </c>
      <c r="E2573">
        <v>8632</v>
      </c>
      <c r="F2573">
        <v>1</v>
      </c>
    </row>
    <row r="2574" spans="2:6" x14ac:dyDescent="0.3">
      <c r="B2574" t="s">
        <v>1850</v>
      </c>
      <c r="D2574">
        <v>159</v>
      </c>
      <c r="E2574">
        <v>8812</v>
      </c>
      <c r="F2574">
        <v>1</v>
      </c>
    </row>
    <row r="2575" spans="2:6" x14ac:dyDescent="0.3">
      <c r="B2575" t="s">
        <v>1851</v>
      </c>
      <c r="D2575">
        <v>159</v>
      </c>
      <c r="E2575">
        <v>8924</v>
      </c>
      <c r="F2575">
        <v>1</v>
      </c>
    </row>
    <row r="2576" spans="2:6" x14ac:dyDescent="0.3">
      <c r="B2576" t="s">
        <v>1852</v>
      </c>
      <c r="D2576">
        <v>159</v>
      </c>
      <c r="E2576">
        <v>9028</v>
      </c>
      <c r="F2576">
        <v>1</v>
      </c>
    </row>
    <row r="2577" spans="2:6" x14ac:dyDescent="0.3">
      <c r="B2577" t="s">
        <v>1853</v>
      </c>
      <c r="D2577">
        <v>160</v>
      </c>
      <c r="E2577">
        <v>9732</v>
      </c>
      <c r="F2577">
        <v>1</v>
      </c>
    </row>
    <row r="2578" spans="2:6" x14ac:dyDescent="0.3">
      <c r="B2578" t="s">
        <v>1854</v>
      </c>
      <c r="D2578">
        <v>159</v>
      </c>
      <c r="E2578">
        <v>8872</v>
      </c>
      <c r="F2578">
        <v>1</v>
      </c>
    </row>
    <row r="2579" spans="2:6" x14ac:dyDescent="0.3">
      <c r="B2579" t="s">
        <v>1855</v>
      </c>
      <c r="D2579">
        <v>159</v>
      </c>
      <c r="E2579">
        <v>8720</v>
      </c>
      <c r="F2579">
        <v>1</v>
      </c>
    </row>
    <row r="2580" spans="2:6" x14ac:dyDescent="0.3">
      <c r="B2580" t="s">
        <v>1856</v>
      </c>
      <c r="D2580">
        <v>159</v>
      </c>
      <c r="E2580">
        <v>8760</v>
      </c>
      <c r="F2580">
        <v>1</v>
      </c>
    </row>
    <row r="2581" spans="2:6" x14ac:dyDescent="0.3">
      <c r="B2581" t="s">
        <v>1857</v>
      </c>
      <c r="D2581">
        <v>158</v>
      </c>
      <c r="E2581">
        <v>8424</v>
      </c>
      <c r="F2581">
        <v>1</v>
      </c>
    </row>
    <row r="2582" spans="2:6" x14ac:dyDescent="0.3">
      <c r="B2582" t="s">
        <v>1858</v>
      </c>
      <c r="D2582">
        <v>158</v>
      </c>
      <c r="E2582">
        <v>8420</v>
      </c>
      <c r="F2582">
        <v>1</v>
      </c>
    </row>
    <row r="2583" spans="2:6" x14ac:dyDescent="0.3">
      <c r="B2583" t="s">
        <v>1859</v>
      </c>
      <c r="D2583">
        <v>158</v>
      </c>
      <c r="E2583">
        <v>8272</v>
      </c>
      <c r="F2583">
        <v>1</v>
      </c>
    </row>
    <row r="2584" spans="2:6" x14ac:dyDescent="0.3">
      <c r="B2584" t="s">
        <v>1860</v>
      </c>
      <c r="D2584">
        <v>157</v>
      </c>
      <c r="E2584">
        <v>7964</v>
      </c>
      <c r="F2584">
        <v>1</v>
      </c>
    </row>
    <row r="2585" spans="2:6" x14ac:dyDescent="0.3">
      <c r="B2585" t="s">
        <v>1861</v>
      </c>
      <c r="D2585">
        <v>156</v>
      </c>
      <c r="E2585">
        <v>7604</v>
      </c>
      <c r="F2585">
        <v>1</v>
      </c>
    </row>
    <row r="2586" spans="2:6" x14ac:dyDescent="0.3">
      <c r="B2586" t="s">
        <v>1862</v>
      </c>
      <c r="D2586">
        <v>154</v>
      </c>
      <c r="E2586">
        <v>7088</v>
      </c>
      <c r="F2586">
        <v>1</v>
      </c>
    </row>
    <row r="2587" spans="2:6" x14ac:dyDescent="0.3">
      <c r="B2587" t="s">
        <v>1863</v>
      </c>
      <c r="D2587">
        <v>153</v>
      </c>
      <c r="E2587">
        <v>6706</v>
      </c>
      <c r="F2587">
        <v>1</v>
      </c>
    </row>
    <row r="2588" spans="2:6" x14ac:dyDescent="0.3">
      <c r="B2588" t="s">
        <v>1864</v>
      </c>
      <c r="D2588">
        <v>151</v>
      </c>
      <c r="E2588">
        <v>6296</v>
      </c>
      <c r="F2588">
        <v>1</v>
      </c>
    </row>
    <row r="2589" spans="2:6" x14ac:dyDescent="0.3">
      <c r="B2589" t="s">
        <v>1865</v>
      </c>
      <c r="D2589">
        <v>148</v>
      </c>
      <c r="E2589">
        <v>5178</v>
      </c>
      <c r="F2589">
        <v>1</v>
      </c>
    </row>
    <row r="2590" spans="2:6" x14ac:dyDescent="0.3">
      <c r="B2590" t="s">
        <v>1866</v>
      </c>
      <c r="D2590">
        <v>145</v>
      </c>
      <c r="E2590">
        <v>4206</v>
      </c>
      <c r="F2590">
        <v>1</v>
      </c>
    </row>
    <row r="2591" spans="2:6" x14ac:dyDescent="0.3">
      <c r="B2591" t="s">
        <v>1867</v>
      </c>
      <c r="D2591">
        <v>141</v>
      </c>
      <c r="E2591">
        <v>3622</v>
      </c>
      <c r="F2591">
        <v>1</v>
      </c>
    </row>
    <row r="2592" spans="2:6" x14ac:dyDescent="0.3">
      <c r="B2592" t="s">
        <v>1868</v>
      </c>
      <c r="D2592">
        <v>138</v>
      </c>
      <c r="E2592">
        <v>2843</v>
      </c>
      <c r="F2592">
        <v>1</v>
      </c>
    </row>
    <row r="2593" spans="2:6" x14ac:dyDescent="0.3">
      <c r="B2593" t="s">
        <v>1869</v>
      </c>
      <c r="D2593">
        <v>134</v>
      </c>
      <c r="E2593">
        <v>2147</v>
      </c>
      <c r="F2593">
        <v>1</v>
      </c>
    </row>
    <row r="2594" spans="2:6" x14ac:dyDescent="0.3">
      <c r="B2594" t="s">
        <v>1870</v>
      </c>
      <c r="D2594">
        <v>127</v>
      </c>
      <c r="E2594">
        <v>1543</v>
      </c>
      <c r="F2594">
        <v>1</v>
      </c>
    </row>
    <row r="2595" spans="2:6" x14ac:dyDescent="0.3">
      <c r="B2595" t="s">
        <v>1871</v>
      </c>
      <c r="D2595">
        <v>122</v>
      </c>
      <c r="E2595">
        <v>1195</v>
      </c>
      <c r="F2595">
        <v>1</v>
      </c>
    </row>
    <row r="2596" spans="2:6" x14ac:dyDescent="0.3">
      <c r="B2596" t="s">
        <v>1872</v>
      </c>
      <c r="D2596">
        <v>100</v>
      </c>
      <c r="E2596">
        <v>783</v>
      </c>
      <c r="F2596">
        <v>1</v>
      </c>
    </row>
    <row r="2597" spans="2:6" x14ac:dyDescent="0.3">
      <c r="B2597" t="s">
        <v>1873</v>
      </c>
      <c r="D2597">
        <v>97</v>
      </c>
      <c r="E2597">
        <v>276</v>
      </c>
      <c r="F2597">
        <v>1</v>
      </c>
    </row>
    <row r="2598" spans="2:6" x14ac:dyDescent="0.3">
      <c r="B2598" t="s">
        <v>1874</v>
      </c>
      <c r="D2598">
        <v>92</v>
      </c>
      <c r="E2598">
        <v>220</v>
      </c>
      <c r="F2598">
        <v>1</v>
      </c>
    </row>
    <row r="2599" spans="2:6" x14ac:dyDescent="0.3">
      <c r="B2599" t="s">
        <v>1875</v>
      </c>
      <c r="D2599">
        <v>88</v>
      </c>
      <c r="E2599">
        <v>171</v>
      </c>
      <c r="F2599">
        <v>1</v>
      </c>
    </row>
    <row r="2600" spans="2:6" x14ac:dyDescent="0.3">
      <c r="B2600" t="s">
        <v>1876</v>
      </c>
      <c r="D2600">
        <v>84</v>
      </c>
      <c r="E2600">
        <v>126</v>
      </c>
      <c r="F2600">
        <v>1</v>
      </c>
    </row>
    <row r="2601" spans="2:6" x14ac:dyDescent="0.3">
      <c r="B2601" t="s">
        <v>1877</v>
      </c>
      <c r="D2601">
        <v>79</v>
      </c>
      <c r="E2601">
        <v>100</v>
      </c>
      <c r="F2601">
        <v>1</v>
      </c>
    </row>
    <row r="2602" spans="2:6" x14ac:dyDescent="0.3">
      <c r="B2602" t="s">
        <v>1878</v>
      </c>
      <c r="D2602">
        <v>64</v>
      </c>
      <c r="E2602">
        <v>67</v>
      </c>
      <c r="F2602">
        <v>1</v>
      </c>
    </row>
    <row r="2603" spans="2:6" x14ac:dyDescent="0.3">
      <c r="B2603" t="s">
        <v>1879</v>
      </c>
      <c r="D2603">
        <v>41</v>
      </c>
      <c r="E2603">
        <v>41</v>
      </c>
      <c r="F2603">
        <v>1</v>
      </c>
    </row>
    <row r="2604" spans="2:6" x14ac:dyDescent="0.3">
      <c r="B2604" t="s">
        <v>1880</v>
      </c>
      <c r="D2604">
        <v>28</v>
      </c>
      <c r="E2604">
        <v>29</v>
      </c>
      <c r="F2604">
        <v>1</v>
      </c>
    </row>
    <row r="2605" spans="2:6" x14ac:dyDescent="0.3">
      <c r="B2605" t="s">
        <v>1881</v>
      </c>
      <c r="D2605">
        <v>17</v>
      </c>
      <c r="E2605">
        <v>14</v>
      </c>
      <c r="F2605">
        <v>1</v>
      </c>
    </row>
    <row r="2606" spans="2:6" x14ac:dyDescent="0.3">
      <c r="B2606" t="s">
        <v>1881</v>
      </c>
      <c r="D2606">
        <v>17</v>
      </c>
      <c r="E2606">
        <v>14</v>
      </c>
      <c r="F2606">
        <v>1</v>
      </c>
    </row>
    <row r="2607" spans="2:6" x14ac:dyDescent="0.3">
      <c r="B2607" t="s">
        <v>1882</v>
      </c>
      <c r="D2607">
        <v>8</v>
      </c>
      <c r="E2607">
        <v>7</v>
      </c>
      <c r="F2607">
        <v>1</v>
      </c>
    </row>
    <row r="2608" spans="2:6" x14ac:dyDescent="0.3">
      <c r="B2608" t="s">
        <v>1883</v>
      </c>
      <c r="D2608">
        <v>3</v>
      </c>
      <c r="E2608">
        <v>4</v>
      </c>
      <c r="F2608">
        <v>1</v>
      </c>
    </row>
    <row r="2609" spans="2:6" x14ac:dyDescent="0.3">
      <c r="B2609" t="s">
        <v>17</v>
      </c>
      <c r="D2609">
        <v>2</v>
      </c>
      <c r="E2609">
        <v>1</v>
      </c>
      <c r="F2609">
        <v>1</v>
      </c>
    </row>
    <row r="2610" spans="2:6" x14ac:dyDescent="0.3">
      <c r="B2610" t="s">
        <v>18</v>
      </c>
      <c r="D2610">
        <v>1</v>
      </c>
      <c r="E2610">
        <v>0</v>
      </c>
      <c r="F2610">
        <v>1</v>
      </c>
    </row>
    <row r="2611" spans="2:6" x14ac:dyDescent="0.3">
      <c r="B2611" t="s">
        <v>11</v>
      </c>
      <c r="D2611">
        <v>0</v>
      </c>
      <c r="E2611">
        <v>0</v>
      </c>
      <c r="F2611">
        <v>1</v>
      </c>
    </row>
    <row r="2612" spans="2:6" x14ac:dyDescent="0.3">
      <c r="B2612" t="s">
        <v>11</v>
      </c>
      <c r="D2612">
        <v>0</v>
      </c>
      <c r="E2612">
        <v>0</v>
      </c>
      <c r="F2612">
        <v>1</v>
      </c>
    </row>
    <row r="2613" spans="2:6" x14ac:dyDescent="0.3">
      <c r="B2613" t="s">
        <v>11</v>
      </c>
      <c r="D2613">
        <v>0</v>
      </c>
      <c r="E2613">
        <v>0</v>
      </c>
      <c r="F2613">
        <v>1</v>
      </c>
    </row>
    <row r="2614" spans="2:6" x14ac:dyDescent="0.3">
      <c r="B2614" t="s">
        <v>11</v>
      </c>
      <c r="D2614">
        <v>0</v>
      </c>
      <c r="E2614">
        <v>0</v>
      </c>
      <c r="F2614">
        <v>1</v>
      </c>
    </row>
    <row r="2615" spans="2:6" x14ac:dyDescent="0.3">
      <c r="B2615" t="s">
        <v>11</v>
      </c>
      <c r="D2615">
        <v>0</v>
      </c>
      <c r="E2615">
        <v>0</v>
      </c>
      <c r="F2615">
        <v>1</v>
      </c>
    </row>
    <row r="2616" spans="2:6" x14ac:dyDescent="0.3">
      <c r="B2616" t="s">
        <v>11</v>
      </c>
      <c r="D2616">
        <v>0</v>
      </c>
      <c r="E2616">
        <v>0</v>
      </c>
      <c r="F2616">
        <v>1</v>
      </c>
    </row>
    <row r="2617" spans="2:6" x14ac:dyDescent="0.3">
      <c r="B2617" t="s">
        <v>11</v>
      </c>
      <c r="D2617">
        <v>0</v>
      </c>
      <c r="E2617">
        <v>0</v>
      </c>
      <c r="F2617">
        <v>1</v>
      </c>
    </row>
    <row r="2618" spans="2:6" x14ac:dyDescent="0.3">
      <c r="B2618" t="s">
        <v>11</v>
      </c>
      <c r="D2618">
        <v>0</v>
      </c>
      <c r="E2618">
        <v>0</v>
      </c>
      <c r="F2618">
        <v>1</v>
      </c>
    </row>
    <row r="2619" spans="2:6" x14ac:dyDescent="0.3">
      <c r="B2619" t="s">
        <v>11</v>
      </c>
      <c r="D2619">
        <v>0</v>
      </c>
      <c r="E2619">
        <v>0</v>
      </c>
      <c r="F2619">
        <v>1</v>
      </c>
    </row>
    <row r="2620" spans="2:6" x14ac:dyDescent="0.3">
      <c r="B2620" t="s">
        <v>11</v>
      </c>
      <c r="D2620">
        <v>0</v>
      </c>
      <c r="E2620">
        <v>0</v>
      </c>
      <c r="F2620">
        <v>1</v>
      </c>
    </row>
    <row r="2621" spans="2:6" x14ac:dyDescent="0.3">
      <c r="B2621" t="s">
        <v>11</v>
      </c>
      <c r="D2621">
        <v>0</v>
      </c>
      <c r="E2621">
        <v>0</v>
      </c>
      <c r="F2621">
        <v>1</v>
      </c>
    </row>
    <row r="2622" spans="2:6" x14ac:dyDescent="0.3">
      <c r="B2622" t="s">
        <v>11</v>
      </c>
      <c r="D2622">
        <v>0</v>
      </c>
      <c r="E2622">
        <v>0</v>
      </c>
      <c r="F2622">
        <v>1</v>
      </c>
    </row>
    <row r="2623" spans="2:6" x14ac:dyDescent="0.3">
      <c r="B2623" t="s">
        <v>11</v>
      </c>
      <c r="D2623">
        <v>0</v>
      </c>
      <c r="E2623">
        <v>0</v>
      </c>
      <c r="F2623">
        <v>1</v>
      </c>
    </row>
    <row r="2624" spans="2:6" x14ac:dyDescent="0.3">
      <c r="B2624" t="s">
        <v>11</v>
      </c>
      <c r="D2624">
        <v>0</v>
      </c>
      <c r="E2624">
        <v>0</v>
      </c>
      <c r="F2624">
        <v>1</v>
      </c>
    </row>
    <row r="2625" spans="2:6" x14ac:dyDescent="0.3">
      <c r="B2625" t="s">
        <v>11</v>
      </c>
      <c r="D2625">
        <v>0</v>
      </c>
      <c r="E2625">
        <v>0</v>
      </c>
      <c r="F2625">
        <v>1</v>
      </c>
    </row>
    <row r="2626" spans="2:6" x14ac:dyDescent="0.3">
      <c r="B2626" t="s">
        <v>11</v>
      </c>
      <c r="D2626">
        <v>0</v>
      </c>
      <c r="E2626">
        <v>0</v>
      </c>
      <c r="F2626">
        <v>1</v>
      </c>
    </row>
    <row r="2627" spans="2:6" x14ac:dyDescent="0.3">
      <c r="B2627" t="s">
        <v>11</v>
      </c>
      <c r="D2627">
        <v>0</v>
      </c>
      <c r="E2627">
        <v>0</v>
      </c>
      <c r="F2627">
        <v>1</v>
      </c>
    </row>
    <row r="2628" spans="2:6" x14ac:dyDescent="0.3">
      <c r="B2628" t="s">
        <v>11</v>
      </c>
      <c r="D2628">
        <v>0</v>
      </c>
      <c r="E2628">
        <v>0</v>
      </c>
      <c r="F2628">
        <v>1</v>
      </c>
    </row>
    <row r="2629" spans="2:6" x14ac:dyDescent="0.3">
      <c r="B2629" t="s">
        <v>11</v>
      </c>
      <c r="D2629">
        <v>0</v>
      </c>
      <c r="E2629">
        <v>0</v>
      </c>
      <c r="F2629">
        <v>1</v>
      </c>
    </row>
    <row r="2630" spans="2:6" x14ac:dyDescent="0.3">
      <c r="B2630" t="s">
        <v>11</v>
      </c>
      <c r="D2630">
        <v>0</v>
      </c>
      <c r="E2630">
        <v>0</v>
      </c>
      <c r="F2630">
        <v>1</v>
      </c>
    </row>
    <row r="2631" spans="2:6" x14ac:dyDescent="0.3">
      <c r="B2631" t="s">
        <v>11</v>
      </c>
      <c r="D2631">
        <v>0</v>
      </c>
      <c r="E2631">
        <v>0</v>
      </c>
      <c r="F2631">
        <v>1</v>
      </c>
    </row>
    <row r="2632" spans="2:6" x14ac:dyDescent="0.3">
      <c r="B2632" t="s">
        <v>11</v>
      </c>
      <c r="D2632">
        <v>0</v>
      </c>
      <c r="E2632">
        <v>0</v>
      </c>
      <c r="F2632">
        <v>1</v>
      </c>
    </row>
    <row r="2633" spans="2:6" x14ac:dyDescent="0.3">
      <c r="B2633" t="s">
        <v>11</v>
      </c>
      <c r="D2633">
        <v>0</v>
      </c>
      <c r="E2633">
        <v>0</v>
      </c>
      <c r="F2633">
        <v>1</v>
      </c>
    </row>
    <row r="2634" spans="2:6" x14ac:dyDescent="0.3">
      <c r="B2634" t="s">
        <v>11</v>
      </c>
      <c r="D2634">
        <v>0</v>
      </c>
      <c r="E2634">
        <v>0</v>
      </c>
      <c r="F2634">
        <v>1</v>
      </c>
    </row>
    <row r="2635" spans="2:6" x14ac:dyDescent="0.3">
      <c r="B2635" t="s">
        <v>11</v>
      </c>
      <c r="D2635">
        <v>0</v>
      </c>
      <c r="E2635">
        <v>0</v>
      </c>
      <c r="F2635">
        <v>1</v>
      </c>
    </row>
    <row r="2636" spans="2:6" x14ac:dyDescent="0.3">
      <c r="B2636" t="s">
        <v>11</v>
      </c>
      <c r="D2636">
        <v>0</v>
      </c>
      <c r="E2636">
        <v>0</v>
      </c>
      <c r="F2636">
        <v>1</v>
      </c>
    </row>
    <row r="2637" spans="2:6" x14ac:dyDescent="0.3">
      <c r="B2637" t="s">
        <v>11</v>
      </c>
      <c r="D2637">
        <v>0</v>
      </c>
      <c r="E2637">
        <v>0</v>
      </c>
      <c r="F2637">
        <v>1</v>
      </c>
    </row>
    <row r="2638" spans="2:6" x14ac:dyDescent="0.3">
      <c r="B2638" t="s">
        <v>11</v>
      </c>
      <c r="D2638">
        <v>0</v>
      </c>
      <c r="E2638">
        <v>0</v>
      </c>
      <c r="F2638">
        <v>1</v>
      </c>
    </row>
    <row r="2639" spans="2:6" x14ac:dyDescent="0.3">
      <c r="B2639" t="s">
        <v>11</v>
      </c>
      <c r="D2639">
        <v>0</v>
      </c>
      <c r="E2639">
        <v>0</v>
      </c>
      <c r="F2639">
        <v>1</v>
      </c>
    </row>
    <row r="2640" spans="2:6" x14ac:dyDescent="0.3">
      <c r="B2640" t="s">
        <v>11</v>
      </c>
      <c r="D2640">
        <v>0</v>
      </c>
      <c r="E2640">
        <v>0</v>
      </c>
      <c r="F2640">
        <v>1</v>
      </c>
    </row>
    <row r="2641" spans="2:6" x14ac:dyDescent="0.3">
      <c r="B2641" t="s">
        <v>11</v>
      </c>
      <c r="D2641">
        <v>0</v>
      </c>
      <c r="E2641">
        <v>0</v>
      </c>
      <c r="F2641">
        <v>1</v>
      </c>
    </row>
    <row r="2642" spans="2:6" x14ac:dyDescent="0.3">
      <c r="B2642" t="s">
        <v>11</v>
      </c>
      <c r="D2642">
        <v>0</v>
      </c>
      <c r="E2642">
        <v>0</v>
      </c>
      <c r="F2642">
        <v>1</v>
      </c>
    </row>
    <row r="2643" spans="2:6" x14ac:dyDescent="0.3">
      <c r="B2643" t="s">
        <v>11</v>
      </c>
      <c r="D2643">
        <v>0</v>
      </c>
      <c r="E2643">
        <v>0</v>
      </c>
      <c r="F2643">
        <v>1</v>
      </c>
    </row>
    <row r="2644" spans="2:6" x14ac:dyDescent="0.3">
      <c r="B2644" t="s">
        <v>11</v>
      </c>
      <c r="D2644">
        <v>0</v>
      </c>
      <c r="E2644">
        <v>0</v>
      </c>
      <c r="F2644">
        <v>1</v>
      </c>
    </row>
    <row r="2645" spans="2:6" x14ac:dyDescent="0.3">
      <c r="B2645" t="s">
        <v>11</v>
      </c>
      <c r="D2645">
        <v>0</v>
      </c>
      <c r="E2645">
        <v>0</v>
      </c>
      <c r="F2645">
        <v>1</v>
      </c>
    </row>
    <row r="2646" spans="2:6" x14ac:dyDescent="0.3">
      <c r="B2646" t="s">
        <v>11</v>
      </c>
      <c r="D2646">
        <v>0</v>
      </c>
      <c r="E2646">
        <v>0</v>
      </c>
      <c r="F2646">
        <v>1</v>
      </c>
    </row>
    <row r="2647" spans="2:6" x14ac:dyDescent="0.3">
      <c r="B2647" t="s">
        <v>11</v>
      </c>
      <c r="D2647">
        <v>0</v>
      </c>
      <c r="E2647">
        <v>0</v>
      </c>
      <c r="F2647">
        <v>1</v>
      </c>
    </row>
    <row r="2648" spans="2:6" x14ac:dyDescent="0.3">
      <c r="B2648" t="s">
        <v>11</v>
      </c>
      <c r="D2648">
        <v>0</v>
      </c>
      <c r="E2648">
        <v>0</v>
      </c>
      <c r="F2648">
        <v>1</v>
      </c>
    </row>
    <row r="2649" spans="2:6" x14ac:dyDescent="0.3">
      <c r="B2649" t="s">
        <v>11</v>
      </c>
      <c r="D2649">
        <v>0</v>
      </c>
      <c r="E2649">
        <v>0</v>
      </c>
      <c r="F2649">
        <v>1</v>
      </c>
    </row>
    <row r="2650" spans="2:6" x14ac:dyDescent="0.3">
      <c r="B2650" t="s">
        <v>11</v>
      </c>
      <c r="D2650">
        <v>0</v>
      </c>
      <c r="E2650">
        <v>0</v>
      </c>
      <c r="F2650">
        <v>1</v>
      </c>
    </row>
    <row r="2651" spans="2:6" x14ac:dyDescent="0.3">
      <c r="B2651" t="s">
        <v>11</v>
      </c>
      <c r="D2651">
        <v>0</v>
      </c>
      <c r="E2651">
        <v>0</v>
      </c>
      <c r="F2651">
        <v>1</v>
      </c>
    </row>
    <row r="2652" spans="2:6" x14ac:dyDescent="0.3">
      <c r="B2652" t="s">
        <v>11</v>
      </c>
      <c r="D2652">
        <v>0</v>
      </c>
      <c r="E2652">
        <v>0</v>
      </c>
      <c r="F2652">
        <v>1</v>
      </c>
    </row>
    <row r="2653" spans="2:6" x14ac:dyDescent="0.3">
      <c r="B2653" t="s">
        <v>11</v>
      </c>
      <c r="D2653">
        <v>0</v>
      </c>
      <c r="E2653">
        <v>0</v>
      </c>
      <c r="F2653">
        <v>1</v>
      </c>
    </row>
    <row r="2654" spans="2:6" x14ac:dyDescent="0.3">
      <c r="B2654" t="s">
        <v>11</v>
      </c>
      <c r="D2654">
        <v>0</v>
      </c>
      <c r="E2654">
        <v>0</v>
      </c>
      <c r="F2654">
        <v>1</v>
      </c>
    </row>
    <row r="2655" spans="2:6" x14ac:dyDescent="0.3">
      <c r="B2655" t="s">
        <v>11</v>
      </c>
      <c r="D2655">
        <v>0</v>
      </c>
      <c r="E2655">
        <v>0</v>
      </c>
      <c r="F2655">
        <v>1</v>
      </c>
    </row>
    <row r="2656" spans="2:6" x14ac:dyDescent="0.3">
      <c r="B2656" t="s">
        <v>11</v>
      </c>
      <c r="D2656">
        <v>0</v>
      </c>
      <c r="E2656">
        <v>0</v>
      </c>
      <c r="F2656">
        <v>1</v>
      </c>
    </row>
    <row r="2657" spans="2:6" x14ac:dyDescent="0.3">
      <c r="B2657" t="s">
        <v>11</v>
      </c>
      <c r="D2657">
        <v>0</v>
      </c>
      <c r="E2657">
        <v>0</v>
      </c>
      <c r="F2657">
        <v>1</v>
      </c>
    </row>
    <row r="2658" spans="2:6" x14ac:dyDescent="0.3">
      <c r="B2658" t="s">
        <v>11</v>
      </c>
      <c r="D2658">
        <v>0</v>
      </c>
      <c r="E2658">
        <v>0</v>
      </c>
      <c r="F2658">
        <v>1</v>
      </c>
    </row>
    <row r="2659" spans="2:6" x14ac:dyDescent="0.3">
      <c r="B2659" t="s">
        <v>11</v>
      </c>
      <c r="D2659">
        <v>0</v>
      </c>
      <c r="E2659">
        <v>0</v>
      </c>
      <c r="F2659">
        <v>1</v>
      </c>
    </row>
    <row r="2660" spans="2:6" x14ac:dyDescent="0.3">
      <c r="B2660" t="s">
        <v>11</v>
      </c>
      <c r="D2660">
        <v>0</v>
      </c>
      <c r="E2660">
        <v>0</v>
      </c>
      <c r="F2660">
        <v>1</v>
      </c>
    </row>
    <row r="2661" spans="2:6" x14ac:dyDescent="0.3">
      <c r="B2661" t="s">
        <v>11</v>
      </c>
      <c r="D2661">
        <v>0</v>
      </c>
      <c r="E2661">
        <v>0</v>
      </c>
      <c r="F2661">
        <v>1</v>
      </c>
    </row>
    <row r="2662" spans="2:6" x14ac:dyDescent="0.3">
      <c r="B2662" t="s">
        <v>11</v>
      </c>
      <c r="D2662">
        <v>0</v>
      </c>
      <c r="E2662">
        <v>0</v>
      </c>
      <c r="F2662">
        <v>1</v>
      </c>
    </row>
    <row r="2663" spans="2:6" x14ac:dyDescent="0.3">
      <c r="B2663" t="s">
        <v>11</v>
      </c>
      <c r="D2663">
        <v>0</v>
      </c>
      <c r="E2663">
        <v>0</v>
      </c>
      <c r="F2663">
        <v>1</v>
      </c>
    </row>
    <row r="2664" spans="2:6" x14ac:dyDescent="0.3">
      <c r="B2664" t="s">
        <v>11</v>
      </c>
      <c r="D2664">
        <v>0</v>
      </c>
      <c r="E2664">
        <v>0</v>
      </c>
      <c r="F2664">
        <v>1</v>
      </c>
    </row>
    <row r="2665" spans="2:6" x14ac:dyDescent="0.3">
      <c r="B2665" t="s">
        <v>11</v>
      </c>
      <c r="D2665">
        <v>0</v>
      </c>
      <c r="E2665">
        <v>0</v>
      </c>
      <c r="F2665">
        <v>1</v>
      </c>
    </row>
    <row r="2666" spans="2:6" x14ac:dyDescent="0.3">
      <c r="B2666" t="s">
        <v>11</v>
      </c>
      <c r="D2666">
        <v>0</v>
      </c>
      <c r="E2666">
        <v>0</v>
      </c>
      <c r="F2666">
        <v>1</v>
      </c>
    </row>
    <row r="2667" spans="2:6" x14ac:dyDescent="0.3">
      <c r="B2667" t="s">
        <v>11</v>
      </c>
      <c r="D2667">
        <v>0</v>
      </c>
      <c r="E2667">
        <v>0</v>
      </c>
      <c r="F2667">
        <v>1</v>
      </c>
    </row>
    <row r="2668" spans="2:6" x14ac:dyDescent="0.3">
      <c r="B2668" t="s">
        <v>11</v>
      </c>
      <c r="D2668">
        <v>0</v>
      </c>
      <c r="E2668">
        <v>0</v>
      </c>
      <c r="F2668">
        <v>1</v>
      </c>
    </row>
    <row r="2669" spans="2:6" x14ac:dyDescent="0.3">
      <c r="B2669" t="s">
        <v>11</v>
      </c>
      <c r="D2669">
        <v>0</v>
      </c>
      <c r="E2669">
        <v>0</v>
      </c>
      <c r="F2669">
        <v>1</v>
      </c>
    </row>
    <row r="2670" spans="2:6" x14ac:dyDescent="0.3">
      <c r="B2670" t="s">
        <v>11</v>
      </c>
      <c r="D2670">
        <v>0</v>
      </c>
      <c r="E2670">
        <v>0</v>
      </c>
      <c r="F2670">
        <v>1</v>
      </c>
    </row>
    <row r="2671" spans="2:6" x14ac:dyDescent="0.3">
      <c r="B2671" t="s">
        <v>11</v>
      </c>
      <c r="D2671">
        <v>0</v>
      </c>
      <c r="E2671">
        <v>0</v>
      </c>
      <c r="F2671">
        <v>1</v>
      </c>
    </row>
    <row r="2672" spans="2:6" x14ac:dyDescent="0.3">
      <c r="B2672" t="s">
        <v>11</v>
      </c>
      <c r="D2672">
        <v>0</v>
      </c>
      <c r="E2672">
        <v>0</v>
      </c>
      <c r="F2672">
        <v>1</v>
      </c>
    </row>
    <row r="2673" spans="2:6" x14ac:dyDescent="0.3">
      <c r="B2673" t="s">
        <v>11</v>
      </c>
      <c r="D2673">
        <v>0</v>
      </c>
      <c r="E2673">
        <v>0</v>
      </c>
      <c r="F2673">
        <v>1</v>
      </c>
    </row>
    <row r="2674" spans="2:6" x14ac:dyDescent="0.3">
      <c r="B2674" t="s">
        <v>11</v>
      </c>
      <c r="D2674">
        <v>0</v>
      </c>
      <c r="E2674">
        <v>0</v>
      </c>
      <c r="F2674">
        <v>1</v>
      </c>
    </row>
    <row r="2675" spans="2:6" x14ac:dyDescent="0.3">
      <c r="B2675" t="s">
        <v>11</v>
      </c>
      <c r="D2675">
        <v>0</v>
      </c>
      <c r="E2675">
        <v>0</v>
      </c>
      <c r="F2675">
        <v>1</v>
      </c>
    </row>
    <row r="2676" spans="2:6" x14ac:dyDescent="0.3">
      <c r="B2676" t="s">
        <v>11</v>
      </c>
      <c r="D2676">
        <v>0</v>
      </c>
      <c r="E2676">
        <v>0</v>
      </c>
      <c r="F2676">
        <v>1</v>
      </c>
    </row>
    <row r="2677" spans="2:6" x14ac:dyDescent="0.3">
      <c r="B2677" t="s">
        <v>11</v>
      </c>
      <c r="D2677">
        <v>0</v>
      </c>
      <c r="E2677">
        <v>0</v>
      </c>
      <c r="F2677">
        <v>1</v>
      </c>
    </row>
    <row r="2678" spans="2:6" x14ac:dyDescent="0.3">
      <c r="B2678" t="s">
        <v>11</v>
      </c>
      <c r="D2678">
        <v>0</v>
      </c>
      <c r="E2678">
        <v>0</v>
      </c>
      <c r="F2678">
        <v>1</v>
      </c>
    </row>
    <row r="2679" spans="2:6" x14ac:dyDescent="0.3">
      <c r="B2679" t="s">
        <v>11</v>
      </c>
      <c r="D2679">
        <v>0</v>
      </c>
      <c r="E2679">
        <v>0</v>
      </c>
      <c r="F2679">
        <v>1</v>
      </c>
    </row>
    <row r="2680" spans="2:6" x14ac:dyDescent="0.3">
      <c r="B2680" t="s">
        <v>11</v>
      </c>
      <c r="D2680">
        <v>0</v>
      </c>
      <c r="E2680">
        <v>0</v>
      </c>
      <c r="F2680">
        <v>1</v>
      </c>
    </row>
    <row r="2681" spans="2:6" x14ac:dyDescent="0.3">
      <c r="B2681" t="s">
        <v>11</v>
      </c>
      <c r="D2681">
        <v>0</v>
      </c>
      <c r="E2681">
        <v>0</v>
      </c>
      <c r="F2681">
        <v>1</v>
      </c>
    </row>
    <row r="2682" spans="2:6" x14ac:dyDescent="0.3">
      <c r="B2682" t="s">
        <v>11</v>
      </c>
      <c r="D2682">
        <v>0</v>
      </c>
      <c r="E2682">
        <v>0</v>
      </c>
      <c r="F2682">
        <v>1</v>
      </c>
    </row>
    <row r="2683" spans="2:6" x14ac:dyDescent="0.3">
      <c r="B2683" t="s">
        <v>11</v>
      </c>
      <c r="D2683">
        <v>0</v>
      </c>
      <c r="E2683">
        <v>0</v>
      </c>
      <c r="F2683">
        <v>1</v>
      </c>
    </row>
    <row r="2684" spans="2:6" x14ac:dyDescent="0.3">
      <c r="B2684" t="s">
        <v>11</v>
      </c>
      <c r="D2684">
        <v>0</v>
      </c>
      <c r="E2684">
        <v>0</v>
      </c>
      <c r="F2684">
        <v>1</v>
      </c>
    </row>
    <row r="2685" spans="2:6" x14ac:dyDescent="0.3">
      <c r="B2685" t="s">
        <v>11</v>
      </c>
      <c r="D2685">
        <v>0</v>
      </c>
      <c r="E2685">
        <v>0</v>
      </c>
      <c r="F2685">
        <v>1</v>
      </c>
    </row>
    <row r="2686" spans="2:6" x14ac:dyDescent="0.3">
      <c r="B2686" t="s">
        <v>11</v>
      </c>
      <c r="D2686">
        <v>0</v>
      </c>
      <c r="E2686">
        <v>0</v>
      </c>
      <c r="F2686">
        <v>1</v>
      </c>
    </row>
    <row r="2687" spans="2:6" x14ac:dyDescent="0.3">
      <c r="B2687" t="s">
        <v>11</v>
      </c>
      <c r="D2687">
        <v>0</v>
      </c>
      <c r="E2687">
        <v>0</v>
      </c>
      <c r="F2687">
        <v>1</v>
      </c>
    </row>
    <row r="2688" spans="2:6" x14ac:dyDescent="0.3">
      <c r="B2688" t="s">
        <v>11</v>
      </c>
      <c r="D2688">
        <v>0</v>
      </c>
      <c r="E2688">
        <v>0</v>
      </c>
      <c r="F2688">
        <v>1</v>
      </c>
    </row>
    <row r="2689" spans="2:6" x14ac:dyDescent="0.3">
      <c r="B2689" t="s">
        <v>18</v>
      </c>
      <c r="D2689">
        <v>1</v>
      </c>
      <c r="E2689">
        <v>0</v>
      </c>
      <c r="F2689">
        <v>1</v>
      </c>
    </row>
    <row r="2690" spans="2:6" x14ac:dyDescent="0.3">
      <c r="B2690" t="s">
        <v>17</v>
      </c>
      <c r="D2690">
        <v>2</v>
      </c>
      <c r="E2690">
        <v>1</v>
      </c>
      <c r="F2690">
        <v>1</v>
      </c>
    </row>
    <row r="2691" spans="2:6" x14ac:dyDescent="0.3">
      <c r="B2691" t="s">
        <v>93</v>
      </c>
      <c r="D2691">
        <v>5</v>
      </c>
      <c r="E2691">
        <v>6</v>
      </c>
      <c r="F2691">
        <v>1</v>
      </c>
    </row>
    <row r="2692" spans="2:6" x14ac:dyDescent="0.3">
      <c r="B2692" t="s">
        <v>1884</v>
      </c>
      <c r="D2692">
        <v>12</v>
      </c>
      <c r="E2692">
        <v>11</v>
      </c>
      <c r="F2692">
        <v>1</v>
      </c>
    </row>
    <row r="2693" spans="2:6" x14ac:dyDescent="0.3">
      <c r="B2693" t="s">
        <v>1885</v>
      </c>
      <c r="D2693">
        <v>23</v>
      </c>
      <c r="E2693">
        <v>20</v>
      </c>
      <c r="F2693">
        <v>1</v>
      </c>
    </row>
    <row r="2694" spans="2:6" x14ac:dyDescent="0.3">
      <c r="B2694" t="s">
        <v>1886</v>
      </c>
      <c r="D2694">
        <v>38</v>
      </c>
      <c r="E2694">
        <v>32</v>
      </c>
      <c r="F2694">
        <v>1</v>
      </c>
    </row>
    <row r="2695" spans="2:6" x14ac:dyDescent="0.3">
      <c r="B2695" t="s">
        <v>908</v>
      </c>
      <c r="D2695">
        <v>60</v>
      </c>
      <c r="E2695">
        <v>53</v>
      </c>
      <c r="F2695">
        <v>1</v>
      </c>
    </row>
    <row r="2696" spans="2:6" x14ac:dyDescent="0.3">
      <c r="B2696" t="s">
        <v>1887</v>
      </c>
      <c r="D2696">
        <v>77</v>
      </c>
      <c r="E2696">
        <v>81</v>
      </c>
      <c r="F2696">
        <v>1</v>
      </c>
    </row>
    <row r="2697" spans="2:6" x14ac:dyDescent="0.3">
      <c r="B2697" t="s">
        <v>1888</v>
      </c>
      <c r="D2697">
        <v>77</v>
      </c>
      <c r="E2697">
        <v>116</v>
      </c>
      <c r="F2697">
        <v>1</v>
      </c>
    </row>
    <row r="2698" spans="2:6" x14ac:dyDescent="0.3">
      <c r="B2698" t="s">
        <v>1889</v>
      </c>
      <c r="D2698">
        <v>84</v>
      </c>
      <c r="E2698">
        <v>141</v>
      </c>
      <c r="F2698">
        <v>1</v>
      </c>
    </row>
    <row r="2699" spans="2:6" x14ac:dyDescent="0.3">
      <c r="B2699" t="s">
        <v>1890</v>
      </c>
      <c r="D2699">
        <v>88</v>
      </c>
      <c r="E2699">
        <v>185</v>
      </c>
      <c r="F2699">
        <v>1</v>
      </c>
    </row>
    <row r="2700" spans="2:6" x14ac:dyDescent="0.3">
      <c r="B2700" t="s">
        <v>1891</v>
      </c>
      <c r="D2700">
        <v>102</v>
      </c>
      <c r="E2700">
        <v>710</v>
      </c>
      <c r="F2700">
        <v>1</v>
      </c>
    </row>
    <row r="2701" spans="2:6" x14ac:dyDescent="0.3">
      <c r="B2701" t="s">
        <v>1892</v>
      </c>
      <c r="D2701">
        <v>120</v>
      </c>
      <c r="E2701">
        <v>1069</v>
      </c>
      <c r="F2701">
        <v>1</v>
      </c>
    </row>
    <row r="2702" spans="2:6" x14ac:dyDescent="0.3">
      <c r="B2702" t="s">
        <v>1893</v>
      </c>
      <c r="D2702">
        <v>126</v>
      </c>
      <c r="E2702">
        <v>1350</v>
      </c>
      <c r="F2702">
        <v>1</v>
      </c>
    </row>
    <row r="2703" spans="2:6" x14ac:dyDescent="0.3">
      <c r="B2703" t="s">
        <v>1894</v>
      </c>
      <c r="D2703">
        <v>133</v>
      </c>
      <c r="E2703">
        <v>1911</v>
      </c>
      <c r="F2703">
        <v>1</v>
      </c>
    </row>
    <row r="2704" spans="2:6" x14ac:dyDescent="0.3">
      <c r="B2704" t="s">
        <v>1895</v>
      </c>
      <c r="D2704">
        <v>137</v>
      </c>
      <c r="E2704">
        <v>2587</v>
      </c>
      <c r="F2704">
        <v>1</v>
      </c>
    </row>
    <row r="2705" spans="2:6" x14ac:dyDescent="0.3">
      <c r="B2705" t="s">
        <v>1896</v>
      </c>
      <c r="D2705">
        <v>139</v>
      </c>
      <c r="E2705">
        <v>2942</v>
      </c>
      <c r="F2705">
        <v>1</v>
      </c>
    </row>
    <row r="2706" spans="2:6" x14ac:dyDescent="0.3">
      <c r="B2706" t="s">
        <v>1897</v>
      </c>
      <c r="D2706">
        <v>136</v>
      </c>
      <c r="E2706">
        <v>2642</v>
      </c>
      <c r="F2706">
        <v>1</v>
      </c>
    </row>
    <row r="2707" spans="2:6" x14ac:dyDescent="0.3">
      <c r="B2707" t="s">
        <v>1898</v>
      </c>
      <c r="D2707">
        <v>130</v>
      </c>
      <c r="E2707">
        <v>2124</v>
      </c>
      <c r="F2707">
        <v>1</v>
      </c>
    </row>
    <row r="2708" spans="2:6" x14ac:dyDescent="0.3">
      <c r="B2708" t="s">
        <v>1899</v>
      </c>
      <c r="D2708">
        <v>122</v>
      </c>
      <c r="E2708">
        <v>1221</v>
      </c>
      <c r="F2708">
        <v>1</v>
      </c>
    </row>
    <row r="2709" spans="2:6" x14ac:dyDescent="0.3">
      <c r="B2709" t="s">
        <v>1900</v>
      </c>
      <c r="D2709">
        <v>119</v>
      </c>
      <c r="E2709">
        <v>926</v>
      </c>
      <c r="F2709">
        <v>1</v>
      </c>
    </row>
    <row r="2710" spans="2:6" x14ac:dyDescent="0.3">
      <c r="B2710" t="s">
        <v>1901</v>
      </c>
      <c r="D2710">
        <v>117</v>
      </c>
      <c r="E2710">
        <v>834</v>
      </c>
      <c r="F2710">
        <v>1</v>
      </c>
    </row>
    <row r="2711" spans="2:6" x14ac:dyDescent="0.3">
      <c r="B2711" t="s">
        <v>1902</v>
      </c>
      <c r="D2711">
        <v>117</v>
      </c>
      <c r="E2711">
        <v>811</v>
      </c>
      <c r="F2711">
        <v>1</v>
      </c>
    </row>
    <row r="2712" spans="2:6" x14ac:dyDescent="0.3">
      <c r="B2712" t="s">
        <v>1903</v>
      </c>
      <c r="D2712">
        <v>117</v>
      </c>
      <c r="E2712">
        <v>819</v>
      </c>
      <c r="F2712">
        <v>1</v>
      </c>
    </row>
    <row r="2713" spans="2:6" x14ac:dyDescent="0.3">
      <c r="B2713" t="s">
        <v>1904</v>
      </c>
      <c r="D2713">
        <v>117</v>
      </c>
      <c r="E2713">
        <v>848</v>
      </c>
      <c r="F2713">
        <v>1</v>
      </c>
    </row>
    <row r="2714" spans="2:6" x14ac:dyDescent="0.3">
      <c r="B2714" t="s">
        <v>1905</v>
      </c>
      <c r="D2714">
        <v>118</v>
      </c>
      <c r="E2714">
        <v>882</v>
      </c>
      <c r="F2714">
        <v>1</v>
      </c>
    </row>
    <row r="2715" spans="2:6" x14ac:dyDescent="0.3">
      <c r="B2715" t="s">
        <v>1906</v>
      </c>
      <c r="D2715">
        <v>119</v>
      </c>
      <c r="E2715">
        <v>905</v>
      </c>
      <c r="F2715">
        <v>1</v>
      </c>
    </row>
    <row r="2716" spans="2:6" x14ac:dyDescent="0.3">
      <c r="B2716" t="s">
        <v>1907</v>
      </c>
      <c r="D2716">
        <v>119</v>
      </c>
      <c r="E2716">
        <v>939</v>
      </c>
      <c r="F2716">
        <v>1</v>
      </c>
    </row>
    <row r="2717" spans="2:6" x14ac:dyDescent="0.3">
      <c r="B2717" t="s">
        <v>1908</v>
      </c>
      <c r="D2717">
        <v>120</v>
      </c>
      <c r="E2717">
        <v>970</v>
      </c>
      <c r="F2717">
        <v>1</v>
      </c>
    </row>
    <row r="2718" spans="2:6" x14ac:dyDescent="0.3">
      <c r="B2718" t="s">
        <v>1909</v>
      </c>
      <c r="D2718">
        <v>121</v>
      </c>
      <c r="E2718">
        <v>1002</v>
      </c>
      <c r="F2718">
        <v>1</v>
      </c>
    </row>
    <row r="2719" spans="2:6" x14ac:dyDescent="0.3">
      <c r="B2719" t="s">
        <v>1910</v>
      </c>
      <c r="D2719">
        <v>122</v>
      </c>
      <c r="E2719">
        <v>1024</v>
      </c>
      <c r="F2719">
        <v>1</v>
      </c>
    </row>
    <row r="2720" spans="2:6" x14ac:dyDescent="0.3">
      <c r="B2720" t="s">
        <v>1911</v>
      </c>
      <c r="D2720">
        <v>122</v>
      </c>
      <c r="E2720">
        <v>1044</v>
      </c>
      <c r="F2720">
        <v>1</v>
      </c>
    </row>
    <row r="2721" spans="2:6" x14ac:dyDescent="0.3">
      <c r="B2721" t="s">
        <v>1912</v>
      </c>
      <c r="D2721">
        <v>122</v>
      </c>
      <c r="E2721">
        <v>1071</v>
      </c>
      <c r="F2721">
        <v>1</v>
      </c>
    </row>
    <row r="2722" spans="2:6" x14ac:dyDescent="0.3">
      <c r="B2722" t="s">
        <v>1913</v>
      </c>
      <c r="D2722">
        <v>123</v>
      </c>
      <c r="E2722">
        <v>1098</v>
      </c>
      <c r="F2722">
        <v>1</v>
      </c>
    </row>
    <row r="2723" spans="2:6" x14ac:dyDescent="0.3">
      <c r="B2723" t="s">
        <v>1914</v>
      </c>
      <c r="D2723">
        <v>123</v>
      </c>
      <c r="E2723">
        <v>1115</v>
      </c>
      <c r="F2723">
        <v>1</v>
      </c>
    </row>
    <row r="2724" spans="2:6" x14ac:dyDescent="0.3">
      <c r="B2724" t="s">
        <v>1915</v>
      </c>
      <c r="D2724">
        <v>123</v>
      </c>
      <c r="E2724">
        <v>1123</v>
      </c>
      <c r="F2724">
        <v>1</v>
      </c>
    </row>
    <row r="2725" spans="2:6" x14ac:dyDescent="0.3">
      <c r="B2725" t="s">
        <v>1916</v>
      </c>
      <c r="D2725">
        <v>123</v>
      </c>
      <c r="E2725">
        <v>1133</v>
      </c>
      <c r="F2725">
        <v>1</v>
      </c>
    </row>
    <row r="2726" spans="2:6" x14ac:dyDescent="0.3">
      <c r="B2726" t="s">
        <v>1917</v>
      </c>
      <c r="D2726">
        <v>123</v>
      </c>
      <c r="E2726">
        <v>1144</v>
      </c>
      <c r="F2726">
        <v>1</v>
      </c>
    </row>
    <row r="2727" spans="2:6" x14ac:dyDescent="0.3">
      <c r="B2727" t="s">
        <v>1918</v>
      </c>
      <c r="D2727">
        <v>123</v>
      </c>
      <c r="E2727">
        <v>1149</v>
      </c>
      <c r="F2727">
        <v>1</v>
      </c>
    </row>
    <row r="2728" spans="2:6" x14ac:dyDescent="0.3">
      <c r="B2728" t="s">
        <v>1919</v>
      </c>
      <c r="D2728">
        <v>123</v>
      </c>
      <c r="E2728">
        <v>1150</v>
      </c>
      <c r="F2728">
        <v>1</v>
      </c>
    </row>
    <row r="2729" spans="2:6" x14ac:dyDescent="0.3">
      <c r="B2729" t="s">
        <v>1920</v>
      </c>
      <c r="D2729">
        <v>123</v>
      </c>
      <c r="E2729">
        <v>1146</v>
      </c>
      <c r="F2729">
        <v>1</v>
      </c>
    </row>
    <row r="2730" spans="2:6" x14ac:dyDescent="0.3">
      <c r="B2730" t="s">
        <v>1921</v>
      </c>
      <c r="D2730">
        <v>123</v>
      </c>
      <c r="E2730">
        <v>1153</v>
      </c>
      <c r="F2730">
        <v>1</v>
      </c>
    </row>
    <row r="2731" spans="2:6" x14ac:dyDescent="0.3">
      <c r="B2731" t="s">
        <v>1922</v>
      </c>
      <c r="D2731">
        <v>123</v>
      </c>
      <c r="E2731">
        <v>1160</v>
      </c>
      <c r="F2731">
        <v>1</v>
      </c>
    </row>
    <row r="2732" spans="2:6" x14ac:dyDescent="0.3">
      <c r="B2732" t="s">
        <v>1922</v>
      </c>
      <c r="D2732">
        <v>123</v>
      </c>
      <c r="E2732">
        <v>1160</v>
      </c>
      <c r="F2732">
        <v>1</v>
      </c>
    </row>
    <row r="2733" spans="2:6" x14ac:dyDescent="0.3">
      <c r="B2733" t="s">
        <v>1923</v>
      </c>
      <c r="D2733">
        <v>123</v>
      </c>
      <c r="E2733">
        <v>1158</v>
      </c>
      <c r="F2733">
        <v>1</v>
      </c>
    </row>
    <row r="2734" spans="2:6" x14ac:dyDescent="0.3">
      <c r="B2734" t="s">
        <v>1922</v>
      </c>
      <c r="D2734">
        <v>123</v>
      </c>
      <c r="E2734">
        <v>1160</v>
      </c>
      <c r="F2734">
        <v>1</v>
      </c>
    </row>
    <row r="2735" spans="2:6" x14ac:dyDescent="0.3">
      <c r="B2735" t="s">
        <v>1924</v>
      </c>
      <c r="D2735">
        <v>123</v>
      </c>
      <c r="E2735">
        <v>1159</v>
      </c>
      <c r="F2735">
        <v>1</v>
      </c>
    </row>
    <row r="2736" spans="2:6" x14ac:dyDescent="0.3">
      <c r="B2736" t="s">
        <v>1925</v>
      </c>
      <c r="D2736">
        <v>123</v>
      </c>
      <c r="E2736">
        <v>1163</v>
      </c>
      <c r="F2736">
        <v>1</v>
      </c>
    </row>
    <row r="2737" spans="2:6" x14ac:dyDescent="0.3">
      <c r="B2737" t="s">
        <v>1926</v>
      </c>
      <c r="D2737">
        <v>123</v>
      </c>
      <c r="E2737">
        <v>1166</v>
      </c>
      <c r="F2737">
        <v>1</v>
      </c>
    </row>
    <row r="2738" spans="2:6" x14ac:dyDescent="0.3">
      <c r="B2738" t="s">
        <v>1927</v>
      </c>
      <c r="D2738">
        <v>123</v>
      </c>
      <c r="E2738">
        <v>1162</v>
      </c>
      <c r="F2738">
        <v>1</v>
      </c>
    </row>
    <row r="2739" spans="2:6" x14ac:dyDescent="0.3">
      <c r="B2739" t="s">
        <v>1928</v>
      </c>
      <c r="D2739">
        <v>123</v>
      </c>
      <c r="E2739">
        <v>954</v>
      </c>
      <c r="F2739">
        <v>1</v>
      </c>
    </row>
    <row r="2740" spans="2:6" x14ac:dyDescent="0.3">
      <c r="B2740" t="s">
        <v>1929</v>
      </c>
      <c r="D2740">
        <v>123</v>
      </c>
      <c r="E2740">
        <v>1168</v>
      </c>
      <c r="F2740">
        <v>1</v>
      </c>
    </row>
    <row r="2741" spans="2:6" x14ac:dyDescent="0.3">
      <c r="B2741" t="s">
        <v>1926</v>
      </c>
      <c r="D2741">
        <v>123</v>
      </c>
      <c r="E2741">
        <v>1166</v>
      </c>
      <c r="F2741">
        <v>1</v>
      </c>
    </row>
    <row r="2742" spans="2:6" x14ac:dyDescent="0.3">
      <c r="B2742" t="s">
        <v>1930</v>
      </c>
      <c r="D2742">
        <v>120</v>
      </c>
      <c r="E2742">
        <v>1177</v>
      </c>
      <c r="F2742">
        <v>1</v>
      </c>
    </row>
    <row r="2743" spans="2:6" x14ac:dyDescent="0.3">
      <c r="B2743" t="s">
        <v>1931</v>
      </c>
      <c r="D2743">
        <v>153</v>
      </c>
      <c r="E2743">
        <v>6304</v>
      </c>
      <c r="F2743">
        <v>1</v>
      </c>
    </row>
    <row r="2744" spans="2:6" x14ac:dyDescent="0.3">
      <c r="B2744" t="s">
        <v>1932</v>
      </c>
      <c r="D2744">
        <v>153</v>
      </c>
      <c r="E2744">
        <v>6174</v>
      </c>
      <c r="F2744">
        <v>1</v>
      </c>
    </row>
    <row r="2745" spans="2:6" x14ac:dyDescent="0.3">
      <c r="B2745" t="s">
        <v>1932</v>
      </c>
      <c r="D2745">
        <v>153</v>
      </c>
      <c r="E2745">
        <v>6174</v>
      </c>
      <c r="F2745">
        <v>1</v>
      </c>
    </row>
    <row r="2746" spans="2:6" x14ac:dyDescent="0.3">
      <c r="B2746" t="s">
        <v>1933</v>
      </c>
      <c r="D2746">
        <v>153</v>
      </c>
      <c r="E2746">
        <v>6076</v>
      </c>
      <c r="F2746">
        <v>1</v>
      </c>
    </row>
    <row r="2747" spans="2:6" x14ac:dyDescent="0.3">
      <c r="B2747" t="s">
        <v>1934</v>
      </c>
      <c r="D2747">
        <v>152</v>
      </c>
      <c r="E2747">
        <v>5736</v>
      </c>
      <c r="F2747">
        <v>1</v>
      </c>
    </row>
    <row r="2748" spans="2:6" x14ac:dyDescent="0.3">
      <c r="B2748" t="s">
        <v>1935</v>
      </c>
      <c r="D2748">
        <v>151</v>
      </c>
      <c r="E2748">
        <v>5718</v>
      </c>
      <c r="F2748">
        <v>1</v>
      </c>
    </row>
    <row r="2749" spans="2:6" x14ac:dyDescent="0.3">
      <c r="B2749" t="s">
        <v>1936</v>
      </c>
      <c r="D2749">
        <v>150</v>
      </c>
      <c r="E2749">
        <v>5466</v>
      </c>
      <c r="F2749">
        <v>1</v>
      </c>
    </row>
    <row r="2750" spans="2:6" x14ac:dyDescent="0.3">
      <c r="B2750" t="s">
        <v>1937</v>
      </c>
      <c r="D2750">
        <v>150</v>
      </c>
      <c r="E2750">
        <v>5334</v>
      </c>
      <c r="F2750">
        <v>1</v>
      </c>
    </row>
    <row r="2751" spans="2:6" x14ac:dyDescent="0.3">
      <c r="B2751" t="s">
        <v>1938</v>
      </c>
      <c r="D2751">
        <v>148</v>
      </c>
      <c r="E2751">
        <v>4980</v>
      </c>
      <c r="F2751">
        <v>1</v>
      </c>
    </row>
    <row r="2752" spans="2:6" x14ac:dyDescent="0.3">
      <c r="B2752" t="s">
        <v>1939</v>
      </c>
      <c r="D2752">
        <v>135</v>
      </c>
      <c r="E2752">
        <v>4664</v>
      </c>
      <c r="F2752">
        <v>1</v>
      </c>
    </row>
    <row r="2753" spans="2:6" x14ac:dyDescent="0.3">
      <c r="B2753" t="s">
        <v>1940</v>
      </c>
      <c r="D2753">
        <v>147</v>
      </c>
      <c r="E2753">
        <v>4414</v>
      </c>
      <c r="F2753">
        <v>1</v>
      </c>
    </row>
    <row r="2754" spans="2:6" x14ac:dyDescent="0.3">
      <c r="B2754" t="s">
        <v>1941</v>
      </c>
      <c r="D2754">
        <v>147</v>
      </c>
      <c r="E2754">
        <v>4244</v>
      </c>
      <c r="F2754">
        <v>1</v>
      </c>
    </row>
    <row r="2755" spans="2:6" x14ac:dyDescent="0.3">
      <c r="B2755" t="s">
        <v>1942</v>
      </c>
      <c r="D2755">
        <v>145</v>
      </c>
      <c r="E2755">
        <v>3905</v>
      </c>
      <c r="F2755">
        <v>1</v>
      </c>
    </row>
    <row r="2756" spans="2:6" x14ac:dyDescent="0.3">
      <c r="B2756" t="s">
        <v>1943</v>
      </c>
      <c r="D2756">
        <v>145</v>
      </c>
      <c r="E2756">
        <v>3763</v>
      </c>
      <c r="F2756">
        <v>1</v>
      </c>
    </row>
    <row r="2757" spans="2:6" x14ac:dyDescent="0.3">
      <c r="B2757" t="s">
        <v>1944</v>
      </c>
      <c r="D2757">
        <v>143</v>
      </c>
      <c r="E2757">
        <v>3371</v>
      </c>
      <c r="F2757">
        <v>1</v>
      </c>
    </row>
    <row r="2758" spans="2:6" x14ac:dyDescent="0.3">
      <c r="B2758" t="s">
        <v>1945</v>
      </c>
      <c r="D2758">
        <v>150</v>
      </c>
      <c r="E2758">
        <v>4366</v>
      </c>
      <c r="F2758">
        <v>1</v>
      </c>
    </row>
    <row r="2759" spans="2:6" x14ac:dyDescent="0.3">
      <c r="B2759" t="s">
        <v>1946</v>
      </c>
      <c r="D2759">
        <v>142</v>
      </c>
      <c r="E2759">
        <v>3243</v>
      </c>
      <c r="F2759">
        <v>1</v>
      </c>
    </row>
    <row r="2760" spans="2:6" x14ac:dyDescent="0.3">
      <c r="B2760" t="s">
        <v>1947</v>
      </c>
      <c r="D2760">
        <v>136</v>
      </c>
      <c r="E2760">
        <v>2173</v>
      </c>
      <c r="F2760">
        <v>1</v>
      </c>
    </row>
    <row r="2761" spans="2:6" x14ac:dyDescent="0.3">
      <c r="B2761" t="s">
        <v>1948</v>
      </c>
      <c r="D2761">
        <v>144</v>
      </c>
      <c r="E2761">
        <v>3453</v>
      </c>
      <c r="F2761">
        <v>1</v>
      </c>
    </row>
    <row r="2762" spans="2:6" x14ac:dyDescent="0.3">
      <c r="B2762" t="s">
        <v>1949</v>
      </c>
      <c r="D2762">
        <v>143</v>
      </c>
      <c r="E2762">
        <v>3266</v>
      </c>
      <c r="F2762">
        <v>1</v>
      </c>
    </row>
    <row r="2763" spans="2:6" x14ac:dyDescent="0.3">
      <c r="B2763" t="s">
        <v>1950</v>
      </c>
      <c r="D2763">
        <v>143</v>
      </c>
      <c r="E2763">
        <v>3249</v>
      </c>
      <c r="F2763">
        <v>1</v>
      </c>
    </row>
    <row r="2764" spans="2:6" x14ac:dyDescent="0.3">
      <c r="B2764" t="s">
        <v>1951</v>
      </c>
      <c r="D2764">
        <v>140</v>
      </c>
      <c r="E2764">
        <v>2843</v>
      </c>
      <c r="F2764">
        <v>1</v>
      </c>
    </row>
    <row r="2765" spans="2:6" x14ac:dyDescent="0.3">
      <c r="B2765" t="s">
        <v>1952</v>
      </c>
      <c r="D2765">
        <v>140</v>
      </c>
      <c r="E2765">
        <v>2816</v>
      </c>
      <c r="F2765">
        <v>1</v>
      </c>
    </row>
    <row r="2766" spans="2:6" x14ac:dyDescent="0.3">
      <c r="B2766" t="s">
        <v>1953</v>
      </c>
      <c r="D2766">
        <v>140</v>
      </c>
      <c r="E2766">
        <v>2854</v>
      </c>
      <c r="F2766">
        <v>1</v>
      </c>
    </row>
    <row r="2767" spans="2:6" x14ac:dyDescent="0.3">
      <c r="B2767" t="s">
        <v>1954</v>
      </c>
      <c r="D2767">
        <v>140</v>
      </c>
      <c r="E2767">
        <v>2836</v>
      </c>
      <c r="F2767">
        <v>1</v>
      </c>
    </row>
    <row r="2768" spans="2:6" x14ac:dyDescent="0.3">
      <c r="B2768" t="s">
        <v>1955</v>
      </c>
      <c r="D2768">
        <v>140</v>
      </c>
      <c r="E2768">
        <v>2808</v>
      </c>
      <c r="F2768">
        <v>1</v>
      </c>
    </row>
    <row r="2769" spans="2:6" x14ac:dyDescent="0.3">
      <c r="B2769" t="s">
        <v>1956</v>
      </c>
      <c r="D2769">
        <v>140</v>
      </c>
      <c r="E2769">
        <v>2787</v>
      </c>
      <c r="F2769">
        <v>1</v>
      </c>
    </row>
    <row r="2770" spans="2:6" x14ac:dyDescent="0.3">
      <c r="B2770" t="s">
        <v>1957</v>
      </c>
      <c r="D2770">
        <v>139</v>
      </c>
      <c r="E2770">
        <v>2710</v>
      </c>
      <c r="F2770">
        <v>1</v>
      </c>
    </row>
    <row r="2771" spans="2:6" x14ac:dyDescent="0.3">
      <c r="B2771" t="s">
        <v>1958</v>
      </c>
      <c r="D2771">
        <v>140</v>
      </c>
      <c r="E2771">
        <v>2752</v>
      </c>
      <c r="F2771">
        <v>1</v>
      </c>
    </row>
    <row r="2772" spans="2:6" x14ac:dyDescent="0.3">
      <c r="B2772" t="s">
        <v>1959</v>
      </c>
      <c r="D2772">
        <v>140</v>
      </c>
      <c r="E2772">
        <v>2993</v>
      </c>
      <c r="F2772">
        <v>1</v>
      </c>
    </row>
    <row r="2773" spans="2:6" x14ac:dyDescent="0.3">
      <c r="B2773" t="s">
        <v>1960</v>
      </c>
      <c r="D2773">
        <v>139</v>
      </c>
      <c r="E2773">
        <v>2589</v>
      </c>
      <c r="F2773">
        <v>1</v>
      </c>
    </row>
    <row r="2774" spans="2:6" x14ac:dyDescent="0.3">
      <c r="B2774" t="s">
        <v>1961</v>
      </c>
      <c r="D2774">
        <v>138</v>
      </c>
      <c r="E2774">
        <v>2534</v>
      </c>
      <c r="F2774">
        <v>1</v>
      </c>
    </row>
    <row r="2775" spans="2:6" x14ac:dyDescent="0.3">
      <c r="B2775" t="s">
        <v>1962</v>
      </c>
      <c r="D2775">
        <v>139</v>
      </c>
      <c r="E2775">
        <v>2620</v>
      </c>
      <c r="F2775">
        <v>1</v>
      </c>
    </row>
    <row r="2776" spans="2:6" x14ac:dyDescent="0.3">
      <c r="B2776" t="s">
        <v>1963</v>
      </c>
      <c r="D2776">
        <v>139</v>
      </c>
      <c r="E2776">
        <v>2616</v>
      </c>
      <c r="F2776">
        <v>1</v>
      </c>
    </row>
    <row r="2777" spans="2:6" x14ac:dyDescent="0.3">
      <c r="B2777" t="s">
        <v>1964</v>
      </c>
      <c r="D2777">
        <v>139</v>
      </c>
      <c r="E2777">
        <v>2629</v>
      </c>
      <c r="F2777">
        <v>1</v>
      </c>
    </row>
    <row r="2778" spans="2:6" x14ac:dyDescent="0.3">
      <c r="B2778" t="s">
        <v>1965</v>
      </c>
      <c r="D2778">
        <v>139</v>
      </c>
      <c r="E2778">
        <v>2590</v>
      </c>
      <c r="F2778">
        <v>1</v>
      </c>
    </row>
    <row r="2779" spans="2:6" x14ac:dyDescent="0.3">
      <c r="B2779" t="s">
        <v>1966</v>
      </c>
      <c r="D2779">
        <v>147</v>
      </c>
      <c r="E2779">
        <v>3285</v>
      </c>
      <c r="F2779">
        <v>1</v>
      </c>
    </row>
    <row r="2780" spans="2:6" x14ac:dyDescent="0.3">
      <c r="B2780" t="s">
        <v>1967</v>
      </c>
      <c r="D2780">
        <v>143</v>
      </c>
      <c r="E2780">
        <v>2668</v>
      </c>
      <c r="F2780">
        <v>1</v>
      </c>
    </row>
    <row r="2781" spans="2:6" x14ac:dyDescent="0.3">
      <c r="B2781" t="s">
        <v>1968</v>
      </c>
      <c r="D2781">
        <v>140</v>
      </c>
      <c r="E2781">
        <v>2429</v>
      </c>
      <c r="F2781">
        <v>1</v>
      </c>
    </row>
    <row r="2782" spans="2:6" x14ac:dyDescent="0.3">
      <c r="B2782" t="s">
        <v>1969</v>
      </c>
      <c r="D2782">
        <v>142</v>
      </c>
      <c r="E2782">
        <v>3045</v>
      </c>
      <c r="F2782">
        <v>1</v>
      </c>
    </row>
    <row r="2783" spans="2:6" x14ac:dyDescent="0.3">
      <c r="B2783" t="s">
        <v>1970</v>
      </c>
      <c r="D2783">
        <v>140</v>
      </c>
      <c r="E2783">
        <v>2780</v>
      </c>
      <c r="F2783">
        <v>1</v>
      </c>
    </row>
    <row r="2784" spans="2:6" x14ac:dyDescent="0.3">
      <c r="B2784" t="s">
        <v>1971</v>
      </c>
      <c r="D2784">
        <v>145</v>
      </c>
      <c r="E2784">
        <v>3583</v>
      </c>
      <c r="F2784">
        <v>1</v>
      </c>
    </row>
    <row r="2785" spans="2:6" x14ac:dyDescent="0.3">
      <c r="B2785" t="s">
        <v>1972</v>
      </c>
      <c r="D2785">
        <v>145</v>
      </c>
      <c r="E2785">
        <v>3569</v>
      </c>
      <c r="F2785">
        <v>1</v>
      </c>
    </row>
    <row r="2786" spans="2:6" x14ac:dyDescent="0.3">
      <c r="B2786" t="s">
        <v>1973</v>
      </c>
      <c r="D2786">
        <v>145</v>
      </c>
      <c r="E2786">
        <v>3638</v>
      </c>
      <c r="F2786">
        <v>1</v>
      </c>
    </row>
    <row r="2787" spans="2:6" x14ac:dyDescent="0.3">
      <c r="B2787" t="s">
        <v>1974</v>
      </c>
      <c r="D2787">
        <v>181</v>
      </c>
      <c r="E2787">
        <v>4124</v>
      </c>
      <c r="F2787">
        <v>1</v>
      </c>
    </row>
    <row r="2788" spans="2:6" x14ac:dyDescent="0.3">
      <c r="B2788" t="s">
        <v>1975</v>
      </c>
      <c r="D2788">
        <v>196</v>
      </c>
      <c r="E2788">
        <v>30360</v>
      </c>
      <c r="F2788">
        <v>1</v>
      </c>
    </row>
    <row r="2789" spans="2:6" x14ac:dyDescent="0.3">
      <c r="B2789" t="s">
        <v>1976</v>
      </c>
      <c r="D2789">
        <v>194</v>
      </c>
      <c r="E2789">
        <v>37008</v>
      </c>
      <c r="F2789">
        <v>1</v>
      </c>
    </row>
    <row r="2790" spans="2:6" x14ac:dyDescent="0.3">
      <c r="B2790" t="s">
        <v>1977</v>
      </c>
      <c r="D2790">
        <v>188</v>
      </c>
      <c r="E2790">
        <v>31256</v>
      </c>
      <c r="F2790">
        <v>1</v>
      </c>
    </row>
    <row r="2791" spans="2:6" x14ac:dyDescent="0.3">
      <c r="B2791" t="s">
        <v>1978</v>
      </c>
      <c r="D2791">
        <v>184</v>
      </c>
      <c r="E2791">
        <v>25024</v>
      </c>
      <c r="F2791">
        <v>1</v>
      </c>
    </row>
    <row r="2792" spans="2:6" x14ac:dyDescent="0.3">
      <c r="B2792" t="s">
        <v>1979</v>
      </c>
      <c r="D2792">
        <v>181</v>
      </c>
      <c r="E2792">
        <v>20552</v>
      </c>
      <c r="F2792">
        <v>1</v>
      </c>
    </row>
    <row r="2793" spans="2:6" x14ac:dyDescent="0.3">
      <c r="B2793" t="s">
        <v>1980</v>
      </c>
      <c r="D2793">
        <v>176</v>
      </c>
      <c r="E2793">
        <v>17640</v>
      </c>
      <c r="F2793">
        <v>1</v>
      </c>
    </row>
    <row r="2794" spans="2:6" x14ac:dyDescent="0.3">
      <c r="B2794" t="s">
        <v>1981</v>
      </c>
      <c r="D2794">
        <v>173</v>
      </c>
      <c r="E2794">
        <v>15420</v>
      </c>
      <c r="F2794">
        <v>1</v>
      </c>
    </row>
    <row r="2795" spans="2:6" x14ac:dyDescent="0.3">
      <c r="B2795" t="s">
        <v>1982</v>
      </c>
      <c r="D2795">
        <v>171</v>
      </c>
      <c r="E2795">
        <v>13448</v>
      </c>
      <c r="F2795">
        <v>1</v>
      </c>
    </row>
    <row r="2796" spans="2:6" x14ac:dyDescent="0.3">
      <c r="B2796" t="s">
        <v>1983</v>
      </c>
      <c r="D2796">
        <v>168</v>
      </c>
      <c r="E2796">
        <v>12056</v>
      </c>
      <c r="F2796">
        <v>1</v>
      </c>
    </row>
    <row r="2797" spans="2:6" x14ac:dyDescent="0.3">
      <c r="B2797" t="s">
        <v>1984</v>
      </c>
      <c r="D2797">
        <v>167</v>
      </c>
      <c r="E2797">
        <v>11556</v>
      </c>
      <c r="F2797">
        <v>1</v>
      </c>
    </row>
    <row r="2798" spans="2:6" x14ac:dyDescent="0.3">
      <c r="B2798" t="s">
        <v>1985</v>
      </c>
      <c r="D2798">
        <v>166</v>
      </c>
      <c r="E2798">
        <v>10884</v>
      </c>
      <c r="F2798">
        <v>1</v>
      </c>
    </row>
    <row r="2799" spans="2:6" x14ac:dyDescent="0.3">
      <c r="B2799" t="s">
        <v>1986</v>
      </c>
      <c r="D2799">
        <v>166</v>
      </c>
      <c r="E2799">
        <v>10864</v>
      </c>
      <c r="F2799">
        <v>1</v>
      </c>
    </row>
    <row r="2800" spans="2:6" x14ac:dyDescent="0.3">
      <c r="B2800" t="s">
        <v>1987</v>
      </c>
      <c r="D2800">
        <v>167</v>
      </c>
      <c r="E2800">
        <v>10504</v>
      </c>
      <c r="F2800">
        <v>1</v>
      </c>
    </row>
    <row r="2801" spans="2:6" x14ac:dyDescent="0.3">
      <c r="B2801" t="s">
        <v>1988</v>
      </c>
      <c r="D2801">
        <v>164</v>
      </c>
      <c r="E2801">
        <v>8260</v>
      </c>
      <c r="F2801">
        <v>1</v>
      </c>
    </row>
    <row r="2802" spans="2:6" x14ac:dyDescent="0.3">
      <c r="B2802" t="s">
        <v>1989</v>
      </c>
      <c r="D2802">
        <v>165</v>
      </c>
      <c r="E2802">
        <v>8420</v>
      </c>
      <c r="F2802">
        <v>1</v>
      </c>
    </row>
    <row r="2803" spans="2:6" x14ac:dyDescent="0.3">
      <c r="B2803" t="s">
        <v>1990</v>
      </c>
      <c r="D2803">
        <v>165</v>
      </c>
      <c r="E2803">
        <v>8364</v>
      </c>
      <c r="F2803">
        <v>1</v>
      </c>
    </row>
    <row r="2804" spans="2:6" x14ac:dyDescent="0.3">
      <c r="B2804" t="s">
        <v>1991</v>
      </c>
      <c r="D2804">
        <v>167</v>
      </c>
      <c r="E2804">
        <v>8272</v>
      </c>
      <c r="F2804">
        <v>1</v>
      </c>
    </row>
    <row r="2805" spans="2:6" x14ac:dyDescent="0.3">
      <c r="B2805" t="s">
        <v>1992</v>
      </c>
      <c r="D2805">
        <v>167</v>
      </c>
      <c r="E2805">
        <v>7974</v>
      </c>
      <c r="F2805">
        <v>1</v>
      </c>
    </row>
    <row r="2806" spans="2:6" x14ac:dyDescent="0.3">
      <c r="B2806" t="s">
        <v>1993</v>
      </c>
      <c r="D2806">
        <v>169</v>
      </c>
      <c r="E2806">
        <v>8408</v>
      </c>
      <c r="F2806">
        <v>1</v>
      </c>
    </row>
    <row r="2807" spans="2:6" x14ac:dyDescent="0.3">
      <c r="B2807" t="s">
        <v>1994</v>
      </c>
      <c r="D2807">
        <v>171</v>
      </c>
      <c r="E2807">
        <v>8500</v>
      </c>
      <c r="F2807">
        <v>1</v>
      </c>
    </row>
    <row r="2808" spans="2:6" x14ac:dyDescent="0.3">
      <c r="B2808" t="s">
        <v>1995</v>
      </c>
      <c r="D2808">
        <v>172</v>
      </c>
      <c r="E2808">
        <v>8046</v>
      </c>
      <c r="F2808">
        <v>1</v>
      </c>
    </row>
    <row r="2809" spans="2:6" x14ac:dyDescent="0.3">
      <c r="B2809" t="s">
        <v>1996</v>
      </c>
      <c r="D2809">
        <v>172</v>
      </c>
      <c r="E2809">
        <v>7612</v>
      </c>
      <c r="F2809">
        <v>1</v>
      </c>
    </row>
    <row r="2810" spans="2:6" x14ac:dyDescent="0.3">
      <c r="B2810" t="s">
        <v>1997</v>
      </c>
      <c r="D2810">
        <v>169</v>
      </c>
      <c r="E2810">
        <v>7360</v>
      </c>
      <c r="F2810">
        <v>1</v>
      </c>
    </row>
    <row r="2811" spans="2:6" x14ac:dyDescent="0.3">
      <c r="B2811" t="s">
        <v>1998</v>
      </c>
      <c r="D2811">
        <v>168</v>
      </c>
      <c r="E2811">
        <v>7248</v>
      </c>
      <c r="F2811">
        <v>1</v>
      </c>
    </row>
    <row r="2812" spans="2:6" x14ac:dyDescent="0.3">
      <c r="B2812" t="s">
        <v>1999</v>
      </c>
      <c r="D2812">
        <v>167</v>
      </c>
      <c r="E2812">
        <v>6968</v>
      </c>
      <c r="F2812">
        <v>1</v>
      </c>
    </row>
    <row r="2813" spans="2:6" x14ac:dyDescent="0.3">
      <c r="B2813" t="s">
        <v>2000</v>
      </c>
      <c r="D2813">
        <v>166</v>
      </c>
      <c r="E2813">
        <v>7004</v>
      </c>
      <c r="F2813">
        <v>1</v>
      </c>
    </row>
    <row r="2814" spans="2:6" x14ac:dyDescent="0.3">
      <c r="B2814" t="s">
        <v>2001</v>
      </c>
      <c r="D2814">
        <v>166</v>
      </c>
      <c r="E2814">
        <v>7224</v>
      </c>
      <c r="F2814">
        <v>1</v>
      </c>
    </row>
    <row r="2815" spans="2:6" x14ac:dyDescent="0.3">
      <c r="B2815" t="s">
        <v>2002</v>
      </c>
      <c r="D2815">
        <v>163</v>
      </c>
      <c r="E2815">
        <v>7460</v>
      </c>
      <c r="F2815">
        <v>1</v>
      </c>
    </row>
    <row r="2816" spans="2:6" x14ac:dyDescent="0.3">
      <c r="B2816" t="s">
        <v>2003</v>
      </c>
      <c r="D2816">
        <v>159</v>
      </c>
      <c r="E2816">
        <v>7482</v>
      </c>
      <c r="F2816">
        <v>1</v>
      </c>
    </row>
    <row r="2817" spans="2:6" x14ac:dyDescent="0.3">
      <c r="B2817" t="s">
        <v>2004</v>
      </c>
      <c r="D2817">
        <v>157</v>
      </c>
      <c r="E2817">
        <v>7606</v>
      </c>
      <c r="F2817">
        <v>1</v>
      </c>
    </row>
    <row r="2818" spans="2:6" x14ac:dyDescent="0.3">
      <c r="B2818" t="s">
        <v>2005</v>
      </c>
      <c r="D2818">
        <v>156</v>
      </c>
      <c r="E2818">
        <v>7668</v>
      </c>
      <c r="F2818">
        <v>1</v>
      </c>
    </row>
    <row r="2819" spans="2:6" x14ac:dyDescent="0.3">
      <c r="B2819" t="s">
        <v>2006</v>
      </c>
      <c r="D2819">
        <v>156</v>
      </c>
      <c r="E2819">
        <v>7414</v>
      </c>
      <c r="F2819">
        <v>1</v>
      </c>
    </row>
    <row r="2820" spans="2:6" x14ac:dyDescent="0.3">
      <c r="B2820" t="s">
        <v>2007</v>
      </c>
      <c r="D2820">
        <v>156</v>
      </c>
      <c r="E2820">
        <v>7416</v>
      </c>
      <c r="F2820">
        <v>1</v>
      </c>
    </row>
    <row r="2821" spans="2:6" x14ac:dyDescent="0.3">
      <c r="B2821" t="s">
        <v>2008</v>
      </c>
      <c r="D2821">
        <v>157</v>
      </c>
      <c r="E2821">
        <v>8520</v>
      </c>
      <c r="F2821">
        <v>1</v>
      </c>
    </row>
    <row r="2822" spans="2:6" x14ac:dyDescent="0.3">
      <c r="B2822" t="s">
        <v>2009</v>
      </c>
      <c r="D2822">
        <v>159</v>
      </c>
      <c r="E2822">
        <v>8728</v>
      </c>
      <c r="F2822">
        <v>1</v>
      </c>
    </row>
    <row r="2823" spans="2:6" x14ac:dyDescent="0.3">
      <c r="B2823" t="s">
        <v>2010</v>
      </c>
      <c r="D2823">
        <v>159</v>
      </c>
      <c r="E2823">
        <v>9076</v>
      </c>
      <c r="F2823">
        <v>1</v>
      </c>
    </row>
    <row r="2824" spans="2:6" x14ac:dyDescent="0.3">
      <c r="B2824" t="s">
        <v>2011</v>
      </c>
      <c r="D2824">
        <v>160</v>
      </c>
      <c r="E2824">
        <v>9328</v>
      </c>
      <c r="F2824">
        <v>1</v>
      </c>
    </row>
    <row r="2825" spans="2:6" x14ac:dyDescent="0.3">
      <c r="B2825" t="s">
        <v>2012</v>
      </c>
      <c r="D2825">
        <v>160</v>
      </c>
      <c r="E2825">
        <v>9628</v>
      </c>
      <c r="F2825">
        <v>1</v>
      </c>
    </row>
    <row r="2826" spans="2:6" x14ac:dyDescent="0.3">
      <c r="B2826" t="s">
        <v>2013</v>
      </c>
      <c r="D2826">
        <v>161</v>
      </c>
      <c r="E2826">
        <v>10300</v>
      </c>
      <c r="F2826">
        <v>1</v>
      </c>
    </row>
    <row r="2827" spans="2:6" x14ac:dyDescent="0.3">
      <c r="B2827" t="s">
        <v>2014</v>
      </c>
      <c r="D2827">
        <v>162</v>
      </c>
      <c r="E2827">
        <v>10624</v>
      </c>
      <c r="F2827">
        <v>1</v>
      </c>
    </row>
    <row r="2828" spans="2:6" x14ac:dyDescent="0.3">
      <c r="B2828" t="s">
        <v>2015</v>
      </c>
      <c r="D2828">
        <v>162</v>
      </c>
      <c r="E2828">
        <v>10776</v>
      </c>
      <c r="F2828">
        <v>1</v>
      </c>
    </row>
    <row r="2829" spans="2:6" x14ac:dyDescent="0.3">
      <c r="B2829" t="s">
        <v>2016</v>
      </c>
      <c r="D2829">
        <v>163</v>
      </c>
      <c r="E2829">
        <v>11068</v>
      </c>
      <c r="F2829">
        <v>1</v>
      </c>
    </row>
    <row r="2830" spans="2:6" x14ac:dyDescent="0.3">
      <c r="B2830" t="s">
        <v>2017</v>
      </c>
      <c r="D2830">
        <v>163</v>
      </c>
      <c r="E2830">
        <v>11128</v>
      </c>
      <c r="F2830">
        <v>1</v>
      </c>
    </row>
    <row r="2831" spans="2:6" x14ac:dyDescent="0.3">
      <c r="B2831" t="s">
        <v>2018</v>
      </c>
      <c r="D2831">
        <v>163</v>
      </c>
      <c r="E2831">
        <v>11408</v>
      </c>
      <c r="F2831">
        <v>1</v>
      </c>
    </row>
    <row r="2832" spans="2:6" x14ac:dyDescent="0.3">
      <c r="B2832" t="s">
        <v>2019</v>
      </c>
      <c r="D2832">
        <v>163</v>
      </c>
      <c r="E2832">
        <v>11380</v>
      </c>
      <c r="F2832">
        <v>1</v>
      </c>
    </row>
    <row r="2833" spans="2:6" x14ac:dyDescent="0.3">
      <c r="B2833" t="s">
        <v>2020</v>
      </c>
      <c r="D2833">
        <v>163</v>
      </c>
      <c r="E2833">
        <v>11704</v>
      </c>
      <c r="F2833">
        <v>1</v>
      </c>
    </row>
    <row r="2834" spans="2:6" x14ac:dyDescent="0.3">
      <c r="B2834" t="s">
        <v>2021</v>
      </c>
      <c r="D2834">
        <v>164</v>
      </c>
      <c r="E2834">
        <v>11920</v>
      </c>
      <c r="F2834">
        <v>1</v>
      </c>
    </row>
    <row r="2835" spans="2:6" x14ac:dyDescent="0.3">
      <c r="B2835" t="s">
        <v>2022</v>
      </c>
      <c r="D2835">
        <v>164</v>
      </c>
      <c r="E2835">
        <v>12132</v>
      </c>
      <c r="F2835">
        <v>1</v>
      </c>
    </row>
    <row r="2836" spans="2:6" x14ac:dyDescent="0.3">
      <c r="B2836" t="s">
        <v>2023</v>
      </c>
      <c r="D2836">
        <v>164</v>
      </c>
      <c r="E2836">
        <v>12288</v>
      </c>
      <c r="F2836">
        <v>1</v>
      </c>
    </row>
    <row r="2837" spans="2:6" x14ac:dyDescent="0.3">
      <c r="B2837" t="s">
        <v>2024</v>
      </c>
      <c r="D2837">
        <v>165</v>
      </c>
      <c r="E2837">
        <v>12548</v>
      </c>
      <c r="F2837">
        <v>1</v>
      </c>
    </row>
    <row r="2838" spans="2:6" x14ac:dyDescent="0.3">
      <c r="B2838" t="s">
        <v>2025</v>
      </c>
      <c r="D2838">
        <v>165</v>
      </c>
      <c r="E2838">
        <v>12544</v>
      </c>
      <c r="F2838">
        <v>1</v>
      </c>
    </row>
    <row r="2839" spans="2:6" x14ac:dyDescent="0.3">
      <c r="B2839" t="s">
        <v>2026</v>
      </c>
      <c r="D2839">
        <v>165</v>
      </c>
      <c r="E2839">
        <v>12552</v>
      </c>
      <c r="F2839">
        <v>1</v>
      </c>
    </row>
    <row r="2840" spans="2:6" x14ac:dyDescent="0.3">
      <c r="B2840" t="s">
        <v>2027</v>
      </c>
      <c r="D2840">
        <v>165</v>
      </c>
      <c r="E2840">
        <v>12592</v>
      </c>
      <c r="F2840">
        <v>1</v>
      </c>
    </row>
    <row r="2841" spans="2:6" x14ac:dyDescent="0.3">
      <c r="B2841" t="s">
        <v>2028</v>
      </c>
      <c r="D2841">
        <v>165</v>
      </c>
      <c r="E2841">
        <v>12916</v>
      </c>
      <c r="F2841">
        <v>1</v>
      </c>
    </row>
    <row r="2842" spans="2:6" x14ac:dyDescent="0.3">
      <c r="B2842" t="s">
        <v>2029</v>
      </c>
      <c r="D2842">
        <v>164</v>
      </c>
      <c r="E2842">
        <v>12360</v>
      </c>
      <c r="F2842">
        <v>1</v>
      </c>
    </row>
    <row r="2843" spans="2:6" x14ac:dyDescent="0.3">
      <c r="B2843" t="s">
        <v>2030</v>
      </c>
      <c r="D2843">
        <v>164</v>
      </c>
      <c r="E2843">
        <v>12240</v>
      </c>
      <c r="F2843">
        <v>1</v>
      </c>
    </row>
    <row r="2844" spans="2:6" x14ac:dyDescent="0.3">
      <c r="B2844" t="s">
        <v>2022</v>
      </c>
      <c r="D2844">
        <v>164</v>
      </c>
      <c r="E2844">
        <v>12132</v>
      </c>
      <c r="F2844">
        <v>1</v>
      </c>
    </row>
    <row r="2845" spans="2:6" x14ac:dyDescent="0.3">
      <c r="B2845" t="s">
        <v>2031</v>
      </c>
      <c r="D2845">
        <v>164</v>
      </c>
      <c r="E2845">
        <v>11976</v>
      </c>
      <c r="F2845">
        <v>1</v>
      </c>
    </row>
    <row r="2846" spans="2:6" x14ac:dyDescent="0.3">
      <c r="B2846" t="s">
        <v>2032</v>
      </c>
      <c r="D2846">
        <v>163</v>
      </c>
      <c r="E2846">
        <v>11736</v>
      </c>
      <c r="F2846">
        <v>1</v>
      </c>
    </row>
    <row r="2847" spans="2:6" x14ac:dyDescent="0.3">
      <c r="B2847" t="s">
        <v>2033</v>
      </c>
      <c r="D2847">
        <v>163</v>
      </c>
      <c r="E2847">
        <v>11388</v>
      </c>
      <c r="F2847">
        <v>1</v>
      </c>
    </row>
    <row r="2848" spans="2:6" x14ac:dyDescent="0.3">
      <c r="B2848" t="s">
        <v>2034</v>
      </c>
      <c r="D2848">
        <v>162</v>
      </c>
      <c r="E2848">
        <v>11216</v>
      </c>
      <c r="F2848">
        <v>1</v>
      </c>
    </row>
    <row r="2849" spans="2:6" x14ac:dyDescent="0.3">
      <c r="B2849" t="s">
        <v>2035</v>
      </c>
      <c r="D2849">
        <v>162</v>
      </c>
      <c r="E2849">
        <v>10716</v>
      </c>
      <c r="F2849">
        <v>1</v>
      </c>
    </row>
    <row r="2850" spans="2:6" x14ac:dyDescent="0.3">
      <c r="B2850" t="s">
        <v>2036</v>
      </c>
      <c r="D2850">
        <v>160</v>
      </c>
      <c r="E2850">
        <v>10004</v>
      </c>
      <c r="F2850">
        <v>1</v>
      </c>
    </row>
    <row r="2851" spans="2:6" x14ac:dyDescent="0.3">
      <c r="B2851" t="s">
        <v>2037</v>
      </c>
      <c r="D2851">
        <v>159</v>
      </c>
      <c r="E2851">
        <v>9252</v>
      </c>
      <c r="F2851">
        <v>1</v>
      </c>
    </row>
    <row r="2852" spans="2:6" x14ac:dyDescent="0.3">
      <c r="B2852" t="s">
        <v>2038</v>
      </c>
      <c r="D2852">
        <v>158</v>
      </c>
      <c r="E2852">
        <v>8244</v>
      </c>
      <c r="F2852">
        <v>1</v>
      </c>
    </row>
    <row r="2853" spans="2:6" x14ac:dyDescent="0.3">
      <c r="B2853" t="s">
        <v>2039</v>
      </c>
      <c r="D2853">
        <v>155</v>
      </c>
      <c r="E2853">
        <v>7222</v>
      </c>
      <c r="F2853">
        <v>1</v>
      </c>
    </row>
    <row r="2854" spans="2:6" x14ac:dyDescent="0.3">
      <c r="B2854" t="s">
        <v>2040</v>
      </c>
      <c r="D2854">
        <v>152</v>
      </c>
      <c r="E2854">
        <v>6244</v>
      </c>
      <c r="F2854">
        <v>1</v>
      </c>
    </row>
    <row r="2855" spans="2:6" x14ac:dyDescent="0.3">
      <c r="B2855" t="s">
        <v>2041</v>
      </c>
      <c r="D2855">
        <v>152</v>
      </c>
      <c r="E2855">
        <v>6216</v>
      </c>
      <c r="F2855">
        <v>1</v>
      </c>
    </row>
    <row r="2856" spans="2:6" x14ac:dyDescent="0.3">
      <c r="B2856" t="s">
        <v>2042</v>
      </c>
      <c r="D2856">
        <v>157</v>
      </c>
      <c r="E2856">
        <v>8920</v>
      </c>
      <c r="F2856">
        <v>1</v>
      </c>
    </row>
    <row r="2857" spans="2:6" x14ac:dyDescent="0.3">
      <c r="B2857" t="s">
        <v>2043</v>
      </c>
      <c r="D2857">
        <v>156</v>
      </c>
      <c r="E2857">
        <v>7860</v>
      </c>
      <c r="F2857">
        <v>1</v>
      </c>
    </row>
    <row r="2858" spans="2:6" x14ac:dyDescent="0.3">
      <c r="B2858" t="s">
        <v>2044</v>
      </c>
      <c r="D2858">
        <v>151</v>
      </c>
      <c r="E2858">
        <v>6262</v>
      </c>
      <c r="F2858">
        <v>1</v>
      </c>
    </row>
    <row r="2859" spans="2:6" x14ac:dyDescent="0.3">
      <c r="B2859" t="s">
        <v>2045</v>
      </c>
      <c r="D2859">
        <v>147</v>
      </c>
      <c r="E2859">
        <v>4770</v>
      </c>
      <c r="F2859">
        <v>1</v>
      </c>
    </row>
    <row r="2860" spans="2:6" x14ac:dyDescent="0.3">
      <c r="B2860" t="s">
        <v>2046</v>
      </c>
      <c r="D2860">
        <v>123</v>
      </c>
      <c r="E2860">
        <v>1170</v>
      </c>
      <c r="F2860">
        <v>1</v>
      </c>
    </row>
    <row r="2861" spans="2:6" x14ac:dyDescent="0.3">
      <c r="B2861" t="s">
        <v>2047</v>
      </c>
      <c r="D2861">
        <v>112</v>
      </c>
      <c r="E2861">
        <v>601</v>
      </c>
      <c r="F2861">
        <v>1</v>
      </c>
    </row>
    <row r="2862" spans="2:6" x14ac:dyDescent="0.3">
      <c r="B2862" t="s">
        <v>2048</v>
      </c>
      <c r="D2862">
        <v>110</v>
      </c>
      <c r="E2862">
        <v>498</v>
      </c>
      <c r="F2862">
        <v>1</v>
      </c>
    </row>
    <row r="2863" spans="2:6" x14ac:dyDescent="0.3">
      <c r="B2863" t="s">
        <v>2049</v>
      </c>
      <c r="D2863">
        <v>105</v>
      </c>
      <c r="E2863">
        <v>396</v>
      </c>
      <c r="F2863">
        <v>1</v>
      </c>
    </row>
    <row r="2864" spans="2:6" x14ac:dyDescent="0.3">
      <c r="B2864" t="s">
        <v>2050</v>
      </c>
      <c r="D2864">
        <v>100</v>
      </c>
      <c r="E2864">
        <v>303</v>
      </c>
      <c r="F2864">
        <v>1</v>
      </c>
    </row>
    <row r="2865" spans="2:6" x14ac:dyDescent="0.3">
      <c r="B2865" t="s">
        <v>2051</v>
      </c>
      <c r="D2865">
        <v>97</v>
      </c>
      <c r="E2865">
        <v>248</v>
      </c>
      <c r="F2865">
        <v>1</v>
      </c>
    </row>
    <row r="2866" spans="2:6" x14ac:dyDescent="0.3">
      <c r="B2866" t="s">
        <v>2052</v>
      </c>
      <c r="D2866">
        <v>91</v>
      </c>
      <c r="E2866">
        <v>195</v>
      </c>
      <c r="F2866">
        <v>1</v>
      </c>
    </row>
    <row r="2867" spans="2:6" x14ac:dyDescent="0.3">
      <c r="B2867" t="s">
        <v>2053</v>
      </c>
      <c r="D2867">
        <v>84</v>
      </c>
      <c r="E2867">
        <v>129</v>
      </c>
      <c r="F2867">
        <v>1</v>
      </c>
    </row>
    <row r="2868" spans="2:6" x14ac:dyDescent="0.3">
      <c r="B2868" t="s">
        <v>2054</v>
      </c>
      <c r="D2868">
        <v>75</v>
      </c>
      <c r="E2868">
        <v>80</v>
      </c>
      <c r="F2868">
        <v>1</v>
      </c>
    </row>
    <row r="2869" spans="2:6" x14ac:dyDescent="0.3">
      <c r="B2869" t="s">
        <v>2055</v>
      </c>
      <c r="D2869">
        <v>48</v>
      </c>
      <c r="E2869">
        <v>44</v>
      </c>
      <c r="F2869">
        <v>1</v>
      </c>
    </row>
    <row r="2870" spans="2:6" x14ac:dyDescent="0.3">
      <c r="B2870" t="s">
        <v>2056</v>
      </c>
      <c r="D2870">
        <v>29</v>
      </c>
      <c r="E2870">
        <v>28</v>
      </c>
      <c r="F2870">
        <v>1</v>
      </c>
    </row>
    <row r="2871" spans="2:6" x14ac:dyDescent="0.3">
      <c r="B2871" t="s">
        <v>682</v>
      </c>
      <c r="D2871">
        <v>14</v>
      </c>
      <c r="E2871">
        <v>11</v>
      </c>
      <c r="F2871">
        <v>1</v>
      </c>
    </row>
    <row r="2872" spans="2:6" x14ac:dyDescent="0.3">
      <c r="B2872" t="s">
        <v>482</v>
      </c>
      <c r="D2872">
        <v>6</v>
      </c>
      <c r="E2872">
        <v>5</v>
      </c>
      <c r="F2872">
        <v>1</v>
      </c>
    </row>
    <row r="2873" spans="2:6" x14ac:dyDescent="0.3">
      <c r="B2873" t="s">
        <v>483</v>
      </c>
      <c r="D2873">
        <v>3</v>
      </c>
      <c r="E2873">
        <v>2</v>
      </c>
      <c r="F2873">
        <v>1</v>
      </c>
    </row>
    <row r="2874" spans="2:6" x14ac:dyDescent="0.3">
      <c r="B2874" t="s">
        <v>18</v>
      </c>
      <c r="D2874">
        <v>1</v>
      </c>
      <c r="E2874">
        <v>0</v>
      </c>
      <c r="F2874">
        <v>1</v>
      </c>
    </row>
    <row r="2875" spans="2:6" x14ac:dyDescent="0.3">
      <c r="B2875" t="s">
        <v>18</v>
      </c>
      <c r="D2875">
        <v>1</v>
      </c>
      <c r="E2875">
        <v>0</v>
      </c>
      <c r="F2875">
        <v>1</v>
      </c>
    </row>
    <row r="2876" spans="2:6" x14ac:dyDescent="0.3">
      <c r="B2876" t="s">
        <v>11</v>
      </c>
      <c r="D2876">
        <v>0</v>
      </c>
      <c r="E2876">
        <v>0</v>
      </c>
      <c r="F2876">
        <v>1</v>
      </c>
    </row>
    <row r="2877" spans="2:6" x14ac:dyDescent="0.3">
      <c r="B2877" t="s">
        <v>11</v>
      </c>
      <c r="D2877">
        <v>0</v>
      </c>
      <c r="E2877">
        <v>0</v>
      </c>
      <c r="F2877">
        <v>1</v>
      </c>
    </row>
    <row r="2878" spans="2:6" x14ac:dyDescent="0.3">
      <c r="B2878" t="s">
        <v>11</v>
      </c>
      <c r="D2878">
        <v>0</v>
      </c>
      <c r="E2878">
        <v>0</v>
      </c>
      <c r="F2878">
        <v>1</v>
      </c>
    </row>
    <row r="2879" spans="2:6" x14ac:dyDescent="0.3">
      <c r="B2879" t="s">
        <v>11</v>
      </c>
      <c r="D2879">
        <v>0</v>
      </c>
      <c r="E2879">
        <v>0</v>
      </c>
      <c r="F2879">
        <v>1</v>
      </c>
    </row>
    <row r="2880" spans="2:6" x14ac:dyDescent="0.3">
      <c r="B2880" t="s">
        <v>11</v>
      </c>
      <c r="D2880">
        <v>0</v>
      </c>
      <c r="E2880">
        <v>0</v>
      </c>
      <c r="F2880">
        <v>1</v>
      </c>
    </row>
    <row r="2881" spans="2:6" x14ac:dyDescent="0.3">
      <c r="B2881" t="s">
        <v>2057</v>
      </c>
      <c r="D2881">
        <v>92</v>
      </c>
      <c r="E2881">
        <v>0</v>
      </c>
      <c r="F2881">
        <v>1</v>
      </c>
    </row>
    <row r="2882" spans="2:6" x14ac:dyDescent="0.3">
      <c r="B2882" t="s">
        <v>2058</v>
      </c>
      <c r="D2882">
        <v>112</v>
      </c>
      <c r="E2882">
        <v>396</v>
      </c>
      <c r="F2882">
        <v>1</v>
      </c>
    </row>
    <row r="2883" spans="2:6" x14ac:dyDescent="0.3">
      <c r="B2883" t="s">
        <v>11</v>
      </c>
      <c r="D2883">
        <v>0</v>
      </c>
      <c r="E2883">
        <v>0</v>
      </c>
      <c r="F2883">
        <v>1</v>
      </c>
    </row>
    <row r="2884" spans="2:6" x14ac:dyDescent="0.3">
      <c r="B2884" t="s">
        <v>11</v>
      </c>
      <c r="D2884">
        <v>0</v>
      </c>
      <c r="E2884">
        <v>0</v>
      </c>
      <c r="F2884">
        <v>1</v>
      </c>
    </row>
    <row r="2885" spans="2:6" x14ac:dyDescent="0.3">
      <c r="B2885" t="s">
        <v>11</v>
      </c>
      <c r="D2885">
        <v>0</v>
      </c>
      <c r="E2885">
        <v>0</v>
      </c>
      <c r="F2885">
        <v>1</v>
      </c>
    </row>
    <row r="2886" spans="2:6" x14ac:dyDescent="0.3">
      <c r="B2886" t="s">
        <v>11</v>
      </c>
      <c r="D2886">
        <v>0</v>
      </c>
      <c r="E2886">
        <v>0</v>
      </c>
      <c r="F2886">
        <v>1</v>
      </c>
    </row>
    <row r="2887" spans="2:6" x14ac:dyDescent="0.3">
      <c r="B2887" t="s">
        <v>11</v>
      </c>
      <c r="D2887">
        <v>0</v>
      </c>
      <c r="E2887">
        <v>0</v>
      </c>
      <c r="F2887">
        <v>1</v>
      </c>
    </row>
    <row r="2888" spans="2:6" x14ac:dyDescent="0.3">
      <c r="B2888" t="s">
        <v>11</v>
      </c>
      <c r="D2888">
        <v>0</v>
      </c>
      <c r="E2888">
        <v>0</v>
      </c>
      <c r="F2888">
        <v>1</v>
      </c>
    </row>
    <row r="2889" spans="2:6" x14ac:dyDescent="0.3">
      <c r="B2889" t="s">
        <v>11</v>
      </c>
      <c r="D2889">
        <v>0</v>
      </c>
      <c r="E2889">
        <v>0</v>
      </c>
      <c r="F2889">
        <v>1</v>
      </c>
    </row>
    <row r="2890" spans="2:6" x14ac:dyDescent="0.3">
      <c r="B2890" t="s">
        <v>11</v>
      </c>
      <c r="D2890">
        <v>0</v>
      </c>
      <c r="E2890">
        <v>0</v>
      </c>
      <c r="F2890">
        <v>1</v>
      </c>
    </row>
    <row r="2891" spans="2:6" x14ac:dyDescent="0.3">
      <c r="B2891" t="s">
        <v>11</v>
      </c>
      <c r="D2891">
        <v>0</v>
      </c>
      <c r="E2891">
        <v>0</v>
      </c>
      <c r="F2891">
        <v>1</v>
      </c>
    </row>
    <row r="2892" spans="2:6" x14ac:dyDescent="0.3">
      <c r="B2892" t="s">
        <v>11</v>
      </c>
      <c r="D2892">
        <v>0</v>
      </c>
      <c r="E2892">
        <v>0</v>
      </c>
      <c r="F2892">
        <v>1</v>
      </c>
    </row>
    <row r="2893" spans="2:6" x14ac:dyDescent="0.3">
      <c r="B2893" t="s">
        <v>11</v>
      </c>
      <c r="D2893">
        <v>0</v>
      </c>
      <c r="E2893">
        <v>0</v>
      </c>
      <c r="F2893">
        <v>1</v>
      </c>
    </row>
    <row r="2894" spans="2:6" x14ac:dyDescent="0.3">
      <c r="B2894" t="s">
        <v>11</v>
      </c>
      <c r="D2894">
        <v>0</v>
      </c>
      <c r="E2894">
        <v>0</v>
      </c>
      <c r="F2894">
        <v>1</v>
      </c>
    </row>
    <row r="2895" spans="2:6" x14ac:dyDescent="0.3">
      <c r="B2895" t="s">
        <v>11</v>
      </c>
      <c r="D2895">
        <v>0</v>
      </c>
      <c r="E2895">
        <v>0</v>
      </c>
      <c r="F2895">
        <v>1</v>
      </c>
    </row>
    <row r="2896" spans="2:6" x14ac:dyDescent="0.3">
      <c r="B2896" t="s">
        <v>11</v>
      </c>
      <c r="D2896">
        <v>0</v>
      </c>
      <c r="E2896">
        <v>0</v>
      </c>
      <c r="F2896">
        <v>1</v>
      </c>
    </row>
    <row r="2897" spans="2:6" x14ac:dyDescent="0.3">
      <c r="B2897" t="s">
        <v>11</v>
      </c>
      <c r="D2897">
        <v>0</v>
      </c>
      <c r="E2897">
        <v>0</v>
      </c>
      <c r="F2897">
        <v>1</v>
      </c>
    </row>
    <row r="2898" spans="2:6" x14ac:dyDescent="0.3">
      <c r="B2898" t="s">
        <v>11</v>
      </c>
      <c r="D2898">
        <v>0</v>
      </c>
      <c r="E2898">
        <v>0</v>
      </c>
      <c r="F2898">
        <v>1</v>
      </c>
    </row>
    <row r="2899" spans="2:6" x14ac:dyDescent="0.3">
      <c r="B2899" t="s">
        <v>11</v>
      </c>
      <c r="D2899">
        <v>0</v>
      </c>
      <c r="E2899">
        <v>0</v>
      </c>
      <c r="F2899">
        <v>1</v>
      </c>
    </row>
    <row r="2900" spans="2:6" x14ac:dyDescent="0.3">
      <c r="B2900" t="s">
        <v>11</v>
      </c>
      <c r="D2900">
        <v>0</v>
      </c>
      <c r="E2900">
        <v>0</v>
      </c>
      <c r="F2900">
        <v>1</v>
      </c>
    </row>
    <row r="2901" spans="2:6" x14ac:dyDescent="0.3">
      <c r="B2901" t="s">
        <v>18</v>
      </c>
      <c r="D2901">
        <v>1</v>
      </c>
      <c r="E2901">
        <v>0</v>
      </c>
      <c r="F2901">
        <v>1</v>
      </c>
    </row>
    <row r="2902" spans="2:6" x14ac:dyDescent="0.3">
      <c r="B2902" t="s">
        <v>11</v>
      </c>
      <c r="D2902">
        <v>0</v>
      </c>
      <c r="E2902">
        <v>0</v>
      </c>
      <c r="F2902">
        <v>1</v>
      </c>
    </row>
    <row r="2903" spans="2:6" x14ac:dyDescent="0.3">
      <c r="B2903" t="s">
        <v>11</v>
      </c>
      <c r="D2903">
        <v>0</v>
      </c>
      <c r="E2903">
        <v>0</v>
      </c>
      <c r="F2903">
        <v>1</v>
      </c>
    </row>
    <row r="2904" spans="2:6" x14ac:dyDescent="0.3">
      <c r="B2904" t="s">
        <v>11</v>
      </c>
      <c r="D2904">
        <v>0</v>
      </c>
      <c r="E2904">
        <v>0</v>
      </c>
      <c r="F2904">
        <v>1</v>
      </c>
    </row>
    <row r="2905" spans="2:6" x14ac:dyDescent="0.3">
      <c r="B2905" t="s">
        <v>11</v>
      </c>
      <c r="D2905">
        <v>0</v>
      </c>
      <c r="E2905">
        <v>0</v>
      </c>
      <c r="F2905">
        <v>1</v>
      </c>
    </row>
    <row r="2906" spans="2:6" x14ac:dyDescent="0.3">
      <c r="B2906" t="s">
        <v>11</v>
      </c>
      <c r="D2906">
        <v>0</v>
      </c>
      <c r="E2906">
        <v>0</v>
      </c>
      <c r="F2906">
        <v>1</v>
      </c>
    </row>
    <row r="2907" spans="2:6" x14ac:dyDescent="0.3">
      <c r="B2907" t="s">
        <v>11</v>
      </c>
      <c r="D2907">
        <v>0</v>
      </c>
      <c r="E2907">
        <v>0</v>
      </c>
      <c r="F2907">
        <v>1</v>
      </c>
    </row>
    <row r="2908" spans="2:6" x14ac:dyDescent="0.3">
      <c r="B2908" t="s">
        <v>11</v>
      </c>
      <c r="D2908">
        <v>0</v>
      </c>
      <c r="E2908">
        <v>0</v>
      </c>
      <c r="F2908">
        <v>1</v>
      </c>
    </row>
    <row r="2909" spans="2:6" x14ac:dyDescent="0.3">
      <c r="B2909" t="s">
        <v>11</v>
      </c>
      <c r="D2909">
        <v>0</v>
      </c>
      <c r="E2909">
        <v>0</v>
      </c>
      <c r="F2909">
        <v>1</v>
      </c>
    </row>
    <row r="2910" spans="2:6" x14ac:dyDescent="0.3">
      <c r="B2910" t="s">
        <v>11</v>
      </c>
      <c r="D2910">
        <v>0</v>
      </c>
      <c r="E2910">
        <v>0</v>
      </c>
      <c r="F2910">
        <v>1</v>
      </c>
    </row>
    <row r="2911" spans="2:6" x14ac:dyDescent="0.3">
      <c r="B2911" t="s">
        <v>11</v>
      </c>
      <c r="D2911">
        <v>0</v>
      </c>
      <c r="E2911">
        <v>0</v>
      </c>
      <c r="F2911">
        <v>1</v>
      </c>
    </row>
    <row r="2912" spans="2:6" x14ac:dyDescent="0.3">
      <c r="B2912" t="s">
        <v>11</v>
      </c>
      <c r="D2912">
        <v>0</v>
      </c>
      <c r="E2912">
        <v>0</v>
      </c>
      <c r="F2912">
        <v>1</v>
      </c>
    </row>
    <row r="2913" spans="2:6" x14ac:dyDescent="0.3">
      <c r="B2913" t="s">
        <v>11</v>
      </c>
      <c r="D2913">
        <v>0</v>
      </c>
      <c r="E2913">
        <v>0</v>
      </c>
      <c r="F2913">
        <v>1</v>
      </c>
    </row>
    <row r="2914" spans="2:6" x14ac:dyDescent="0.3">
      <c r="B2914" t="s">
        <v>11</v>
      </c>
      <c r="D2914">
        <v>0</v>
      </c>
      <c r="E2914">
        <v>0</v>
      </c>
      <c r="F2914">
        <v>1</v>
      </c>
    </row>
    <row r="2915" spans="2:6" x14ac:dyDescent="0.3">
      <c r="B2915" t="s">
        <v>11</v>
      </c>
      <c r="D2915">
        <v>0</v>
      </c>
      <c r="E2915">
        <v>0</v>
      </c>
      <c r="F2915">
        <v>1</v>
      </c>
    </row>
    <row r="2916" spans="2:6" x14ac:dyDescent="0.3">
      <c r="B2916" t="s">
        <v>11</v>
      </c>
      <c r="D2916">
        <v>0</v>
      </c>
      <c r="E2916">
        <v>0</v>
      </c>
      <c r="F2916">
        <v>1</v>
      </c>
    </row>
    <row r="2917" spans="2:6" x14ac:dyDescent="0.3">
      <c r="B2917" t="s">
        <v>11</v>
      </c>
      <c r="D2917">
        <v>0</v>
      </c>
      <c r="E2917">
        <v>0</v>
      </c>
      <c r="F2917">
        <v>1</v>
      </c>
    </row>
    <row r="2918" spans="2:6" x14ac:dyDescent="0.3">
      <c r="B2918" t="s">
        <v>11</v>
      </c>
      <c r="D2918">
        <v>0</v>
      </c>
      <c r="E2918">
        <v>0</v>
      </c>
      <c r="F2918">
        <v>1</v>
      </c>
    </row>
    <row r="2919" spans="2:6" x14ac:dyDescent="0.3">
      <c r="B2919" t="s">
        <v>11</v>
      </c>
      <c r="D2919">
        <v>0</v>
      </c>
      <c r="E2919">
        <v>0</v>
      </c>
      <c r="F2919">
        <v>1</v>
      </c>
    </row>
    <row r="2920" spans="2:6" x14ac:dyDescent="0.3">
      <c r="B2920" t="s">
        <v>11</v>
      </c>
      <c r="D2920">
        <v>0</v>
      </c>
      <c r="E2920">
        <v>0</v>
      </c>
      <c r="F2920">
        <v>1</v>
      </c>
    </row>
    <row r="2921" spans="2:6" x14ac:dyDescent="0.3">
      <c r="B2921" t="s">
        <v>11</v>
      </c>
      <c r="D2921">
        <v>0</v>
      </c>
      <c r="E2921">
        <v>0</v>
      </c>
      <c r="F2921">
        <v>1</v>
      </c>
    </row>
    <row r="2922" spans="2:6" x14ac:dyDescent="0.3">
      <c r="B2922" t="s">
        <v>11</v>
      </c>
      <c r="D2922">
        <v>0</v>
      </c>
      <c r="E2922">
        <v>0</v>
      </c>
      <c r="F2922">
        <v>1</v>
      </c>
    </row>
    <row r="2923" spans="2:6" x14ac:dyDescent="0.3">
      <c r="B2923" t="s">
        <v>11</v>
      </c>
      <c r="D2923">
        <v>0</v>
      </c>
      <c r="E2923">
        <v>0</v>
      </c>
      <c r="F2923">
        <v>1</v>
      </c>
    </row>
    <row r="2924" spans="2:6" x14ac:dyDescent="0.3">
      <c r="B2924" t="s">
        <v>11</v>
      </c>
      <c r="D2924">
        <v>0</v>
      </c>
      <c r="E2924">
        <v>0</v>
      </c>
      <c r="F2924">
        <v>1</v>
      </c>
    </row>
    <row r="2925" spans="2:6" x14ac:dyDescent="0.3">
      <c r="B2925" t="s">
        <v>11</v>
      </c>
      <c r="D2925">
        <v>0</v>
      </c>
      <c r="E2925">
        <v>0</v>
      </c>
      <c r="F2925">
        <v>1</v>
      </c>
    </row>
    <row r="2926" spans="2:6" x14ac:dyDescent="0.3">
      <c r="B2926" t="s">
        <v>11</v>
      </c>
      <c r="D2926">
        <v>0</v>
      </c>
      <c r="E2926">
        <v>0</v>
      </c>
      <c r="F2926">
        <v>1</v>
      </c>
    </row>
    <row r="2927" spans="2:6" x14ac:dyDescent="0.3">
      <c r="B2927" t="s">
        <v>11</v>
      </c>
      <c r="D2927">
        <v>0</v>
      </c>
      <c r="E2927">
        <v>0</v>
      </c>
      <c r="F2927">
        <v>1</v>
      </c>
    </row>
    <row r="2928" spans="2:6" x14ac:dyDescent="0.3">
      <c r="B2928" t="s">
        <v>11</v>
      </c>
      <c r="D2928">
        <v>0</v>
      </c>
      <c r="E2928">
        <v>0</v>
      </c>
      <c r="F2928">
        <v>1</v>
      </c>
    </row>
    <row r="2929" spans="2:6" x14ac:dyDescent="0.3">
      <c r="B2929" t="s">
        <v>11</v>
      </c>
      <c r="D2929">
        <v>0</v>
      </c>
      <c r="E2929">
        <v>0</v>
      </c>
      <c r="F2929">
        <v>1</v>
      </c>
    </row>
    <row r="2930" spans="2:6" x14ac:dyDescent="0.3">
      <c r="B2930" t="s">
        <v>11</v>
      </c>
      <c r="D2930">
        <v>0</v>
      </c>
      <c r="E2930">
        <v>0</v>
      </c>
      <c r="F2930">
        <v>1</v>
      </c>
    </row>
    <row r="2931" spans="2:6" x14ac:dyDescent="0.3">
      <c r="B2931" t="s">
        <v>11</v>
      </c>
      <c r="D2931">
        <v>0</v>
      </c>
      <c r="E2931">
        <v>0</v>
      </c>
      <c r="F2931">
        <v>1</v>
      </c>
    </row>
    <row r="2932" spans="2:6" x14ac:dyDescent="0.3">
      <c r="B2932" t="s">
        <v>11</v>
      </c>
      <c r="D2932">
        <v>0</v>
      </c>
      <c r="E2932">
        <v>0</v>
      </c>
      <c r="F2932">
        <v>1</v>
      </c>
    </row>
    <row r="2933" spans="2:6" x14ac:dyDescent="0.3">
      <c r="B2933" t="s">
        <v>11</v>
      </c>
      <c r="D2933">
        <v>0</v>
      </c>
      <c r="E2933">
        <v>0</v>
      </c>
      <c r="F2933">
        <v>1</v>
      </c>
    </row>
    <row r="2934" spans="2:6" x14ac:dyDescent="0.3">
      <c r="B2934" t="s">
        <v>11</v>
      </c>
      <c r="D2934">
        <v>0</v>
      </c>
      <c r="E2934">
        <v>0</v>
      </c>
      <c r="F2934">
        <v>1</v>
      </c>
    </row>
    <row r="2935" spans="2:6" x14ac:dyDescent="0.3">
      <c r="B2935" t="s">
        <v>11</v>
      </c>
      <c r="D2935">
        <v>0</v>
      </c>
      <c r="E2935">
        <v>0</v>
      </c>
      <c r="F2935">
        <v>1</v>
      </c>
    </row>
    <row r="2936" spans="2:6" x14ac:dyDescent="0.3">
      <c r="B2936" t="s">
        <v>11</v>
      </c>
      <c r="D2936">
        <v>0</v>
      </c>
      <c r="E2936">
        <v>0</v>
      </c>
      <c r="F2936">
        <v>1</v>
      </c>
    </row>
    <row r="2937" spans="2:6" x14ac:dyDescent="0.3">
      <c r="B2937" t="s">
        <v>11</v>
      </c>
      <c r="D2937">
        <v>0</v>
      </c>
      <c r="E2937">
        <v>0</v>
      </c>
      <c r="F2937">
        <v>1</v>
      </c>
    </row>
    <row r="2938" spans="2:6" x14ac:dyDescent="0.3">
      <c r="B2938" t="s">
        <v>11</v>
      </c>
      <c r="D2938">
        <v>0</v>
      </c>
      <c r="E2938">
        <v>0</v>
      </c>
      <c r="F2938">
        <v>1</v>
      </c>
    </row>
    <row r="2939" spans="2:6" x14ac:dyDescent="0.3">
      <c r="B2939" t="s">
        <v>11</v>
      </c>
      <c r="D2939">
        <v>0</v>
      </c>
      <c r="E2939">
        <v>0</v>
      </c>
      <c r="F2939">
        <v>1</v>
      </c>
    </row>
    <row r="2940" spans="2:6" x14ac:dyDescent="0.3">
      <c r="B2940" t="s">
        <v>11</v>
      </c>
      <c r="D2940">
        <v>0</v>
      </c>
      <c r="E2940">
        <v>0</v>
      </c>
      <c r="F2940">
        <v>1</v>
      </c>
    </row>
    <row r="2941" spans="2:6" x14ac:dyDescent="0.3">
      <c r="B2941" t="s">
        <v>11</v>
      </c>
      <c r="D2941">
        <v>0</v>
      </c>
      <c r="E2941">
        <v>0</v>
      </c>
      <c r="F2941">
        <v>1</v>
      </c>
    </row>
    <row r="2942" spans="2:6" x14ac:dyDescent="0.3">
      <c r="B2942" t="s">
        <v>11</v>
      </c>
      <c r="D2942">
        <v>0</v>
      </c>
      <c r="E2942">
        <v>0</v>
      </c>
      <c r="F2942">
        <v>1</v>
      </c>
    </row>
    <row r="2943" spans="2:6" x14ac:dyDescent="0.3">
      <c r="B2943" t="s">
        <v>11</v>
      </c>
      <c r="D2943">
        <v>0</v>
      </c>
      <c r="E2943">
        <v>0</v>
      </c>
      <c r="F2943">
        <v>1</v>
      </c>
    </row>
    <row r="2944" spans="2:6" x14ac:dyDescent="0.3">
      <c r="B2944" t="s">
        <v>11</v>
      </c>
      <c r="D2944">
        <v>0</v>
      </c>
      <c r="E2944">
        <v>0</v>
      </c>
      <c r="F2944">
        <v>1</v>
      </c>
    </row>
    <row r="2945" spans="2:6" x14ac:dyDescent="0.3">
      <c r="B2945" t="s">
        <v>11</v>
      </c>
      <c r="D2945">
        <v>0</v>
      </c>
      <c r="E2945">
        <v>0</v>
      </c>
      <c r="F2945">
        <v>1</v>
      </c>
    </row>
    <row r="2946" spans="2:6" x14ac:dyDescent="0.3">
      <c r="B2946" t="s">
        <v>11</v>
      </c>
      <c r="D2946">
        <v>0</v>
      </c>
      <c r="E2946">
        <v>0</v>
      </c>
      <c r="F2946">
        <v>1</v>
      </c>
    </row>
    <row r="2947" spans="2:6" x14ac:dyDescent="0.3">
      <c r="B2947" t="s">
        <v>11</v>
      </c>
      <c r="D2947">
        <v>0</v>
      </c>
      <c r="E2947">
        <v>0</v>
      </c>
      <c r="F2947">
        <v>1</v>
      </c>
    </row>
    <row r="2948" spans="2:6" x14ac:dyDescent="0.3">
      <c r="B2948" t="s">
        <v>11</v>
      </c>
      <c r="D2948">
        <v>0</v>
      </c>
      <c r="E2948">
        <v>0</v>
      </c>
      <c r="F2948">
        <v>1</v>
      </c>
    </row>
    <row r="2949" spans="2:6" x14ac:dyDescent="0.3">
      <c r="B2949" t="s">
        <v>11</v>
      </c>
      <c r="D2949">
        <v>0</v>
      </c>
      <c r="E2949">
        <v>0</v>
      </c>
      <c r="F2949">
        <v>1</v>
      </c>
    </row>
    <row r="2950" spans="2:6" x14ac:dyDescent="0.3">
      <c r="B2950" t="s">
        <v>11</v>
      </c>
      <c r="D2950">
        <v>0</v>
      </c>
      <c r="E2950">
        <v>0</v>
      </c>
      <c r="F2950">
        <v>1</v>
      </c>
    </row>
    <row r="2951" spans="2:6" x14ac:dyDescent="0.3">
      <c r="B2951" t="s">
        <v>11</v>
      </c>
      <c r="D2951">
        <v>0</v>
      </c>
      <c r="E2951">
        <v>0</v>
      </c>
      <c r="F2951">
        <v>1</v>
      </c>
    </row>
    <row r="2952" spans="2:6" x14ac:dyDescent="0.3">
      <c r="B2952" t="s">
        <v>11</v>
      </c>
      <c r="D2952">
        <v>0</v>
      </c>
      <c r="E2952">
        <v>0</v>
      </c>
      <c r="F2952">
        <v>1</v>
      </c>
    </row>
    <row r="2953" spans="2:6" x14ac:dyDescent="0.3">
      <c r="B2953" t="s">
        <v>11</v>
      </c>
      <c r="D2953">
        <v>0</v>
      </c>
      <c r="E2953">
        <v>0</v>
      </c>
      <c r="F2953">
        <v>1</v>
      </c>
    </row>
    <row r="2954" spans="2:6" x14ac:dyDescent="0.3">
      <c r="B2954" t="s">
        <v>11</v>
      </c>
      <c r="D2954">
        <v>0</v>
      </c>
      <c r="E2954">
        <v>0</v>
      </c>
      <c r="F2954">
        <v>1</v>
      </c>
    </row>
    <row r="2955" spans="2:6" x14ac:dyDescent="0.3">
      <c r="B2955" t="s">
        <v>11</v>
      </c>
      <c r="D2955">
        <v>0</v>
      </c>
      <c r="E2955">
        <v>0</v>
      </c>
      <c r="F2955">
        <v>1</v>
      </c>
    </row>
    <row r="2956" spans="2:6" x14ac:dyDescent="0.3">
      <c r="B2956" t="s">
        <v>2059</v>
      </c>
      <c r="D2956">
        <v>4</v>
      </c>
      <c r="E2956">
        <v>2</v>
      </c>
      <c r="F2956">
        <v>1</v>
      </c>
    </row>
    <row r="2957" spans="2:6" x14ac:dyDescent="0.3">
      <c r="B2957" t="s">
        <v>2060</v>
      </c>
      <c r="D2957">
        <v>4</v>
      </c>
      <c r="E2957">
        <v>5</v>
      </c>
      <c r="F2957">
        <v>1</v>
      </c>
    </row>
    <row r="2958" spans="2:6" x14ac:dyDescent="0.3">
      <c r="B2958" t="s">
        <v>2061</v>
      </c>
      <c r="D2958">
        <v>10</v>
      </c>
      <c r="E2958">
        <v>13</v>
      </c>
      <c r="F2958">
        <v>1</v>
      </c>
    </row>
    <row r="2959" spans="2:6" x14ac:dyDescent="0.3">
      <c r="B2959" t="s">
        <v>2062</v>
      </c>
      <c r="D2959">
        <v>19</v>
      </c>
      <c r="E2959">
        <v>24</v>
      </c>
      <c r="F2959">
        <v>1</v>
      </c>
    </row>
    <row r="2960" spans="2:6" x14ac:dyDescent="0.3">
      <c r="B2960" t="s">
        <v>2063</v>
      </c>
      <c r="D2960">
        <v>32</v>
      </c>
      <c r="E2960">
        <v>41</v>
      </c>
      <c r="F2960">
        <v>1</v>
      </c>
    </row>
    <row r="2961" spans="2:6" x14ac:dyDescent="0.3">
      <c r="B2961" t="s">
        <v>2064</v>
      </c>
      <c r="D2961">
        <v>51</v>
      </c>
      <c r="E2961">
        <v>57</v>
      </c>
      <c r="F2961">
        <v>1</v>
      </c>
    </row>
    <row r="2962" spans="2:6" x14ac:dyDescent="0.3">
      <c r="B2962" t="s">
        <v>2065</v>
      </c>
      <c r="D2962">
        <v>75</v>
      </c>
      <c r="E2962">
        <v>76</v>
      </c>
      <c r="F2962">
        <v>1</v>
      </c>
    </row>
    <row r="2963" spans="2:6" x14ac:dyDescent="0.3">
      <c r="B2963" t="s">
        <v>2066</v>
      </c>
      <c r="D2963">
        <v>81</v>
      </c>
      <c r="E2963">
        <v>107</v>
      </c>
      <c r="F2963">
        <v>1</v>
      </c>
    </row>
    <row r="2964" spans="2:6" x14ac:dyDescent="0.3">
      <c r="B2964" t="s">
        <v>2067</v>
      </c>
      <c r="D2964">
        <v>86</v>
      </c>
      <c r="E2964">
        <v>143</v>
      </c>
      <c r="F2964">
        <v>1</v>
      </c>
    </row>
    <row r="2965" spans="2:6" x14ac:dyDescent="0.3">
      <c r="B2965" t="s">
        <v>2068</v>
      </c>
      <c r="D2965">
        <v>94</v>
      </c>
      <c r="E2965">
        <v>280</v>
      </c>
      <c r="F2965">
        <v>1</v>
      </c>
    </row>
    <row r="2966" spans="2:6" x14ac:dyDescent="0.3">
      <c r="B2966" t="s">
        <v>2069</v>
      </c>
      <c r="D2966">
        <v>117</v>
      </c>
      <c r="E2966">
        <v>638</v>
      </c>
      <c r="F2966">
        <v>1</v>
      </c>
    </row>
    <row r="2967" spans="2:6" x14ac:dyDescent="0.3">
      <c r="B2967" t="s">
        <v>2070</v>
      </c>
      <c r="D2967">
        <v>117</v>
      </c>
      <c r="E2967">
        <v>846</v>
      </c>
      <c r="F2967">
        <v>1</v>
      </c>
    </row>
    <row r="2968" spans="2:6" x14ac:dyDescent="0.3">
      <c r="B2968" t="s">
        <v>2071</v>
      </c>
      <c r="D2968">
        <v>124</v>
      </c>
      <c r="E2968">
        <v>1202</v>
      </c>
      <c r="F2968">
        <v>1</v>
      </c>
    </row>
    <row r="2969" spans="2:6" x14ac:dyDescent="0.3">
      <c r="B2969" t="s">
        <v>2072</v>
      </c>
      <c r="D2969">
        <v>130</v>
      </c>
      <c r="E2969">
        <v>1685</v>
      </c>
      <c r="F2969">
        <v>1</v>
      </c>
    </row>
    <row r="2970" spans="2:6" x14ac:dyDescent="0.3">
      <c r="B2970" t="s">
        <v>2073</v>
      </c>
      <c r="D2970">
        <v>136</v>
      </c>
      <c r="E2970">
        <v>2499</v>
      </c>
      <c r="F2970">
        <v>1</v>
      </c>
    </row>
    <row r="2971" spans="2:6" x14ac:dyDescent="0.3">
      <c r="B2971" t="s">
        <v>2074</v>
      </c>
      <c r="D2971">
        <v>139</v>
      </c>
      <c r="E2971">
        <v>3032</v>
      </c>
      <c r="F2971">
        <v>1</v>
      </c>
    </row>
    <row r="2972" spans="2:6" x14ac:dyDescent="0.3">
      <c r="B2972" t="s">
        <v>2075</v>
      </c>
      <c r="D2972">
        <v>130</v>
      </c>
      <c r="E2972">
        <v>1894</v>
      </c>
      <c r="F2972">
        <v>1</v>
      </c>
    </row>
    <row r="2973" spans="2:6" x14ac:dyDescent="0.3">
      <c r="B2973" t="s">
        <v>2076</v>
      </c>
      <c r="D2973">
        <v>120</v>
      </c>
      <c r="E2973">
        <v>966</v>
      </c>
      <c r="F2973">
        <v>1</v>
      </c>
    </row>
    <row r="2974" spans="2:6" x14ac:dyDescent="0.3">
      <c r="B2974" t="s">
        <v>2077</v>
      </c>
      <c r="D2974">
        <v>119</v>
      </c>
      <c r="E2974">
        <v>869</v>
      </c>
      <c r="F2974">
        <v>1</v>
      </c>
    </row>
    <row r="2975" spans="2:6" x14ac:dyDescent="0.3">
      <c r="B2975" t="s">
        <v>1901</v>
      </c>
      <c r="D2975">
        <v>117</v>
      </c>
      <c r="E2975">
        <v>834</v>
      </c>
      <c r="F2975">
        <v>1</v>
      </c>
    </row>
    <row r="2976" spans="2:6" x14ac:dyDescent="0.3">
      <c r="B2976" t="s">
        <v>2078</v>
      </c>
      <c r="D2976">
        <v>117</v>
      </c>
      <c r="E2976">
        <v>795</v>
      </c>
      <c r="F2976">
        <v>1</v>
      </c>
    </row>
    <row r="2977" spans="2:6" x14ac:dyDescent="0.3">
      <c r="B2977" t="s">
        <v>2079</v>
      </c>
      <c r="D2977">
        <v>117</v>
      </c>
      <c r="E2977">
        <v>792</v>
      </c>
      <c r="F2977">
        <v>1</v>
      </c>
    </row>
    <row r="2978" spans="2:6" x14ac:dyDescent="0.3">
      <c r="B2978" t="s">
        <v>2080</v>
      </c>
      <c r="D2978">
        <v>117</v>
      </c>
      <c r="E2978">
        <v>810</v>
      </c>
      <c r="F2978">
        <v>1</v>
      </c>
    </row>
    <row r="2979" spans="2:6" x14ac:dyDescent="0.3">
      <c r="B2979" t="s">
        <v>2081</v>
      </c>
      <c r="D2979">
        <v>117</v>
      </c>
      <c r="E2979">
        <v>829</v>
      </c>
      <c r="F2979">
        <v>1</v>
      </c>
    </row>
    <row r="2980" spans="2:6" x14ac:dyDescent="0.3">
      <c r="B2980" t="s">
        <v>2082</v>
      </c>
      <c r="D2980">
        <v>117</v>
      </c>
      <c r="E2980">
        <v>849</v>
      </c>
      <c r="F2980">
        <v>1</v>
      </c>
    </row>
    <row r="2981" spans="2:6" x14ac:dyDescent="0.3">
      <c r="B2981" t="s">
        <v>2083</v>
      </c>
      <c r="D2981">
        <v>118</v>
      </c>
      <c r="E2981">
        <v>885</v>
      </c>
      <c r="F2981">
        <v>1</v>
      </c>
    </row>
    <row r="2982" spans="2:6" x14ac:dyDescent="0.3">
      <c r="B2982" t="s">
        <v>2084</v>
      </c>
      <c r="D2982">
        <v>119</v>
      </c>
      <c r="E2982">
        <v>920</v>
      </c>
      <c r="F2982">
        <v>1</v>
      </c>
    </row>
    <row r="2983" spans="2:6" x14ac:dyDescent="0.3">
      <c r="B2983" t="s">
        <v>2085</v>
      </c>
      <c r="D2983">
        <v>120</v>
      </c>
      <c r="E2983">
        <v>952</v>
      </c>
      <c r="F2983">
        <v>1</v>
      </c>
    </row>
    <row r="2984" spans="2:6" x14ac:dyDescent="0.3">
      <c r="B2984" t="s">
        <v>2086</v>
      </c>
      <c r="D2984">
        <v>121</v>
      </c>
      <c r="E2984">
        <v>987</v>
      </c>
      <c r="F2984">
        <v>1</v>
      </c>
    </row>
    <row r="2985" spans="2:6" x14ac:dyDescent="0.3">
      <c r="B2985" t="s">
        <v>2087</v>
      </c>
      <c r="D2985">
        <v>122</v>
      </c>
      <c r="E2985">
        <v>1013</v>
      </c>
      <c r="F2985">
        <v>1</v>
      </c>
    </row>
    <row r="2986" spans="2:6" x14ac:dyDescent="0.3">
      <c r="B2986" t="s">
        <v>2088</v>
      </c>
      <c r="D2986">
        <v>122</v>
      </c>
      <c r="E2986">
        <v>1046</v>
      </c>
      <c r="F2986">
        <v>1</v>
      </c>
    </row>
    <row r="2987" spans="2:6" x14ac:dyDescent="0.3">
      <c r="B2987" t="s">
        <v>2089</v>
      </c>
      <c r="D2987">
        <v>122</v>
      </c>
      <c r="E2987">
        <v>1077</v>
      </c>
      <c r="F2987">
        <v>1</v>
      </c>
    </row>
    <row r="2988" spans="2:6" x14ac:dyDescent="0.3">
      <c r="B2988" t="s">
        <v>2090</v>
      </c>
      <c r="D2988">
        <v>123</v>
      </c>
      <c r="E2988">
        <v>1094</v>
      </c>
      <c r="F2988">
        <v>1</v>
      </c>
    </row>
    <row r="2989" spans="2:6" x14ac:dyDescent="0.3">
      <c r="B2989" t="s">
        <v>2091</v>
      </c>
      <c r="D2989">
        <v>123</v>
      </c>
      <c r="E2989">
        <v>1117</v>
      </c>
      <c r="F2989">
        <v>1</v>
      </c>
    </row>
    <row r="2990" spans="2:6" x14ac:dyDescent="0.3">
      <c r="B2990" t="s">
        <v>2092</v>
      </c>
      <c r="D2990">
        <v>123</v>
      </c>
      <c r="E2990">
        <v>1130</v>
      </c>
      <c r="F2990">
        <v>1</v>
      </c>
    </row>
    <row r="2991" spans="2:6" x14ac:dyDescent="0.3">
      <c r="B2991" t="s">
        <v>2093</v>
      </c>
      <c r="D2991">
        <v>124</v>
      </c>
      <c r="E2991">
        <v>1123</v>
      </c>
      <c r="F2991">
        <v>1</v>
      </c>
    </row>
    <row r="2992" spans="2:6" x14ac:dyDescent="0.3">
      <c r="B2992" t="s">
        <v>2094</v>
      </c>
      <c r="D2992">
        <v>125</v>
      </c>
      <c r="E2992">
        <v>1261</v>
      </c>
      <c r="F2992">
        <v>1</v>
      </c>
    </row>
    <row r="2993" spans="2:6" x14ac:dyDescent="0.3">
      <c r="B2993" t="s">
        <v>2095</v>
      </c>
      <c r="D2993">
        <v>125</v>
      </c>
      <c r="E2993">
        <v>1352</v>
      </c>
      <c r="F2993">
        <v>1</v>
      </c>
    </row>
    <row r="2994" spans="2:6" x14ac:dyDescent="0.3">
      <c r="B2994" t="s">
        <v>2096</v>
      </c>
      <c r="D2994">
        <v>126</v>
      </c>
      <c r="E2994">
        <v>1377</v>
      </c>
      <c r="F2994">
        <v>1</v>
      </c>
    </row>
    <row r="2995" spans="2:6" x14ac:dyDescent="0.3">
      <c r="B2995" t="s">
        <v>2097</v>
      </c>
      <c r="D2995">
        <v>125</v>
      </c>
      <c r="E2995">
        <v>1368</v>
      </c>
      <c r="F2995">
        <v>1</v>
      </c>
    </row>
    <row r="2996" spans="2:6" x14ac:dyDescent="0.3">
      <c r="B2996" t="s">
        <v>2098</v>
      </c>
      <c r="D2996">
        <v>126</v>
      </c>
      <c r="E2996">
        <v>1454</v>
      </c>
      <c r="F2996">
        <v>1</v>
      </c>
    </row>
    <row r="2997" spans="2:6" x14ac:dyDescent="0.3">
      <c r="B2997" t="s">
        <v>2099</v>
      </c>
      <c r="D2997">
        <v>127</v>
      </c>
      <c r="E2997">
        <v>1454</v>
      </c>
      <c r="F2997">
        <v>1</v>
      </c>
    </row>
    <row r="2998" spans="2:6" x14ac:dyDescent="0.3">
      <c r="B2998" t="s">
        <v>2100</v>
      </c>
      <c r="D2998">
        <v>127</v>
      </c>
      <c r="E2998">
        <v>1453</v>
      </c>
      <c r="F2998">
        <v>1</v>
      </c>
    </row>
    <row r="2999" spans="2:6" x14ac:dyDescent="0.3">
      <c r="B2999" t="s">
        <v>2098</v>
      </c>
      <c r="D2999">
        <v>126</v>
      </c>
      <c r="E2999">
        <v>1454</v>
      </c>
      <c r="F2999">
        <v>1</v>
      </c>
    </row>
    <row r="3000" spans="2:6" x14ac:dyDescent="0.3">
      <c r="B3000" t="s">
        <v>2101</v>
      </c>
      <c r="D3000">
        <v>126</v>
      </c>
      <c r="E3000">
        <v>1315</v>
      </c>
      <c r="F3000">
        <v>1</v>
      </c>
    </row>
    <row r="3001" spans="2:6" x14ac:dyDescent="0.3">
      <c r="B3001" t="s">
        <v>2102</v>
      </c>
      <c r="D3001">
        <v>126</v>
      </c>
      <c r="E3001">
        <v>1472</v>
      </c>
      <c r="F3001">
        <v>1</v>
      </c>
    </row>
    <row r="3002" spans="2:6" x14ac:dyDescent="0.3">
      <c r="B3002" t="s">
        <v>2103</v>
      </c>
      <c r="D3002">
        <v>126</v>
      </c>
      <c r="E3002">
        <v>1349</v>
      </c>
      <c r="F3002">
        <v>1</v>
      </c>
    </row>
    <row r="3003" spans="2:6" x14ac:dyDescent="0.3">
      <c r="B3003" t="s">
        <v>2104</v>
      </c>
      <c r="D3003">
        <v>126</v>
      </c>
      <c r="E3003">
        <v>1452</v>
      </c>
      <c r="F3003">
        <v>1</v>
      </c>
    </row>
    <row r="3004" spans="2:6" x14ac:dyDescent="0.3">
      <c r="B3004" t="s">
        <v>2105</v>
      </c>
      <c r="D3004">
        <v>127</v>
      </c>
      <c r="E3004">
        <v>1452</v>
      </c>
      <c r="F3004">
        <v>1</v>
      </c>
    </row>
    <row r="3005" spans="2:6" x14ac:dyDescent="0.3">
      <c r="B3005" t="s">
        <v>2106</v>
      </c>
      <c r="D3005">
        <v>127</v>
      </c>
      <c r="E3005">
        <v>1456</v>
      </c>
      <c r="F3005">
        <v>1</v>
      </c>
    </row>
    <row r="3006" spans="2:6" x14ac:dyDescent="0.3">
      <c r="B3006" t="s">
        <v>2107</v>
      </c>
      <c r="D3006">
        <v>125</v>
      </c>
      <c r="E3006">
        <v>1332</v>
      </c>
      <c r="F3006">
        <v>1</v>
      </c>
    </row>
    <row r="3007" spans="2:6" x14ac:dyDescent="0.3">
      <c r="B3007" t="s">
        <v>2108</v>
      </c>
      <c r="D3007">
        <v>125</v>
      </c>
      <c r="E3007">
        <v>1333</v>
      </c>
      <c r="F3007">
        <v>1</v>
      </c>
    </row>
    <row r="3008" spans="2:6" x14ac:dyDescent="0.3">
      <c r="B3008" t="s">
        <v>2109</v>
      </c>
      <c r="D3008">
        <v>123</v>
      </c>
      <c r="E3008">
        <v>1339</v>
      </c>
      <c r="F3008">
        <v>1</v>
      </c>
    </row>
    <row r="3009" spans="2:6" x14ac:dyDescent="0.3">
      <c r="B3009" t="s">
        <v>1923</v>
      </c>
      <c r="D3009">
        <v>123</v>
      </c>
      <c r="E3009">
        <v>1158</v>
      </c>
      <c r="F3009">
        <v>1</v>
      </c>
    </row>
    <row r="3010" spans="2:6" x14ac:dyDescent="0.3">
      <c r="B3010" t="s">
        <v>1924</v>
      </c>
      <c r="D3010">
        <v>123</v>
      </c>
      <c r="E3010">
        <v>1159</v>
      </c>
      <c r="F3010">
        <v>1</v>
      </c>
    </row>
    <row r="3011" spans="2:6" x14ac:dyDescent="0.3">
      <c r="B3011" t="s">
        <v>2110</v>
      </c>
      <c r="D3011">
        <v>123</v>
      </c>
      <c r="E3011">
        <v>1161</v>
      </c>
      <c r="F3011">
        <v>1</v>
      </c>
    </row>
    <row r="3012" spans="2:6" x14ac:dyDescent="0.3">
      <c r="B3012" t="s">
        <v>2111</v>
      </c>
      <c r="D3012">
        <v>134</v>
      </c>
      <c r="E3012">
        <v>2059</v>
      </c>
      <c r="F3012">
        <v>1</v>
      </c>
    </row>
  </sheetData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Analyze">
          <controlPr defaultSize="0" autoLine="0" r:id="rId5">
            <anchor moveWithCells="1">
              <from>
                <xdr:col>6</xdr:col>
                <xdr:colOff>22860</xdr:colOff>
                <xdr:row>0</xdr:row>
                <xdr:rowOff>76200</xdr:rowOff>
              </from>
              <to>
                <xdr:col>7</xdr:col>
                <xdr:colOff>182880</xdr:colOff>
                <xdr:row>2</xdr:row>
                <xdr:rowOff>137160</xdr:rowOff>
              </to>
            </anchor>
          </controlPr>
        </control>
      </mc:Choice>
      <mc:Fallback>
        <control shapeId="3073" r:id="rId4" name="Analyze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C51F41-E5AD-4293-9113-53F9678CAAB1}">
  <sheetPr codeName="Tabelle4"/>
  <dimension ref="B2:O260"/>
  <sheetViews>
    <sheetView workbookViewId="0">
      <selection activeCell="N5" sqref="N5:N12"/>
    </sheetView>
  </sheetViews>
  <sheetFormatPr baseColWidth="10" defaultRowHeight="14.4" x14ac:dyDescent="0.3"/>
  <cols>
    <col min="1" max="1" width="7" customWidth="1"/>
    <col min="2" max="2" width="9.88671875" style="6" customWidth="1"/>
    <col min="3" max="3" width="9.88671875" style="13" customWidth="1"/>
    <col min="4" max="5" width="9.88671875" style="6" customWidth="1"/>
    <col min="6" max="6" width="9.88671875" customWidth="1"/>
    <col min="7" max="7" width="9.88671875" style="6" customWidth="1"/>
    <col min="9" max="11" width="11.5546875" style="1" customWidth="1"/>
    <col min="12" max="12" width="11.5546875" style="19"/>
    <col min="13" max="14" width="11.5546875" customWidth="1"/>
  </cols>
  <sheetData>
    <row r="2" spans="2:14" ht="28.8" x14ac:dyDescent="0.3">
      <c r="B2" s="28" t="s">
        <v>8</v>
      </c>
      <c r="C2" s="29" t="s">
        <v>9</v>
      </c>
      <c r="D2" s="23" t="s">
        <v>312</v>
      </c>
      <c r="E2" s="23" t="s">
        <v>319</v>
      </c>
      <c r="F2" s="21" t="s">
        <v>305</v>
      </c>
      <c r="G2" s="23" t="s">
        <v>311</v>
      </c>
      <c r="H2" s="24"/>
      <c r="I2" s="25" t="s">
        <v>305</v>
      </c>
      <c r="J2" s="39" t="s">
        <v>306</v>
      </c>
      <c r="K2" s="39"/>
      <c r="L2" s="26" t="s">
        <v>309</v>
      </c>
      <c r="M2" s="25" t="s">
        <v>310</v>
      </c>
    </row>
    <row r="3" spans="2:14" x14ac:dyDescent="0.3">
      <c r="J3" s="1" t="s">
        <v>307</v>
      </c>
      <c r="K3" s="1" t="s">
        <v>308</v>
      </c>
    </row>
    <row r="4" spans="2:14" x14ac:dyDescent="0.3">
      <c r="B4" s="6">
        <v>0</v>
      </c>
      <c r="C4" s="13">
        <f>Overview!F4</f>
        <v>0</v>
      </c>
      <c r="D4" s="6">
        <f>Overview!E4</f>
        <v>0.01</v>
      </c>
      <c r="E4" s="6">
        <f>C4*100</f>
        <v>0</v>
      </c>
      <c r="F4" s="14">
        <v>1</v>
      </c>
      <c r="G4" s="6">
        <f>ROUND(E4/VLOOKUP(F4,$I$5:$M$16,4),0)</f>
        <v>0</v>
      </c>
    </row>
    <row r="5" spans="2:14" x14ac:dyDescent="0.3">
      <c r="B5" s="6">
        <v>1</v>
      </c>
      <c r="C5" s="13">
        <f>Overview!F5</f>
        <v>0.01</v>
      </c>
      <c r="D5" s="6">
        <f>Overview!E5</f>
        <v>0.01</v>
      </c>
      <c r="E5" s="6">
        <f t="shared" ref="E5:E68" si="0">C5*100</f>
        <v>1</v>
      </c>
      <c r="F5" s="14">
        <v>1</v>
      </c>
      <c r="G5" s="6">
        <f t="shared" ref="G5:G68" si="1">ROUND(E5/VLOOKUP(F5,$I$5:$M$16,4),0)</f>
        <v>1</v>
      </c>
      <c r="I5" s="1">
        <v>1</v>
      </c>
      <c r="J5" s="19">
        <f>E4</f>
        <v>0</v>
      </c>
      <c r="K5" s="19">
        <f>E100</f>
        <v>252.00000000000014</v>
      </c>
      <c r="L5" s="19">
        <v>1</v>
      </c>
      <c r="M5" s="1">
        <v>97</v>
      </c>
      <c r="N5" t="s">
        <v>555</v>
      </c>
    </row>
    <row r="6" spans="2:14" x14ac:dyDescent="0.3">
      <c r="B6" s="6">
        <v>2</v>
      </c>
      <c r="C6" s="13">
        <f>Overview!F6</f>
        <v>0.02</v>
      </c>
      <c r="D6" s="6">
        <f>Overview!E6</f>
        <v>0.01</v>
      </c>
      <c r="E6" s="6">
        <f t="shared" si="0"/>
        <v>2</v>
      </c>
      <c r="F6" s="14">
        <v>1</v>
      </c>
      <c r="G6" s="6">
        <f t="shared" si="1"/>
        <v>2</v>
      </c>
      <c r="I6" s="1">
        <v>2</v>
      </c>
      <c r="J6" s="1">
        <f>E101</f>
        <v>272.00000000000017</v>
      </c>
      <c r="K6" s="1">
        <f>E139</f>
        <v>2597.0000000000005</v>
      </c>
      <c r="L6" s="19">
        <v>10</v>
      </c>
      <c r="M6" s="1">
        <v>38</v>
      </c>
      <c r="N6" t="s">
        <v>558</v>
      </c>
    </row>
    <row r="7" spans="2:14" x14ac:dyDescent="0.3">
      <c r="B7" s="6">
        <v>3</v>
      </c>
      <c r="C7" s="13">
        <f>Overview!F7</f>
        <v>0.03</v>
      </c>
      <c r="D7" s="6">
        <f>Overview!E7</f>
        <v>0.01</v>
      </c>
      <c r="E7" s="6">
        <f t="shared" si="0"/>
        <v>3</v>
      </c>
      <c r="F7" s="14">
        <v>1</v>
      </c>
      <c r="G7" s="6">
        <f t="shared" si="1"/>
        <v>3</v>
      </c>
      <c r="I7" s="1">
        <v>3</v>
      </c>
      <c r="J7" s="1">
        <f>E140</f>
        <v>2757.0000000000005</v>
      </c>
      <c r="K7" s="1">
        <f>E187</f>
        <v>22765.000000000007</v>
      </c>
      <c r="L7" s="19">
        <v>100</v>
      </c>
      <c r="M7" s="1">
        <v>52</v>
      </c>
      <c r="N7" t="s">
        <v>559</v>
      </c>
    </row>
    <row r="8" spans="2:14" x14ac:dyDescent="0.3">
      <c r="B8" s="6">
        <v>4</v>
      </c>
      <c r="C8" s="13">
        <f>Overview!F8</f>
        <v>0.04</v>
      </c>
      <c r="D8" s="6">
        <f>Overview!E8</f>
        <v>0.01</v>
      </c>
      <c r="E8" s="6">
        <f t="shared" si="0"/>
        <v>4</v>
      </c>
      <c r="F8" s="14">
        <v>1</v>
      </c>
      <c r="G8" s="6">
        <f t="shared" si="1"/>
        <v>4</v>
      </c>
      <c r="I8" s="1">
        <v>4</v>
      </c>
      <c r="J8" s="1">
        <f>E188</f>
        <v>23485.000000000004</v>
      </c>
      <c r="K8" s="1">
        <f>E245</f>
        <v>186550</v>
      </c>
      <c r="L8" s="19">
        <v>1000</v>
      </c>
      <c r="M8" s="1">
        <v>56</v>
      </c>
      <c r="N8" t="s">
        <v>560</v>
      </c>
    </row>
    <row r="9" spans="2:14" x14ac:dyDescent="0.3">
      <c r="B9" s="6">
        <v>5</v>
      </c>
      <c r="C9" s="13">
        <f>Overview!F9</f>
        <v>0.05</v>
      </c>
      <c r="D9" s="6">
        <f>Overview!E9</f>
        <v>0.01</v>
      </c>
      <c r="E9" s="6">
        <f t="shared" si="0"/>
        <v>5</v>
      </c>
      <c r="F9" s="14">
        <v>1</v>
      </c>
      <c r="G9" s="6">
        <f t="shared" si="1"/>
        <v>5</v>
      </c>
      <c r="I9" s="1">
        <v>5</v>
      </c>
      <c r="J9" s="1">
        <f>E247</f>
        <v>276550</v>
      </c>
      <c r="K9" s="1">
        <f>E256</f>
        <v>2496550</v>
      </c>
      <c r="L9" s="20">
        <v>10000</v>
      </c>
      <c r="M9" s="1">
        <v>10</v>
      </c>
      <c r="N9" t="s">
        <v>556</v>
      </c>
    </row>
    <row r="10" spans="2:14" x14ac:dyDescent="0.3">
      <c r="B10" s="6">
        <v>6</v>
      </c>
      <c r="C10" s="13">
        <f>Overview!F10</f>
        <v>6.0000000000000005E-2</v>
      </c>
      <c r="D10" s="6">
        <f>Overview!E10</f>
        <v>0.01</v>
      </c>
      <c r="E10" s="6">
        <f t="shared" si="0"/>
        <v>6.0000000000000009</v>
      </c>
      <c r="F10" s="14">
        <v>1</v>
      </c>
      <c r="G10" s="6">
        <f t="shared" si="1"/>
        <v>6</v>
      </c>
      <c r="I10" s="1">
        <v>6</v>
      </c>
      <c r="J10" s="1">
        <f>E257</f>
        <v>3696550</v>
      </c>
      <c r="K10" s="1">
        <f>E259</f>
        <v>8296550</v>
      </c>
      <c r="L10" s="20">
        <v>100000</v>
      </c>
      <c r="M10" s="1">
        <v>3</v>
      </c>
      <c r="N10" t="s">
        <v>557</v>
      </c>
    </row>
    <row r="11" spans="2:14" x14ac:dyDescent="0.3">
      <c r="B11" s="6">
        <v>7</v>
      </c>
      <c r="C11" s="13">
        <f>Overview!F11</f>
        <v>7.0000000000000007E-2</v>
      </c>
      <c r="D11" s="6">
        <f>Overview!E11</f>
        <v>0.01</v>
      </c>
      <c r="E11" s="6">
        <f t="shared" si="0"/>
        <v>7.0000000000000009</v>
      </c>
      <c r="F11" s="14">
        <v>1</v>
      </c>
      <c r="G11" s="6">
        <f t="shared" si="1"/>
        <v>7</v>
      </c>
    </row>
    <row r="12" spans="2:14" x14ac:dyDescent="0.3">
      <c r="B12" s="6">
        <v>8</v>
      </c>
      <c r="C12" s="13">
        <f>Overview!F12</f>
        <v>0.08</v>
      </c>
      <c r="D12" s="6">
        <f>Overview!E12</f>
        <v>0.01</v>
      </c>
      <c r="E12" s="6">
        <f t="shared" si="0"/>
        <v>8</v>
      </c>
      <c r="F12" s="14">
        <v>1</v>
      </c>
      <c r="G12" s="6">
        <f t="shared" si="1"/>
        <v>8</v>
      </c>
      <c r="M12" s="1">
        <f>SUM(M5:M10)</f>
        <v>256</v>
      </c>
      <c r="N12" t="s">
        <v>561</v>
      </c>
    </row>
    <row r="13" spans="2:14" x14ac:dyDescent="0.3">
      <c r="B13" s="6">
        <v>9</v>
      </c>
      <c r="C13" s="13">
        <f>Overview!F13</f>
        <v>0.09</v>
      </c>
      <c r="D13" s="6">
        <f>Overview!E13</f>
        <v>0.01</v>
      </c>
      <c r="E13" s="6">
        <f t="shared" si="0"/>
        <v>9</v>
      </c>
      <c r="F13" s="14">
        <v>1</v>
      </c>
      <c r="G13" s="6">
        <f t="shared" si="1"/>
        <v>9</v>
      </c>
    </row>
    <row r="14" spans="2:14" x14ac:dyDescent="0.3">
      <c r="B14" s="6">
        <v>10</v>
      </c>
      <c r="C14" s="13">
        <f>Overview!F14</f>
        <v>9.9999999999999992E-2</v>
      </c>
      <c r="D14" s="6">
        <f>Overview!E14</f>
        <v>0.01</v>
      </c>
      <c r="E14" s="6">
        <f t="shared" si="0"/>
        <v>10</v>
      </c>
      <c r="F14" s="14">
        <v>1</v>
      </c>
      <c r="G14" s="6">
        <f t="shared" si="1"/>
        <v>10</v>
      </c>
    </row>
    <row r="15" spans="2:14" x14ac:dyDescent="0.3">
      <c r="B15" s="6">
        <v>11</v>
      </c>
      <c r="C15" s="13">
        <f>Overview!F15</f>
        <v>0.10999999999999999</v>
      </c>
      <c r="D15" s="6">
        <f>Overview!E15</f>
        <v>0.01</v>
      </c>
      <c r="E15" s="6">
        <f t="shared" si="0"/>
        <v>10.999999999999998</v>
      </c>
      <c r="F15" s="14">
        <v>1</v>
      </c>
      <c r="G15" s="6">
        <f t="shared" si="1"/>
        <v>11</v>
      </c>
    </row>
    <row r="16" spans="2:14" x14ac:dyDescent="0.3">
      <c r="B16" s="6">
        <v>12</v>
      </c>
      <c r="C16" s="13">
        <f>Overview!F16</f>
        <v>0.11999999999999998</v>
      </c>
      <c r="D16" s="6">
        <f>Overview!E16</f>
        <v>0.01</v>
      </c>
      <c r="E16" s="6">
        <f t="shared" si="0"/>
        <v>11.999999999999998</v>
      </c>
      <c r="F16" s="14">
        <v>1</v>
      </c>
      <c r="G16" s="6">
        <f t="shared" si="1"/>
        <v>12</v>
      </c>
    </row>
    <row r="17" spans="2:7" x14ac:dyDescent="0.3">
      <c r="B17" s="6">
        <v>13</v>
      </c>
      <c r="C17" s="13">
        <f>Overview!F17</f>
        <v>0.12999999999999998</v>
      </c>
      <c r="D17" s="6">
        <f>Overview!E17</f>
        <v>0.01</v>
      </c>
      <c r="E17" s="6">
        <f t="shared" si="0"/>
        <v>12.999999999999998</v>
      </c>
      <c r="F17" s="14">
        <v>1</v>
      </c>
      <c r="G17" s="6">
        <f t="shared" si="1"/>
        <v>13</v>
      </c>
    </row>
    <row r="18" spans="2:7" x14ac:dyDescent="0.3">
      <c r="B18" s="6">
        <v>14</v>
      </c>
      <c r="C18" s="13">
        <f>Overview!F18</f>
        <v>0.13999999999999999</v>
      </c>
      <c r="D18" s="6">
        <f>Overview!E18</f>
        <v>0.01</v>
      </c>
      <c r="E18" s="6">
        <f t="shared" si="0"/>
        <v>13.999999999999998</v>
      </c>
      <c r="F18" s="14">
        <v>1</v>
      </c>
      <c r="G18" s="6">
        <f t="shared" si="1"/>
        <v>14</v>
      </c>
    </row>
    <row r="19" spans="2:7" x14ac:dyDescent="0.3">
      <c r="B19" s="6">
        <v>15</v>
      </c>
      <c r="C19" s="13">
        <f>Overview!F19</f>
        <v>0.15</v>
      </c>
      <c r="D19" s="6">
        <f>Overview!E19</f>
        <v>0.01</v>
      </c>
      <c r="E19" s="6">
        <f t="shared" si="0"/>
        <v>15</v>
      </c>
      <c r="F19" s="14">
        <v>1</v>
      </c>
      <c r="G19" s="6">
        <f t="shared" si="1"/>
        <v>15</v>
      </c>
    </row>
    <row r="20" spans="2:7" x14ac:dyDescent="0.3">
      <c r="B20" s="6">
        <v>16</v>
      </c>
      <c r="C20" s="13">
        <f>Overview!F20</f>
        <v>0.16</v>
      </c>
      <c r="D20" s="6">
        <f>Overview!E20</f>
        <v>0.01</v>
      </c>
      <c r="E20" s="6">
        <f t="shared" si="0"/>
        <v>16</v>
      </c>
      <c r="F20" s="14">
        <v>1</v>
      </c>
      <c r="G20" s="6">
        <f t="shared" si="1"/>
        <v>16</v>
      </c>
    </row>
    <row r="21" spans="2:7" x14ac:dyDescent="0.3">
      <c r="B21" s="6">
        <v>17</v>
      </c>
      <c r="C21" s="13">
        <f>Overview!F21</f>
        <v>0.17</v>
      </c>
      <c r="D21" s="6">
        <f>Overview!E21</f>
        <v>0.01</v>
      </c>
      <c r="E21" s="6">
        <f t="shared" si="0"/>
        <v>17</v>
      </c>
      <c r="F21" s="14">
        <v>1</v>
      </c>
      <c r="G21" s="6">
        <f t="shared" si="1"/>
        <v>17</v>
      </c>
    </row>
    <row r="22" spans="2:7" x14ac:dyDescent="0.3">
      <c r="B22" s="6">
        <v>18</v>
      </c>
      <c r="C22" s="13">
        <f>Overview!F22</f>
        <v>0.18000000000000002</v>
      </c>
      <c r="D22" s="6">
        <f>Overview!E22</f>
        <v>0.01</v>
      </c>
      <c r="E22" s="6">
        <f t="shared" si="0"/>
        <v>18.000000000000004</v>
      </c>
      <c r="F22" s="14">
        <v>1</v>
      </c>
      <c r="G22" s="6">
        <f t="shared" si="1"/>
        <v>18</v>
      </c>
    </row>
    <row r="23" spans="2:7" x14ac:dyDescent="0.3">
      <c r="B23" s="6">
        <v>19</v>
      </c>
      <c r="C23" s="13">
        <f>Overview!F23</f>
        <v>0.19000000000000003</v>
      </c>
      <c r="D23" s="6">
        <f>Overview!E23</f>
        <v>0.01</v>
      </c>
      <c r="E23" s="6">
        <f t="shared" si="0"/>
        <v>19.000000000000004</v>
      </c>
      <c r="F23" s="14">
        <v>1</v>
      </c>
      <c r="G23" s="6">
        <f t="shared" si="1"/>
        <v>19</v>
      </c>
    </row>
    <row r="24" spans="2:7" x14ac:dyDescent="0.3">
      <c r="B24" s="6">
        <v>20</v>
      </c>
      <c r="C24" s="13">
        <f>Overview!F24</f>
        <v>0.20000000000000004</v>
      </c>
      <c r="D24" s="6">
        <f>Overview!E24</f>
        <v>0.01</v>
      </c>
      <c r="E24" s="6">
        <f t="shared" si="0"/>
        <v>20.000000000000004</v>
      </c>
      <c r="F24" s="14">
        <v>1</v>
      </c>
      <c r="G24" s="6">
        <f t="shared" si="1"/>
        <v>20</v>
      </c>
    </row>
    <row r="25" spans="2:7" x14ac:dyDescent="0.3">
      <c r="B25" s="6">
        <v>21</v>
      </c>
      <c r="C25" s="13">
        <f>Overview!F25</f>
        <v>0.21000000000000005</v>
      </c>
      <c r="D25" s="6">
        <f>Overview!E25</f>
        <v>0.01</v>
      </c>
      <c r="E25" s="6">
        <f t="shared" si="0"/>
        <v>21.000000000000004</v>
      </c>
      <c r="F25" s="14">
        <v>1</v>
      </c>
      <c r="G25" s="6">
        <f t="shared" si="1"/>
        <v>21</v>
      </c>
    </row>
    <row r="26" spans="2:7" x14ac:dyDescent="0.3">
      <c r="B26" s="6">
        <v>22</v>
      </c>
      <c r="C26" s="13">
        <f>Overview!F26</f>
        <v>0.22000000000000006</v>
      </c>
      <c r="D26" s="6">
        <f>Overview!E26</f>
        <v>0.01</v>
      </c>
      <c r="E26" s="6">
        <f t="shared" si="0"/>
        <v>22.000000000000007</v>
      </c>
      <c r="F26" s="14">
        <v>1</v>
      </c>
      <c r="G26" s="6">
        <f t="shared" si="1"/>
        <v>22</v>
      </c>
    </row>
    <row r="27" spans="2:7" x14ac:dyDescent="0.3">
      <c r="B27" s="6">
        <v>23</v>
      </c>
      <c r="C27" s="13">
        <f>Overview!F27</f>
        <v>0.23000000000000007</v>
      </c>
      <c r="D27" s="6">
        <f>Overview!E27</f>
        <v>0.01</v>
      </c>
      <c r="E27" s="6">
        <f t="shared" si="0"/>
        <v>23.000000000000007</v>
      </c>
      <c r="F27" s="14">
        <v>1</v>
      </c>
      <c r="G27" s="6">
        <f t="shared" si="1"/>
        <v>23</v>
      </c>
    </row>
    <row r="28" spans="2:7" x14ac:dyDescent="0.3">
      <c r="B28" s="6">
        <v>24</v>
      </c>
      <c r="C28" s="13">
        <f>Overview!F28</f>
        <v>0.24000000000000007</v>
      </c>
      <c r="D28" s="6">
        <f>Overview!E28</f>
        <v>0.01</v>
      </c>
      <c r="E28" s="6">
        <f t="shared" si="0"/>
        <v>24.000000000000007</v>
      </c>
      <c r="F28" s="14">
        <v>1</v>
      </c>
      <c r="G28" s="6">
        <f t="shared" si="1"/>
        <v>24</v>
      </c>
    </row>
    <row r="29" spans="2:7" x14ac:dyDescent="0.3">
      <c r="B29" s="6">
        <v>25</v>
      </c>
      <c r="C29" s="13">
        <f>Overview!F29</f>
        <v>0.25000000000000006</v>
      </c>
      <c r="D29" s="6">
        <f>Overview!E29</f>
        <v>0.01</v>
      </c>
      <c r="E29" s="6">
        <f t="shared" si="0"/>
        <v>25.000000000000007</v>
      </c>
      <c r="F29" s="14">
        <v>1</v>
      </c>
      <c r="G29" s="6">
        <f t="shared" si="1"/>
        <v>25</v>
      </c>
    </row>
    <row r="30" spans="2:7" x14ac:dyDescent="0.3">
      <c r="B30" s="6">
        <v>26</v>
      </c>
      <c r="C30" s="13">
        <f>Overview!F30</f>
        <v>0.26000000000000006</v>
      </c>
      <c r="D30" s="6">
        <f>Overview!E30</f>
        <v>0.01</v>
      </c>
      <c r="E30" s="6">
        <f t="shared" si="0"/>
        <v>26.000000000000007</v>
      </c>
      <c r="F30" s="14">
        <v>1</v>
      </c>
      <c r="G30" s="6">
        <f t="shared" si="1"/>
        <v>26</v>
      </c>
    </row>
    <row r="31" spans="2:7" x14ac:dyDescent="0.3">
      <c r="B31" s="6">
        <v>27</v>
      </c>
      <c r="C31" s="13">
        <f>Overview!F31</f>
        <v>0.27000000000000007</v>
      </c>
      <c r="D31" s="6">
        <f>Overview!E31</f>
        <v>0.01</v>
      </c>
      <c r="E31" s="6">
        <f t="shared" si="0"/>
        <v>27.000000000000007</v>
      </c>
      <c r="F31" s="14">
        <v>1</v>
      </c>
      <c r="G31" s="6">
        <f t="shared" si="1"/>
        <v>27</v>
      </c>
    </row>
    <row r="32" spans="2:7" x14ac:dyDescent="0.3">
      <c r="B32" s="6">
        <v>28</v>
      </c>
      <c r="C32" s="13">
        <f>Overview!F32</f>
        <v>0.28000000000000008</v>
      </c>
      <c r="D32" s="6">
        <f>Overview!E32</f>
        <v>0.01</v>
      </c>
      <c r="E32" s="6">
        <f t="shared" si="0"/>
        <v>28.000000000000007</v>
      </c>
      <c r="F32" s="14">
        <v>1</v>
      </c>
      <c r="G32" s="6">
        <f t="shared" si="1"/>
        <v>28</v>
      </c>
    </row>
    <row r="33" spans="2:7" x14ac:dyDescent="0.3">
      <c r="B33" s="6">
        <v>29</v>
      </c>
      <c r="C33" s="13">
        <f>Overview!F33</f>
        <v>0.29000000000000009</v>
      </c>
      <c r="D33" s="6">
        <f>Overview!E33</f>
        <v>0.01</v>
      </c>
      <c r="E33" s="6">
        <f t="shared" si="0"/>
        <v>29.000000000000011</v>
      </c>
      <c r="F33" s="14">
        <v>1</v>
      </c>
      <c r="G33" s="6">
        <f t="shared" si="1"/>
        <v>29</v>
      </c>
    </row>
    <row r="34" spans="2:7" x14ac:dyDescent="0.3">
      <c r="B34" s="6">
        <v>30</v>
      </c>
      <c r="C34" s="13">
        <f>Overview!F34</f>
        <v>0.3000000000000001</v>
      </c>
      <c r="D34" s="6">
        <f>Overview!E34</f>
        <v>0.01</v>
      </c>
      <c r="E34" s="6">
        <f t="shared" si="0"/>
        <v>30.000000000000011</v>
      </c>
      <c r="F34" s="14">
        <v>1</v>
      </c>
      <c r="G34" s="6">
        <f t="shared" si="1"/>
        <v>30</v>
      </c>
    </row>
    <row r="35" spans="2:7" x14ac:dyDescent="0.3">
      <c r="B35" s="6">
        <v>31</v>
      </c>
      <c r="C35" s="13">
        <f>Overview!F35</f>
        <v>0.31000000000000011</v>
      </c>
      <c r="D35" s="6">
        <f>Overview!E35</f>
        <v>0.01</v>
      </c>
      <c r="E35" s="6">
        <f t="shared" si="0"/>
        <v>31.000000000000011</v>
      </c>
      <c r="F35" s="14">
        <v>1</v>
      </c>
      <c r="G35" s="6">
        <f t="shared" si="1"/>
        <v>31</v>
      </c>
    </row>
    <row r="36" spans="2:7" x14ac:dyDescent="0.3">
      <c r="B36" s="6">
        <v>32</v>
      </c>
      <c r="C36" s="13">
        <f>Overview!F36</f>
        <v>0.32000000000000012</v>
      </c>
      <c r="D36" s="6">
        <f>Overview!E36</f>
        <v>0.01</v>
      </c>
      <c r="E36" s="6">
        <f t="shared" si="0"/>
        <v>32.000000000000014</v>
      </c>
      <c r="F36" s="14">
        <v>1</v>
      </c>
      <c r="G36" s="6">
        <f t="shared" si="1"/>
        <v>32</v>
      </c>
    </row>
    <row r="37" spans="2:7" x14ac:dyDescent="0.3">
      <c r="B37" s="6">
        <v>33</v>
      </c>
      <c r="C37" s="13">
        <f>Overview!F37</f>
        <v>0.33000000000000013</v>
      </c>
      <c r="D37" s="6">
        <f>Overview!E37</f>
        <v>0.01</v>
      </c>
      <c r="E37" s="6">
        <f t="shared" si="0"/>
        <v>33.000000000000014</v>
      </c>
      <c r="F37" s="14">
        <v>1</v>
      </c>
      <c r="G37" s="6">
        <f t="shared" si="1"/>
        <v>33</v>
      </c>
    </row>
    <row r="38" spans="2:7" x14ac:dyDescent="0.3">
      <c r="B38" s="6">
        <v>34</v>
      </c>
      <c r="C38" s="13">
        <f>Overview!F38</f>
        <v>0.34000000000000014</v>
      </c>
      <c r="D38" s="6">
        <f>Overview!E38</f>
        <v>0.01</v>
      </c>
      <c r="E38" s="6">
        <f t="shared" si="0"/>
        <v>34.000000000000014</v>
      </c>
      <c r="F38" s="14">
        <v>1</v>
      </c>
      <c r="G38" s="6">
        <f t="shared" si="1"/>
        <v>34</v>
      </c>
    </row>
    <row r="39" spans="2:7" x14ac:dyDescent="0.3">
      <c r="B39" s="6">
        <v>35</v>
      </c>
      <c r="C39" s="13">
        <f>Overview!F39</f>
        <v>0.35000000000000014</v>
      </c>
      <c r="D39" s="6">
        <f>Overview!E39</f>
        <v>0.01</v>
      </c>
      <c r="E39" s="6">
        <f t="shared" si="0"/>
        <v>35.000000000000014</v>
      </c>
      <c r="F39" s="14">
        <v>1</v>
      </c>
      <c r="G39" s="6">
        <f t="shared" si="1"/>
        <v>35</v>
      </c>
    </row>
    <row r="40" spans="2:7" x14ac:dyDescent="0.3">
      <c r="B40" s="6">
        <v>36</v>
      </c>
      <c r="C40" s="13">
        <f>Overview!F40</f>
        <v>0.36000000000000015</v>
      </c>
      <c r="D40" s="6">
        <f>Overview!E40</f>
        <v>0.01</v>
      </c>
      <c r="E40" s="6">
        <f t="shared" si="0"/>
        <v>36.000000000000014</v>
      </c>
      <c r="F40" s="14">
        <v>1</v>
      </c>
      <c r="G40" s="6">
        <f t="shared" si="1"/>
        <v>36</v>
      </c>
    </row>
    <row r="41" spans="2:7" x14ac:dyDescent="0.3">
      <c r="B41" s="6">
        <v>37</v>
      </c>
      <c r="C41" s="13">
        <f>Overview!F41</f>
        <v>0.37000000000000016</v>
      </c>
      <c r="D41" s="6">
        <f>Overview!E41</f>
        <v>0.01</v>
      </c>
      <c r="E41" s="6">
        <f t="shared" si="0"/>
        <v>37.000000000000014</v>
      </c>
      <c r="F41" s="14">
        <v>1</v>
      </c>
      <c r="G41" s="6">
        <f t="shared" si="1"/>
        <v>37</v>
      </c>
    </row>
    <row r="42" spans="2:7" x14ac:dyDescent="0.3">
      <c r="B42" s="6">
        <v>38</v>
      </c>
      <c r="C42" s="13">
        <f>Overview!F42</f>
        <v>0.38000000000000017</v>
      </c>
      <c r="D42" s="6">
        <f>Overview!E42</f>
        <v>0.01</v>
      </c>
      <c r="E42" s="6">
        <f t="shared" si="0"/>
        <v>38.000000000000014</v>
      </c>
      <c r="F42" s="14">
        <v>1</v>
      </c>
      <c r="G42" s="6">
        <f t="shared" si="1"/>
        <v>38</v>
      </c>
    </row>
    <row r="43" spans="2:7" x14ac:dyDescent="0.3">
      <c r="B43" s="6">
        <v>39</v>
      </c>
      <c r="C43" s="13">
        <f>Overview!F43</f>
        <v>0.39000000000000018</v>
      </c>
      <c r="D43" s="6">
        <f>Overview!E43</f>
        <v>0.01</v>
      </c>
      <c r="E43" s="6">
        <f t="shared" si="0"/>
        <v>39.000000000000021</v>
      </c>
      <c r="F43" s="14">
        <v>1</v>
      </c>
      <c r="G43" s="6">
        <f t="shared" si="1"/>
        <v>39</v>
      </c>
    </row>
    <row r="44" spans="2:7" x14ac:dyDescent="0.3">
      <c r="B44" s="6">
        <v>40</v>
      </c>
      <c r="C44" s="13">
        <f>Overview!F44</f>
        <v>0.40000000000000019</v>
      </c>
      <c r="D44" s="6">
        <f>Overview!E44</f>
        <v>0.01</v>
      </c>
      <c r="E44" s="6">
        <f t="shared" si="0"/>
        <v>40.000000000000021</v>
      </c>
      <c r="F44" s="14">
        <v>1</v>
      </c>
      <c r="G44" s="6">
        <f t="shared" si="1"/>
        <v>40</v>
      </c>
    </row>
    <row r="45" spans="2:7" x14ac:dyDescent="0.3">
      <c r="B45" s="6">
        <v>41</v>
      </c>
      <c r="C45" s="13">
        <f>Overview!F45</f>
        <v>0.4100000000000002</v>
      </c>
      <c r="D45" s="6">
        <f>Overview!E45</f>
        <v>0.01</v>
      </c>
      <c r="E45" s="6">
        <f t="shared" si="0"/>
        <v>41.000000000000021</v>
      </c>
      <c r="F45" s="14">
        <v>1</v>
      </c>
      <c r="G45" s="6">
        <f t="shared" si="1"/>
        <v>41</v>
      </c>
    </row>
    <row r="46" spans="2:7" x14ac:dyDescent="0.3">
      <c r="B46" s="6">
        <v>42</v>
      </c>
      <c r="C46" s="13">
        <f>Overview!F46</f>
        <v>0.42000000000000021</v>
      </c>
      <c r="D46" s="6">
        <f>Overview!E46</f>
        <v>0.01</v>
      </c>
      <c r="E46" s="6">
        <f t="shared" si="0"/>
        <v>42.000000000000021</v>
      </c>
      <c r="F46" s="14">
        <v>1</v>
      </c>
      <c r="G46" s="6">
        <f t="shared" si="1"/>
        <v>42</v>
      </c>
    </row>
    <row r="47" spans="2:7" x14ac:dyDescent="0.3">
      <c r="B47" s="6">
        <v>43</v>
      </c>
      <c r="C47" s="13">
        <f>Overview!F47</f>
        <v>0.43000000000000022</v>
      </c>
      <c r="D47" s="6">
        <f>Overview!E47</f>
        <v>0.01</v>
      </c>
      <c r="E47" s="6">
        <f t="shared" si="0"/>
        <v>43.000000000000021</v>
      </c>
      <c r="F47" s="14">
        <v>1</v>
      </c>
      <c r="G47" s="6">
        <f t="shared" si="1"/>
        <v>43</v>
      </c>
    </row>
    <row r="48" spans="2:7" x14ac:dyDescent="0.3">
      <c r="B48" s="6">
        <v>44</v>
      </c>
      <c r="C48" s="13">
        <f>Overview!F48</f>
        <v>0.44000000000000022</v>
      </c>
      <c r="D48" s="6">
        <f>Overview!E48</f>
        <v>0.01</v>
      </c>
      <c r="E48" s="6">
        <f t="shared" si="0"/>
        <v>44.000000000000021</v>
      </c>
      <c r="F48" s="14">
        <v>1</v>
      </c>
      <c r="G48" s="6">
        <f t="shared" si="1"/>
        <v>44</v>
      </c>
    </row>
    <row r="49" spans="2:7" x14ac:dyDescent="0.3">
      <c r="B49" s="6">
        <v>45</v>
      </c>
      <c r="C49" s="13">
        <f>Overview!F49</f>
        <v>0.45000000000000023</v>
      </c>
      <c r="D49" s="6">
        <f>Overview!E49</f>
        <v>0.01</v>
      </c>
      <c r="E49" s="6">
        <f t="shared" si="0"/>
        <v>45.000000000000021</v>
      </c>
      <c r="F49" s="14">
        <v>1</v>
      </c>
      <c r="G49" s="6">
        <f t="shared" si="1"/>
        <v>45</v>
      </c>
    </row>
    <row r="50" spans="2:7" x14ac:dyDescent="0.3">
      <c r="B50" s="6">
        <v>46</v>
      </c>
      <c r="C50" s="13">
        <f>Overview!F50</f>
        <v>0.46000000000000024</v>
      </c>
      <c r="D50" s="6">
        <f>Overview!E50</f>
        <v>0.01</v>
      </c>
      <c r="E50" s="6">
        <f t="shared" si="0"/>
        <v>46.000000000000021</v>
      </c>
      <c r="F50" s="14">
        <v>1</v>
      </c>
      <c r="G50" s="6">
        <f t="shared" si="1"/>
        <v>46</v>
      </c>
    </row>
    <row r="51" spans="2:7" x14ac:dyDescent="0.3">
      <c r="B51" s="6">
        <v>47</v>
      </c>
      <c r="C51" s="13">
        <f>Overview!F51</f>
        <v>0.47000000000000025</v>
      </c>
      <c r="D51" s="6">
        <f>Overview!E51</f>
        <v>0.01</v>
      </c>
      <c r="E51" s="6">
        <f t="shared" si="0"/>
        <v>47.000000000000028</v>
      </c>
      <c r="F51" s="14">
        <v>1</v>
      </c>
      <c r="G51" s="6">
        <f t="shared" si="1"/>
        <v>47</v>
      </c>
    </row>
    <row r="52" spans="2:7" x14ac:dyDescent="0.3">
      <c r="B52" s="6">
        <v>48</v>
      </c>
      <c r="C52" s="13">
        <f>Overview!F52</f>
        <v>0.48000000000000026</v>
      </c>
      <c r="D52" s="6">
        <f>Overview!E52</f>
        <v>0.01</v>
      </c>
      <c r="E52" s="6">
        <f t="shared" si="0"/>
        <v>48.000000000000028</v>
      </c>
      <c r="F52" s="14">
        <v>1</v>
      </c>
      <c r="G52" s="6">
        <f t="shared" si="1"/>
        <v>48</v>
      </c>
    </row>
    <row r="53" spans="2:7" x14ac:dyDescent="0.3">
      <c r="B53" s="6">
        <v>49</v>
      </c>
      <c r="C53" s="13">
        <f>Overview!F53</f>
        <v>0.49000000000000027</v>
      </c>
      <c r="D53" s="6">
        <f>Overview!E53</f>
        <v>0.01</v>
      </c>
      <c r="E53" s="6">
        <f t="shared" si="0"/>
        <v>49.000000000000028</v>
      </c>
      <c r="F53" s="14">
        <v>1</v>
      </c>
      <c r="G53" s="6">
        <f t="shared" si="1"/>
        <v>49</v>
      </c>
    </row>
    <row r="54" spans="2:7" x14ac:dyDescent="0.3">
      <c r="B54" s="6">
        <v>50</v>
      </c>
      <c r="C54" s="13">
        <f>Overview!F54</f>
        <v>0.50000000000000022</v>
      </c>
      <c r="D54" s="6">
        <f>Overview!E54</f>
        <v>0.01</v>
      </c>
      <c r="E54" s="6">
        <f t="shared" si="0"/>
        <v>50.000000000000021</v>
      </c>
      <c r="F54" s="14">
        <v>1</v>
      </c>
      <c r="G54" s="6">
        <f t="shared" si="1"/>
        <v>50</v>
      </c>
    </row>
    <row r="55" spans="2:7" x14ac:dyDescent="0.3">
      <c r="B55" s="6">
        <v>51</v>
      </c>
      <c r="C55" s="13">
        <f>Overview!F55</f>
        <v>0.51000000000000023</v>
      </c>
      <c r="D55" s="6">
        <f>Overview!E55</f>
        <v>0.01</v>
      </c>
      <c r="E55" s="6">
        <f t="shared" si="0"/>
        <v>51.000000000000021</v>
      </c>
      <c r="F55" s="14">
        <v>1</v>
      </c>
      <c r="G55" s="6">
        <f t="shared" si="1"/>
        <v>51</v>
      </c>
    </row>
    <row r="56" spans="2:7" x14ac:dyDescent="0.3">
      <c r="B56" s="6">
        <v>52</v>
      </c>
      <c r="C56" s="13">
        <f>Overview!F56</f>
        <v>0.52000000000000024</v>
      </c>
      <c r="D56" s="6">
        <f>Overview!E56</f>
        <v>0.01</v>
      </c>
      <c r="E56" s="6">
        <f t="shared" si="0"/>
        <v>52.000000000000021</v>
      </c>
      <c r="F56" s="14">
        <v>1</v>
      </c>
      <c r="G56" s="6">
        <f t="shared" si="1"/>
        <v>52</v>
      </c>
    </row>
    <row r="57" spans="2:7" x14ac:dyDescent="0.3">
      <c r="B57" s="6">
        <v>53</v>
      </c>
      <c r="C57" s="13">
        <f>Overview!F57</f>
        <v>0.53000000000000025</v>
      </c>
      <c r="D57" s="6">
        <f>Overview!E57</f>
        <v>0.01</v>
      </c>
      <c r="E57" s="6">
        <f t="shared" si="0"/>
        <v>53.000000000000028</v>
      </c>
      <c r="F57" s="14">
        <v>1</v>
      </c>
      <c r="G57" s="6">
        <f t="shared" si="1"/>
        <v>53</v>
      </c>
    </row>
    <row r="58" spans="2:7" x14ac:dyDescent="0.3">
      <c r="B58" s="6">
        <v>54</v>
      </c>
      <c r="C58" s="13">
        <f>Overview!F58</f>
        <v>0.54000000000000026</v>
      </c>
      <c r="D58" s="6">
        <f>Overview!E58</f>
        <v>0.01</v>
      </c>
      <c r="E58" s="6">
        <f t="shared" si="0"/>
        <v>54.000000000000028</v>
      </c>
      <c r="F58" s="14">
        <v>1</v>
      </c>
      <c r="G58" s="6">
        <f t="shared" si="1"/>
        <v>54</v>
      </c>
    </row>
    <row r="59" spans="2:7" x14ac:dyDescent="0.3">
      <c r="B59" s="6">
        <v>55</v>
      </c>
      <c r="C59" s="13">
        <f>Overview!F59</f>
        <v>0.55000000000000027</v>
      </c>
      <c r="D59" s="6">
        <f>Overview!E59</f>
        <v>0.01</v>
      </c>
      <c r="E59" s="6">
        <f t="shared" si="0"/>
        <v>55.000000000000028</v>
      </c>
      <c r="F59" s="14">
        <v>1</v>
      </c>
      <c r="G59" s="6">
        <f t="shared" si="1"/>
        <v>55</v>
      </c>
    </row>
    <row r="60" spans="2:7" x14ac:dyDescent="0.3">
      <c r="B60" s="6">
        <v>56</v>
      </c>
      <c r="C60" s="13">
        <f>Overview!F60</f>
        <v>0.56000000000000028</v>
      </c>
      <c r="D60" s="6">
        <f>Overview!E60</f>
        <v>0.01</v>
      </c>
      <c r="E60" s="6">
        <f t="shared" si="0"/>
        <v>56.000000000000028</v>
      </c>
      <c r="F60" s="14">
        <v>1</v>
      </c>
      <c r="G60" s="6">
        <f t="shared" si="1"/>
        <v>56</v>
      </c>
    </row>
    <row r="61" spans="2:7" x14ac:dyDescent="0.3">
      <c r="B61" s="6">
        <v>57</v>
      </c>
      <c r="C61" s="13">
        <f>Overview!F61</f>
        <v>0.57000000000000028</v>
      </c>
      <c r="D61" s="6">
        <f>Overview!E61</f>
        <v>0.01</v>
      </c>
      <c r="E61" s="6">
        <f t="shared" si="0"/>
        <v>57.000000000000028</v>
      </c>
      <c r="F61" s="14">
        <v>1</v>
      </c>
      <c r="G61" s="6">
        <f t="shared" si="1"/>
        <v>57</v>
      </c>
    </row>
    <row r="62" spans="2:7" x14ac:dyDescent="0.3">
      <c r="B62" s="6">
        <v>58</v>
      </c>
      <c r="C62" s="13">
        <f>Overview!F62</f>
        <v>0.58000000000000029</v>
      </c>
      <c r="D62" s="6">
        <f>Overview!E62</f>
        <v>0.01</v>
      </c>
      <c r="E62" s="6">
        <f t="shared" si="0"/>
        <v>58.000000000000028</v>
      </c>
      <c r="F62" s="14">
        <v>1</v>
      </c>
      <c r="G62" s="6">
        <f t="shared" si="1"/>
        <v>58</v>
      </c>
    </row>
    <row r="63" spans="2:7" x14ac:dyDescent="0.3">
      <c r="B63" s="6">
        <v>59</v>
      </c>
      <c r="C63" s="13">
        <f>Overview!F63</f>
        <v>0.5900000000000003</v>
      </c>
      <c r="D63" s="6">
        <f>Overview!E63</f>
        <v>0.01</v>
      </c>
      <c r="E63" s="6">
        <f t="shared" si="0"/>
        <v>59.000000000000028</v>
      </c>
      <c r="F63" s="14">
        <v>1</v>
      </c>
      <c r="G63" s="6">
        <f t="shared" si="1"/>
        <v>59</v>
      </c>
    </row>
    <row r="64" spans="2:7" x14ac:dyDescent="0.3">
      <c r="B64" s="6">
        <v>60</v>
      </c>
      <c r="C64" s="13">
        <f>Overview!F64</f>
        <v>0.60000000000000031</v>
      </c>
      <c r="D64" s="6">
        <f>Overview!E64</f>
        <v>0.01</v>
      </c>
      <c r="E64" s="6">
        <f t="shared" si="0"/>
        <v>60.000000000000028</v>
      </c>
      <c r="F64" s="14">
        <v>1</v>
      </c>
      <c r="G64" s="6">
        <f t="shared" si="1"/>
        <v>60</v>
      </c>
    </row>
    <row r="65" spans="2:7" x14ac:dyDescent="0.3">
      <c r="B65" s="6">
        <v>61</v>
      </c>
      <c r="C65" s="13">
        <f>Overview!F65</f>
        <v>0.61000000000000032</v>
      </c>
      <c r="D65" s="6">
        <f>Overview!E65</f>
        <v>0.01</v>
      </c>
      <c r="E65" s="6">
        <f t="shared" si="0"/>
        <v>61.000000000000028</v>
      </c>
      <c r="F65" s="14">
        <v>1</v>
      </c>
      <c r="G65" s="6">
        <f t="shared" si="1"/>
        <v>61</v>
      </c>
    </row>
    <row r="66" spans="2:7" x14ac:dyDescent="0.3">
      <c r="B66" s="6">
        <v>62</v>
      </c>
      <c r="C66" s="13">
        <f>Overview!F66</f>
        <v>0.62000000000000033</v>
      </c>
      <c r="D66" s="6">
        <f>Overview!E66</f>
        <v>0.01</v>
      </c>
      <c r="E66" s="6">
        <f t="shared" si="0"/>
        <v>62.000000000000036</v>
      </c>
      <c r="F66" s="14">
        <v>1</v>
      </c>
      <c r="G66" s="6">
        <f t="shared" si="1"/>
        <v>62</v>
      </c>
    </row>
    <row r="67" spans="2:7" x14ac:dyDescent="0.3">
      <c r="B67" s="6">
        <v>63</v>
      </c>
      <c r="C67" s="13">
        <f>Overview!F67</f>
        <v>0.63000000000000034</v>
      </c>
      <c r="D67" s="6">
        <f>Overview!E67</f>
        <v>0.01</v>
      </c>
      <c r="E67" s="6">
        <f t="shared" si="0"/>
        <v>63.000000000000036</v>
      </c>
      <c r="F67" s="14">
        <v>1</v>
      </c>
      <c r="G67" s="6">
        <f t="shared" si="1"/>
        <v>63</v>
      </c>
    </row>
    <row r="68" spans="2:7" x14ac:dyDescent="0.3">
      <c r="B68" s="6">
        <v>64</v>
      </c>
      <c r="C68" s="13">
        <f>Overview!F68</f>
        <v>0.65000000000000036</v>
      </c>
      <c r="D68" s="6">
        <f>Overview!E68</f>
        <v>0.02</v>
      </c>
      <c r="E68" s="6">
        <f t="shared" si="0"/>
        <v>65.000000000000028</v>
      </c>
      <c r="F68" s="14">
        <v>1</v>
      </c>
      <c r="G68" s="6">
        <f t="shared" si="1"/>
        <v>65</v>
      </c>
    </row>
    <row r="69" spans="2:7" x14ac:dyDescent="0.3">
      <c r="B69" s="6">
        <v>65</v>
      </c>
      <c r="C69" s="13">
        <f>Overview!F69</f>
        <v>0.67000000000000037</v>
      </c>
      <c r="D69" s="6">
        <f>Overview!E69</f>
        <v>0.02</v>
      </c>
      <c r="E69" s="6">
        <f t="shared" ref="E69:E132" si="2">C69*100</f>
        <v>67.000000000000043</v>
      </c>
      <c r="F69" s="14">
        <v>1</v>
      </c>
      <c r="G69" s="6">
        <f t="shared" ref="G69:G132" si="3">ROUND(E69/VLOOKUP(F69,$I$5:$M$16,4),0)</f>
        <v>67</v>
      </c>
    </row>
    <row r="70" spans="2:7" x14ac:dyDescent="0.3">
      <c r="B70" s="6">
        <v>66</v>
      </c>
      <c r="C70" s="13">
        <f>Overview!F70</f>
        <v>0.69000000000000039</v>
      </c>
      <c r="D70" s="6">
        <f>Overview!E70</f>
        <v>0.02</v>
      </c>
      <c r="E70" s="6">
        <f t="shared" si="2"/>
        <v>69.000000000000043</v>
      </c>
      <c r="F70" s="14">
        <v>1</v>
      </c>
      <c r="G70" s="6">
        <f t="shared" si="3"/>
        <v>69</v>
      </c>
    </row>
    <row r="71" spans="2:7" x14ac:dyDescent="0.3">
      <c r="B71" s="6">
        <v>67</v>
      </c>
      <c r="C71" s="13">
        <f>Overview!F71</f>
        <v>0.71000000000000041</v>
      </c>
      <c r="D71" s="6">
        <f>Overview!E71</f>
        <v>0.02</v>
      </c>
      <c r="E71" s="6">
        <f t="shared" si="2"/>
        <v>71.000000000000043</v>
      </c>
      <c r="F71" s="14">
        <v>1</v>
      </c>
      <c r="G71" s="6">
        <f t="shared" si="3"/>
        <v>71</v>
      </c>
    </row>
    <row r="72" spans="2:7" x14ac:dyDescent="0.3">
      <c r="B72" s="6">
        <v>68</v>
      </c>
      <c r="C72" s="13">
        <f>Overview!F72</f>
        <v>0.73000000000000043</v>
      </c>
      <c r="D72" s="6">
        <f>Overview!E72</f>
        <v>0.02</v>
      </c>
      <c r="E72" s="6">
        <f t="shared" si="2"/>
        <v>73.000000000000043</v>
      </c>
      <c r="F72" s="14">
        <v>1</v>
      </c>
      <c r="G72" s="6">
        <f t="shared" si="3"/>
        <v>73</v>
      </c>
    </row>
    <row r="73" spans="2:7" x14ac:dyDescent="0.3">
      <c r="B73" s="6">
        <v>69</v>
      </c>
      <c r="C73" s="13">
        <f>Overview!F73</f>
        <v>0.75000000000000044</v>
      </c>
      <c r="D73" s="6">
        <f>Overview!E73</f>
        <v>0.02</v>
      </c>
      <c r="E73" s="6">
        <f t="shared" si="2"/>
        <v>75.000000000000043</v>
      </c>
      <c r="F73" s="14">
        <v>1</v>
      </c>
      <c r="G73" s="6">
        <f t="shared" si="3"/>
        <v>75</v>
      </c>
    </row>
    <row r="74" spans="2:7" x14ac:dyDescent="0.3">
      <c r="B74" s="6">
        <v>70</v>
      </c>
      <c r="C74" s="13">
        <f>Overview!F74</f>
        <v>0.77000000000000046</v>
      </c>
      <c r="D74" s="6">
        <f>Overview!E74</f>
        <v>0.02</v>
      </c>
      <c r="E74" s="6">
        <f t="shared" si="2"/>
        <v>77.000000000000043</v>
      </c>
      <c r="F74" s="14">
        <v>1</v>
      </c>
      <c r="G74" s="6">
        <f t="shared" si="3"/>
        <v>77</v>
      </c>
    </row>
    <row r="75" spans="2:7" x14ac:dyDescent="0.3">
      <c r="B75" s="6">
        <v>71</v>
      </c>
      <c r="C75" s="13">
        <f>Overview!F75</f>
        <v>0.79000000000000048</v>
      </c>
      <c r="D75" s="6">
        <f>Overview!E75</f>
        <v>0.02</v>
      </c>
      <c r="E75" s="6">
        <f t="shared" si="2"/>
        <v>79.000000000000043</v>
      </c>
      <c r="F75" s="14">
        <v>1</v>
      </c>
      <c r="G75" s="6">
        <f t="shared" si="3"/>
        <v>79</v>
      </c>
    </row>
    <row r="76" spans="2:7" x14ac:dyDescent="0.3">
      <c r="B76" s="6">
        <v>72</v>
      </c>
      <c r="C76" s="13">
        <f>Overview!F76</f>
        <v>0.8100000000000005</v>
      </c>
      <c r="D76" s="6">
        <f>Overview!E76</f>
        <v>0.02</v>
      </c>
      <c r="E76" s="6">
        <f t="shared" si="2"/>
        <v>81.000000000000057</v>
      </c>
      <c r="F76" s="14">
        <v>1</v>
      </c>
      <c r="G76" s="6">
        <f t="shared" si="3"/>
        <v>81</v>
      </c>
    </row>
    <row r="77" spans="2:7" x14ac:dyDescent="0.3">
      <c r="B77" s="6">
        <v>73</v>
      </c>
      <c r="C77" s="13">
        <f>Overview!F77</f>
        <v>0.83000000000000052</v>
      </c>
      <c r="D77" s="6">
        <f>Overview!E77</f>
        <v>0.02</v>
      </c>
      <c r="E77" s="6">
        <f t="shared" si="2"/>
        <v>83.000000000000057</v>
      </c>
      <c r="F77" s="14">
        <v>1</v>
      </c>
      <c r="G77" s="6">
        <f t="shared" si="3"/>
        <v>83</v>
      </c>
    </row>
    <row r="78" spans="2:7" x14ac:dyDescent="0.3">
      <c r="B78" s="6">
        <v>74</v>
      </c>
      <c r="C78" s="13">
        <f>Overview!F78</f>
        <v>0.86000000000000054</v>
      </c>
      <c r="D78" s="6">
        <f>Overview!E78</f>
        <v>0.03</v>
      </c>
      <c r="E78" s="6">
        <f t="shared" si="2"/>
        <v>86.000000000000057</v>
      </c>
      <c r="F78" s="14">
        <v>1</v>
      </c>
      <c r="G78" s="6">
        <f t="shared" si="3"/>
        <v>86</v>
      </c>
    </row>
    <row r="79" spans="2:7" x14ac:dyDescent="0.3">
      <c r="B79" s="6">
        <v>75</v>
      </c>
      <c r="C79" s="13">
        <f>Overview!F79</f>
        <v>0.89000000000000057</v>
      </c>
      <c r="D79" s="6">
        <f>Overview!E79</f>
        <v>0.03</v>
      </c>
      <c r="E79" s="6">
        <f t="shared" si="2"/>
        <v>89.000000000000057</v>
      </c>
      <c r="F79" s="14">
        <v>1</v>
      </c>
      <c r="G79" s="6">
        <f t="shared" si="3"/>
        <v>89</v>
      </c>
    </row>
    <row r="80" spans="2:7" x14ac:dyDescent="0.3">
      <c r="B80" s="6">
        <v>76</v>
      </c>
      <c r="C80" s="13">
        <f>Overview!F80</f>
        <v>0.9200000000000006</v>
      </c>
      <c r="D80" s="6">
        <f>Overview!E80</f>
        <v>0.03</v>
      </c>
      <c r="E80" s="6">
        <f t="shared" si="2"/>
        <v>92.000000000000057</v>
      </c>
      <c r="F80" s="14">
        <v>1</v>
      </c>
      <c r="G80" s="6">
        <f t="shared" si="3"/>
        <v>92</v>
      </c>
    </row>
    <row r="81" spans="2:7" x14ac:dyDescent="0.3">
      <c r="B81" s="6">
        <v>77</v>
      </c>
      <c r="C81" s="13">
        <f>Overview!F81</f>
        <v>0.95000000000000062</v>
      </c>
      <c r="D81" s="6">
        <f>Overview!E81</f>
        <v>0.03</v>
      </c>
      <c r="E81" s="6">
        <f t="shared" si="2"/>
        <v>95.000000000000057</v>
      </c>
      <c r="F81" s="14">
        <v>1</v>
      </c>
      <c r="G81" s="6">
        <f t="shared" si="3"/>
        <v>95</v>
      </c>
    </row>
    <row r="82" spans="2:7" x14ac:dyDescent="0.3">
      <c r="B82" s="6">
        <v>78</v>
      </c>
      <c r="C82" s="13">
        <f>Overview!F82</f>
        <v>0.99000000000000066</v>
      </c>
      <c r="D82" s="6">
        <f>Overview!E82</f>
        <v>0.04</v>
      </c>
      <c r="E82" s="6">
        <f t="shared" si="2"/>
        <v>99.000000000000071</v>
      </c>
      <c r="F82" s="14">
        <v>1</v>
      </c>
      <c r="G82" s="6">
        <f t="shared" si="3"/>
        <v>99</v>
      </c>
    </row>
    <row r="83" spans="2:7" x14ac:dyDescent="0.3">
      <c r="B83" s="6">
        <v>79</v>
      </c>
      <c r="C83" s="13">
        <f>Overview!F83</f>
        <v>1.0300000000000007</v>
      </c>
      <c r="D83" s="6">
        <f>Overview!E83</f>
        <v>0.04</v>
      </c>
      <c r="E83" s="6">
        <f t="shared" si="2"/>
        <v>103.00000000000007</v>
      </c>
      <c r="F83" s="14">
        <v>1</v>
      </c>
      <c r="G83" s="6">
        <f t="shared" si="3"/>
        <v>103</v>
      </c>
    </row>
    <row r="84" spans="2:7" x14ac:dyDescent="0.3">
      <c r="B84" s="6">
        <v>80</v>
      </c>
      <c r="C84" s="13">
        <f>Overview!F84</f>
        <v>1.0700000000000007</v>
      </c>
      <c r="D84" s="6">
        <f>Overview!E84</f>
        <v>0.04</v>
      </c>
      <c r="E84" s="6">
        <f t="shared" si="2"/>
        <v>107.00000000000007</v>
      </c>
      <c r="F84" s="14">
        <v>1</v>
      </c>
      <c r="G84" s="6">
        <f t="shared" si="3"/>
        <v>107</v>
      </c>
    </row>
    <row r="85" spans="2:7" x14ac:dyDescent="0.3">
      <c r="B85" s="6">
        <v>81</v>
      </c>
      <c r="C85" s="13">
        <f>Overview!F85</f>
        <v>1.1200000000000008</v>
      </c>
      <c r="D85" s="6">
        <f>Overview!E85</f>
        <v>0.05</v>
      </c>
      <c r="E85" s="6">
        <f t="shared" si="2"/>
        <v>112.00000000000007</v>
      </c>
      <c r="F85" s="14">
        <v>1</v>
      </c>
      <c r="G85" s="6">
        <f t="shared" si="3"/>
        <v>112</v>
      </c>
    </row>
    <row r="86" spans="2:7" x14ac:dyDescent="0.3">
      <c r="B86" s="6">
        <v>82</v>
      </c>
      <c r="C86" s="13">
        <f>Overview!F86</f>
        <v>1.1700000000000008</v>
      </c>
      <c r="D86" s="6">
        <f>Overview!E86</f>
        <v>0.05</v>
      </c>
      <c r="E86" s="6">
        <f t="shared" si="2"/>
        <v>117.00000000000009</v>
      </c>
      <c r="F86" s="14">
        <v>1</v>
      </c>
      <c r="G86" s="6">
        <f t="shared" si="3"/>
        <v>117</v>
      </c>
    </row>
    <row r="87" spans="2:7" x14ac:dyDescent="0.3">
      <c r="B87" s="6">
        <v>83</v>
      </c>
      <c r="C87" s="13">
        <f>Overview!F87</f>
        <v>1.2300000000000009</v>
      </c>
      <c r="D87" s="6">
        <f>Overview!E87</f>
        <v>0.06</v>
      </c>
      <c r="E87" s="6">
        <f t="shared" si="2"/>
        <v>123.00000000000009</v>
      </c>
      <c r="F87" s="14">
        <v>1</v>
      </c>
      <c r="G87" s="6">
        <f t="shared" si="3"/>
        <v>123</v>
      </c>
    </row>
    <row r="88" spans="2:7" x14ac:dyDescent="0.3">
      <c r="B88" s="6">
        <v>84</v>
      </c>
      <c r="C88" s="13">
        <f>Overview!F88</f>
        <v>1.2900000000000009</v>
      </c>
      <c r="D88" s="6">
        <f>Overview!E88</f>
        <v>0.06</v>
      </c>
      <c r="E88" s="6">
        <f t="shared" si="2"/>
        <v>129.00000000000009</v>
      </c>
      <c r="F88" s="14">
        <v>1</v>
      </c>
      <c r="G88" s="6">
        <f t="shared" si="3"/>
        <v>129</v>
      </c>
    </row>
    <row r="89" spans="2:7" x14ac:dyDescent="0.3">
      <c r="B89" s="6">
        <v>85</v>
      </c>
      <c r="C89" s="13">
        <f>Overview!F89</f>
        <v>1.360000000000001</v>
      </c>
      <c r="D89" s="6">
        <f>Overview!E89</f>
        <v>7.0000000000000007E-2</v>
      </c>
      <c r="E89" s="6">
        <f t="shared" si="2"/>
        <v>136.00000000000009</v>
      </c>
      <c r="F89" s="14">
        <v>1</v>
      </c>
      <c r="G89" s="6">
        <f t="shared" si="3"/>
        <v>136</v>
      </c>
    </row>
    <row r="90" spans="2:7" x14ac:dyDescent="0.3">
      <c r="B90" s="6">
        <v>86</v>
      </c>
      <c r="C90" s="13">
        <f>Overview!F90</f>
        <v>1.430000000000001</v>
      </c>
      <c r="D90" s="6">
        <f>Overview!E90</f>
        <v>7.0000000000000007E-2</v>
      </c>
      <c r="E90" s="6">
        <f t="shared" si="2"/>
        <v>143.00000000000011</v>
      </c>
      <c r="F90" s="14">
        <v>1</v>
      </c>
      <c r="G90" s="6">
        <f t="shared" si="3"/>
        <v>143</v>
      </c>
    </row>
    <row r="91" spans="2:7" x14ac:dyDescent="0.3">
      <c r="B91" s="6">
        <v>87</v>
      </c>
      <c r="C91" s="13">
        <f>Overview!F91</f>
        <v>1.5100000000000011</v>
      </c>
      <c r="D91" s="6">
        <f>Overview!E91</f>
        <v>0.08</v>
      </c>
      <c r="E91" s="6">
        <f t="shared" si="2"/>
        <v>151.00000000000011</v>
      </c>
      <c r="F91" s="14">
        <v>1</v>
      </c>
      <c r="G91" s="6">
        <f t="shared" si="3"/>
        <v>151</v>
      </c>
    </row>
    <row r="92" spans="2:7" x14ac:dyDescent="0.3">
      <c r="B92" s="6">
        <v>88</v>
      </c>
      <c r="C92" s="13">
        <f>Overview!F92</f>
        <v>1.5900000000000012</v>
      </c>
      <c r="D92" s="6">
        <f>Overview!E92</f>
        <v>0.08</v>
      </c>
      <c r="E92" s="6">
        <f t="shared" si="2"/>
        <v>159.00000000000011</v>
      </c>
      <c r="F92" s="14">
        <v>1</v>
      </c>
      <c r="G92" s="6">
        <f t="shared" si="3"/>
        <v>159</v>
      </c>
    </row>
    <row r="93" spans="2:7" x14ac:dyDescent="0.3">
      <c r="B93" s="6">
        <v>89</v>
      </c>
      <c r="C93" s="13">
        <f>Overview!F93</f>
        <v>1.6800000000000013</v>
      </c>
      <c r="D93" s="6">
        <f>Overview!E93</f>
        <v>0.09</v>
      </c>
      <c r="E93" s="6">
        <f t="shared" si="2"/>
        <v>168.00000000000011</v>
      </c>
      <c r="F93" s="14">
        <v>1</v>
      </c>
      <c r="G93" s="6">
        <f t="shared" si="3"/>
        <v>168</v>
      </c>
    </row>
    <row r="94" spans="2:7" x14ac:dyDescent="0.3">
      <c r="B94" s="6">
        <v>90</v>
      </c>
      <c r="C94" s="13">
        <f>Overview!F94</f>
        <v>1.7700000000000014</v>
      </c>
      <c r="D94" s="6">
        <f>Overview!E94</f>
        <v>0.09</v>
      </c>
      <c r="E94" s="6">
        <f t="shared" si="2"/>
        <v>177.00000000000014</v>
      </c>
      <c r="F94" s="14">
        <v>1</v>
      </c>
      <c r="G94" s="6">
        <f t="shared" si="3"/>
        <v>177</v>
      </c>
    </row>
    <row r="95" spans="2:7" x14ac:dyDescent="0.3">
      <c r="B95" s="6">
        <v>91</v>
      </c>
      <c r="C95" s="13">
        <f>Overview!F95</f>
        <v>1.8700000000000014</v>
      </c>
      <c r="D95" s="6">
        <f>Overview!E95</f>
        <v>0.1</v>
      </c>
      <c r="E95" s="6">
        <f t="shared" si="2"/>
        <v>187.00000000000014</v>
      </c>
      <c r="F95" s="14">
        <v>1</v>
      </c>
      <c r="G95" s="6">
        <f t="shared" si="3"/>
        <v>187</v>
      </c>
    </row>
    <row r="96" spans="2:7" x14ac:dyDescent="0.3">
      <c r="B96" s="6">
        <v>92</v>
      </c>
      <c r="C96" s="13">
        <f>Overview!F96</f>
        <v>1.9700000000000015</v>
      </c>
      <c r="D96" s="6">
        <f>Overview!E96</f>
        <v>0.1</v>
      </c>
      <c r="E96" s="6">
        <f t="shared" si="2"/>
        <v>197.00000000000014</v>
      </c>
      <c r="F96" s="14">
        <v>1</v>
      </c>
      <c r="G96" s="6">
        <f t="shared" si="3"/>
        <v>197</v>
      </c>
    </row>
    <row r="97" spans="2:7" x14ac:dyDescent="0.3">
      <c r="B97" s="6">
        <v>93</v>
      </c>
      <c r="C97" s="13">
        <f>Overview!F97</f>
        <v>2.0700000000000016</v>
      </c>
      <c r="D97" s="6">
        <f>Overview!E97</f>
        <v>0.1</v>
      </c>
      <c r="E97" s="6">
        <f t="shared" si="2"/>
        <v>207.00000000000017</v>
      </c>
      <c r="F97" s="14">
        <v>1</v>
      </c>
      <c r="G97" s="6">
        <f t="shared" si="3"/>
        <v>207</v>
      </c>
    </row>
    <row r="98" spans="2:7" x14ac:dyDescent="0.3">
      <c r="B98" s="6">
        <v>94</v>
      </c>
      <c r="C98" s="13">
        <f>Overview!F98</f>
        <v>2.2200000000000015</v>
      </c>
      <c r="D98" s="6">
        <f>Overview!E98</f>
        <v>0.15</v>
      </c>
      <c r="E98" s="6">
        <f t="shared" si="2"/>
        <v>222.00000000000014</v>
      </c>
      <c r="F98" s="14">
        <v>1</v>
      </c>
      <c r="G98" s="6">
        <f t="shared" si="3"/>
        <v>222</v>
      </c>
    </row>
    <row r="99" spans="2:7" x14ac:dyDescent="0.3">
      <c r="B99" s="6">
        <v>95</v>
      </c>
      <c r="C99" s="13">
        <f>Overview!F99</f>
        <v>2.3700000000000014</v>
      </c>
      <c r="D99" s="6">
        <f>Overview!E99</f>
        <v>0.15</v>
      </c>
      <c r="E99" s="6">
        <f t="shared" si="2"/>
        <v>237.00000000000014</v>
      </c>
      <c r="F99" s="14">
        <v>1</v>
      </c>
      <c r="G99" s="6">
        <f t="shared" si="3"/>
        <v>237</v>
      </c>
    </row>
    <row r="100" spans="2:7" x14ac:dyDescent="0.3">
      <c r="B100" s="6">
        <v>96</v>
      </c>
      <c r="C100" s="13">
        <f>Overview!F100</f>
        <v>2.5200000000000014</v>
      </c>
      <c r="D100" s="6">
        <f>Overview!E100</f>
        <v>0.15</v>
      </c>
      <c r="E100" s="6">
        <f t="shared" si="2"/>
        <v>252.00000000000014</v>
      </c>
      <c r="F100" s="14">
        <v>1</v>
      </c>
      <c r="G100" s="6">
        <f t="shared" si="3"/>
        <v>252</v>
      </c>
    </row>
    <row r="101" spans="2:7" x14ac:dyDescent="0.3">
      <c r="B101" s="6">
        <v>97</v>
      </c>
      <c r="C101" s="30">
        <f>Overview!F101</f>
        <v>2.7200000000000015</v>
      </c>
      <c r="D101" s="6">
        <f>Overview!E101</f>
        <v>0.2</v>
      </c>
      <c r="E101" s="6">
        <f t="shared" si="2"/>
        <v>272.00000000000017</v>
      </c>
      <c r="F101" s="16">
        <v>2</v>
      </c>
      <c r="G101" s="6">
        <f t="shared" si="3"/>
        <v>27</v>
      </c>
    </row>
    <row r="102" spans="2:7" x14ac:dyDescent="0.3">
      <c r="B102" s="6">
        <v>98</v>
      </c>
      <c r="C102" s="30">
        <f>Overview!F102</f>
        <v>2.9200000000000017</v>
      </c>
      <c r="D102" s="6">
        <f>Overview!E102</f>
        <v>0.2</v>
      </c>
      <c r="E102" s="6">
        <f t="shared" si="2"/>
        <v>292.00000000000017</v>
      </c>
      <c r="F102" s="16">
        <v>2</v>
      </c>
      <c r="G102" s="6">
        <f t="shared" si="3"/>
        <v>29</v>
      </c>
    </row>
    <row r="103" spans="2:7" x14ac:dyDescent="0.3">
      <c r="B103" s="6">
        <v>99</v>
      </c>
      <c r="C103" s="30">
        <f>Overview!F103</f>
        <v>3.1200000000000019</v>
      </c>
      <c r="D103" s="6">
        <f>Overview!E103</f>
        <v>0.2</v>
      </c>
      <c r="E103" s="6">
        <f t="shared" si="2"/>
        <v>312.00000000000017</v>
      </c>
      <c r="F103" s="16">
        <v>2</v>
      </c>
      <c r="G103" s="6">
        <f t="shared" si="3"/>
        <v>31</v>
      </c>
    </row>
    <row r="104" spans="2:7" x14ac:dyDescent="0.3">
      <c r="B104" s="6">
        <v>100</v>
      </c>
      <c r="C104" s="30">
        <f>Overview!F104</f>
        <v>3.3400000000000021</v>
      </c>
      <c r="D104" s="6">
        <f>Overview!E104</f>
        <v>0.22</v>
      </c>
      <c r="E104" s="6">
        <f t="shared" si="2"/>
        <v>334.00000000000023</v>
      </c>
      <c r="F104" s="16">
        <v>2</v>
      </c>
      <c r="G104" s="6">
        <f t="shared" si="3"/>
        <v>33</v>
      </c>
    </row>
    <row r="105" spans="2:7" x14ac:dyDescent="0.3">
      <c r="B105" s="6">
        <v>101</v>
      </c>
      <c r="C105" s="30">
        <f>Overview!F105</f>
        <v>3.5800000000000018</v>
      </c>
      <c r="D105" s="6">
        <f>Overview!E105</f>
        <v>0.24</v>
      </c>
      <c r="E105" s="6">
        <f t="shared" si="2"/>
        <v>358.00000000000017</v>
      </c>
      <c r="F105" s="16">
        <v>2</v>
      </c>
      <c r="G105" s="6">
        <f t="shared" si="3"/>
        <v>36</v>
      </c>
    </row>
    <row r="106" spans="2:7" x14ac:dyDescent="0.3">
      <c r="B106" s="6">
        <v>102</v>
      </c>
      <c r="C106" s="30">
        <f>Overview!F106</f>
        <v>3.8400000000000016</v>
      </c>
      <c r="D106" s="6">
        <f>Overview!E106</f>
        <v>0.26</v>
      </c>
      <c r="E106" s="6">
        <f t="shared" si="2"/>
        <v>384.00000000000017</v>
      </c>
      <c r="F106" s="16">
        <v>2</v>
      </c>
      <c r="G106" s="6">
        <f t="shared" si="3"/>
        <v>38</v>
      </c>
    </row>
    <row r="107" spans="2:7" x14ac:dyDescent="0.3">
      <c r="B107" s="6">
        <v>103</v>
      </c>
      <c r="C107" s="30">
        <f>Overview!F107</f>
        <v>4.1200000000000019</v>
      </c>
      <c r="D107" s="6">
        <f>Overview!E107</f>
        <v>0.28000000000000003</v>
      </c>
      <c r="E107" s="6">
        <f t="shared" si="2"/>
        <v>412.00000000000017</v>
      </c>
      <c r="F107" s="16">
        <v>2</v>
      </c>
      <c r="G107" s="6">
        <f t="shared" si="3"/>
        <v>41</v>
      </c>
    </row>
    <row r="108" spans="2:7" x14ac:dyDescent="0.3">
      <c r="B108" s="6">
        <v>104</v>
      </c>
      <c r="C108" s="30">
        <f>Overview!F108</f>
        <v>4.4200000000000017</v>
      </c>
      <c r="D108" s="6">
        <f>Overview!E108</f>
        <v>0.3</v>
      </c>
      <c r="E108" s="6">
        <f t="shared" si="2"/>
        <v>442.00000000000017</v>
      </c>
      <c r="F108" s="16">
        <v>2</v>
      </c>
      <c r="G108" s="6">
        <f t="shared" si="3"/>
        <v>44</v>
      </c>
    </row>
    <row r="109" spans="2:7" x14ac:dyDescent="0.3">
      <c r="B109" s="6">
        <v>105</v>
      </c>
      <c r="C109" s="30">
        <f>Overview!F109</f>
        <v>4.740000000000002</v>
      </c>
      <c r="D109" s="6">
        <f>Overview!E109</f>
        <v>0.32</v>
      </c>
      <c r="E109" s="6">
        <f t="shared" si="2"/>
        <v>474.00000000000023</v>
      </c>
      <c r="F109" s="16">
        <v>2</v>
      </c>
      <c r="G109" s="6">
        <f t="shared" si="3"/>
        <v>47</v>
      </c>
    </row>
    <row r="110" spans="2:7" x14ac:dyDescent="0.3">
      <c r="B110" s="6">
        <v>106</v>
      </c>
      <c r="C110" s="30">
        <f>Overview!F110</f>
        <v>5.0800000000000018</v>
      </c>
      <c r="D110" s="6">
        <f>Overview!E110</f>
        <v>0.34</v>
      </c>
      <c r="E110" s="6">
        <f t="shared" si="2"/>
        <v>508.00000000000017</v>
      </c>
      <c r="F110" s="16">
        <v>2</v>
      </c>
      <c r="G110" s="6">
        <f t="shared" si="3"/>
        <v>51</v>
      </c>
    </row>
    <row r="111" spans="2:7" x14ac:dyDescent="0.3">
      <c r="B111" s="6">
        <v>107</v>
      </c>
      <c r="C111" s="30">
        <f>Overview!F111</f>
        <v>5.4400000000000022</v>
      </c>
      <c r="D111" s="6">
        <f>Overview!E111</f>
        <v>0.36</v>
      </c>
      <c r="E111" s="6">
        <f t="shared" si="2"/>
        <v>544.00000000000023</v>
      </c>
      <c r="F111" s="16">
        <v>2</v>
      </c>
      <c r="G111" s="6">
        <f t="shared" si="3"/>
        <v>54</v>
      </c>
    </row>
    <row r="112" spans="2:7" x14ac:dyDescent="0.3">
      <c r="B112" s="6">
        <v>108</v>
      </c>
      <c r="C112" s="30">
        <f>Overview!F112</f>
        <v>5.8200000000000021</v>
      </c>
      <c r="D112" s="6">
        <f>Overview!E112</f>
        <v>0.38</v>
      </c>
      <c r="E112" s="6">
        <f t="shared" si="2"/>
        <v>582.00000000000023</v>
      </c>
      <c r="F112" s="16">
        <v>2</v>
      </c>
      <c r="G112" s="6">
        <f t="shared" si="3"/>
        <v>58</v>
      </c>
    </row>
    <row r="113" spans="2:7" x14ac:dyDescent="0.3">
      <c r="B113" s="6">
        <v>109</v>
      </c>
      <c r="C113" s="30">
        <f>Overview!F113</f>
        <v>6.2200000000000024</v>
      </c>
      <c r="D113" s="6">
        <f>Overview!E113</f>
        <v>0.4</v>
      </c>
      <c r="E113" s="6">
        <f t="shared" si="2"/>
        <v>622.00000000000023</v>
      </c>
      <c r="F113" s="16">
        <v>2</v>
      </c>
      <c r="G113" s="6">
        <f t="shared" si="3"/>
        <v>62</v>
      </c>
    </row>
    <row r="114" spans="2:7" x14ac:dyDescent="0.3">
      <c r="B114" s="6">
        <v>110</v>
      </c>
      <c r="C114" s="30">
        <f>Overview!F114</f>
        <v>6.6400000000000023</v>
      </c>
      <c r="D114" s="6">
        <f>Overview!E114</f>
        <v>0.42</v>
      </c>
      <c r="E114" s="6">
        <f t="shared" si="2"/>
        <v>664.00000000000023</v>
      </c>
      <c r="F114" s="16">
        <v>2</v>
      </c>
      <c r="G114" s="6">
        <f t="shared" si="3"/>
        <v>66</v>
      </c>
    </row>
    <row r="115" spans="2:7" x14ac:dyDescent="0.3">
      <c r="B115" s="6">
        <v>111</v>
      </c>
      <c r="C115" s="30">
        <f>Overview!F115</f>
        <v>7.0800000000000027</v>
      </c>
      <c r="D115" s="6">
        <f>Overview!E115</f>
        <v>0.44</v>
      </c>
      <c r="E115" s="6">
        <f t="shared" si="2"/>
        <v>708.00000000000023</v>
      </c>
      <c r="F115" s="16">
        <v>2</v>
      </c>
      <c r="G115" s="6">
        <f t="shared" si="3"/>
        <v>71</v>
      </c>
    </row>
    <row r="116" spans="2:7" x14ac:dyDescent="0.3">
      <c r="B116" s="6">
        <v>112</v>
      </c>
      <c r="C116" s="30">
        <f>Overview!F116</f>
        <v>7.5400000000000027</v>
      </c>
      <c r="D116" s="6">
        <f>Overview!E116</f>
        <v>0.46</v>
      </c>
      <c r="E116" s="6">
        <f t="shared" si="2"/>
        <v>754.00000000000023</v>
      </c>
      <c r="F116" s="16">
        <v>2</v>
      </c>
      <c r="G116" s="6">
        <f t="shared" si="3"/>
        <v>75</v>
      </c>
    </row>
    <row r="117" spans="2:7" x14ac:dyDescent="0.3">
      <c r="B117" s="6">
        <v>113</v>
      </c>
      <c r="C117" s="30">
        <f>Overview!F117</f>
        <v>8.0200000000000031</v>
      </c>
      <c r="D117" s="6">
        <f>Overview!E117</f>
        <v>0.48</v>
      </c>
      <c r="E117" s="6">
        <f t="shared" si="2"/>
        <v>802.00000000000034</v>
      </c>
      <c r="F117" s="16">
        <v>2</v>
      </c>
      <c r="G117" s="6">
        <f t="shared" si="3"/>
        <v>80</v>
      </c>
    </row>
    <row r="118" spans="2:7" x14ac:dyDescent="0.3">
      <c r="B118" s="6">
        <v>114</v>
      </c>
      <c r="C118" s="30">
        <f>Overview!F118</f>
        <v>8.5200000000000031</v>
      </c>
      <c r="D118" s="6">
        <f>Overview!E118</f>
        <v>0.5</v>
      </c>
      <c r="E118" s="6">
        <f t="shared" si="2"/>
        <v>852.00000000000034</v>
      </c>
      <c r="F118" s="16">
        <v>2</v>
      </c>
      <c r="G118" s="6">
        <f t="shared" si="3"/>
        <v>85</v>
      </c>
    </row>
    <row r="119" spans="2:7" x14ac:dyDescent="0.3">
      <c r="B119" s="6">
        <v>115</v>
      </c>
      <c r="C119" s="30">
        <f>Overview!F119</f>
        <v>9.0400000000000027</v>
      </c>
      <c r="D119" s="6">
        <f>Overview!E119</f>
        <v>0.52</v>
      </c>
      <c r="E119" s="6">
        <f t="shared" si="2"/>
        <v>904.00000000000023</v>
      </c>
      <c r="F119" s="16">
        <v>2</v>
      </c>
      <c r="G119" s="6">
        <f t="shared" si="3"/>
        <v>90</v>
      </c>
    </row>
    <row r="120" spans="2:7" x14ac:dyDescent="0.3">
      <c r="B120" s="6">
        <v>116</v>
      </c>
      <c r="C120" s="30">
        <f>Overview!F120</f>
        <v>9.5800000000000018</v>
      </c>
      <c r="D120" s="6">
        <f>Overview!E120</f>
        <v>0.54</v>
      </c>
      <c r="E120" s="6">
        <f t="shared" si="2"/>
        <v>958.00000000000023</v>
      </c>
      <c r="F120" s="16">
        <v>2</v>
      </c>
      <c r="G120" s="6">
        <f t="shared" si="3"/>
        <v>96</v>
      </c>
    </row>
    <row r="121" spans="2:7" x14ac:dyDescent="0.3">
      <c r="B121" s="6">
        <v>117</v>
      </c>
      <c r="C121" s="30">
        <f>Overview!F121</f>
        <v>10.140000000000002</v>
      </c>
      <c r="D121" s="6">
        <f>Overview!E121</f>
        <v>0.56000000000000005</v>
      </c>
      <c r="E121" s="6">
        <f t="shared" si="2"/>
        <v>1014.0000000000002</v>
      </c>
      <c r="F121" s="16">
        <v>2</v>
      </c>
      <c r="G121" s="6">
        <f t="shared" si="3"/>
        <v>101</v>
      </c>
    </row>
    <row r="122" spans="2:7" x14ac:dyDescent="0.3">
      <c r="B122" s="6">
        <v>118</v>
      </c>
      <c r="C122" s="30">
        <f>Overview!F122</f>
        <v>10.720000000000002</v>
      </c>
      <c r="D122" s="6">
        <f>Overview!E122</f>
        <v>0.57999999999999996</v>
      </c>
      <c r="E122" s="6">
        <f t="shared" si="2"/>
        <v>1072.0000000000002</v>
      </c>
      <c r="F122" s="16">
        <v>2</v>
      </c>
      <c r="G122" s="6">
        <f t="shared" si="3"/>
        <v>107</v>
      </c>
    </row>
    <row r="123" spans="2:7" x14ac:dyDescent="0.3">
      <c r="B123" s="6">
        <v>119</v>
      </c>
      <c r="C123" s="30">
        <f>Overview!F123</f>
        <v>11.320000000000002</v>
      </c>
      <c r="D123" s="6">
        <f>Overview!E123</f>
        <v>0.6</v>
      </c>
      <c r="E123" s="6">
        <f t="shared" si="2"/>
        <v>1132.0000000000002</v>
      </c>
      <c r="F123" s="16">
        <v>2</v>
      </c>
      <c r="G123" s="6">
        <f t="shared" si="3"/>
        <v>113</v>
      </c>
    </row>
    <row r="124" spans="2:7" x14ac:dyDescent="0.3">
      <c r="B124" s="6">
        <v>120</v>
      </c>
      <c r="C124" s="30">
        <f>Overview!F124</f>
        <v>11.940000000000001</v>
      </c>
      <c r="D124" s="6">
        <f>Overview!E124</f>
        <v>0.62</v>
      </c>
      <c r="E124" s="6">
        <f t="shared" si="2"/>
        <v>1194.0000000000002</v>
      </c>
      <c r="F124" s="16">
        <v>2</v>
      </c>
      <c r="G124" s="6">
        <f t="shared" si="3"/>
        <v>119</v>
      </c>
    </row>
    <row r="125" spans="2:7" x14ac:dyDescent="0.3">
      <c r="B125" s="6">
        <v>121</v>
      </c>
      <c r="C125" s="30">
        <f>Overview!F125</f>
        <v>12.580000000000002</v>
      </c>
      <c r="D125" s="6">
        <f>Overview!E125</f>
        <v>0.64</v>
      </c>
      <c r="E125" s="6">
        <f t="shared" si="2"/>
        <v>1258.0000000000002</v>
      </c>
      <c r="F125" s="16">
        <v>2</v>
      </c>
      <c r="G125" s="6">
        <f t="shared" si="3"/>
        <v>126</v>
      </c>
    </row>
    <row r="126" spans="2:7" x14ac:dyDescent="0.3">
      <c r="B126" s="6">
        <v>122</v>
      </c>
      <c r="C126" s="30">
        <f>Overview!F126</f>
        <v>13.240000000000002</v>
      </c>
      <c r="D126" s="6">
        <f>Overview!E126</f>
        <v>0.66</v>
      </c>
      <c r="E126" s="6">
        <f t="shared" si="2"/>
        <v>1324.0000000000002</v>
      </c>
      <c r="F126" s="16">
        <v>2</v>
      </c>
      <c r="G126" s="6">
        <f t="shared" si="3"/>
        <v>132</v>
      </c>
    </row>
    <row r="127" spans="2:7" x14ac:dyDescent="0.3">
      <c r="B127" s="6">
        <v>123</v>
      </c>
      <c r="C127" s="30">
        <f>Overview!F127</f>
        <v>13.920000000000002</v>
      </c>
      <c r="D127" s="6">
        <f>Overview!E127</f>
        <v>0.68</v>
      </c>
      <c r="E127" s="6">
        <f t="shared" si="2"/>
        <v>1392.0000000000002</v>
      </c>
      <c r="F127" s="16">
        <v>2</v>
      </c>
      <c r="G127" s="6">
        <f t="shared" si="3"/>
        <v>139</v>
      </c>
    </row>
    <row r="128" spans="2:7" x14ac:dyDescent="0.3">
      <c r="B128" s="6">
        <v>124</v>
      </c>
      <c r="C128" s="30">
        <f>Overview!F128</f>
        <v>14.620000000000001</v>
      </c>
      <c r="D128" s="6">
        <f>Overview!E128</f>
        <v>0.7</v>
      </c>
      <c r="E128" s="6">
        <f t="shared" si="2"/>
        <v>1462</v>
      </c>
      <c r="F128" s="16">
        <v>2</v>
      </c>
      <c r="G128" s="6">
        <f t="shared" si="3"/>
        <v>146</v>
      </c>
    </row>
    <row r="129" spans="2:7" x14ac:dyDescent="0.3">
      <c r="B129" s="6">
        <v>125</v>
      </c>
      <c r="C129" s="30">
        <f>Overview!F129</f>
        <v>15.340000000000002</v>
      </c>
      <c r="D129" s="6">
        <f>Overview!E129</f>
        <v>0.72</v>
      </c>
      <c r="E129" s="6">
        <f t="shared" si="2"/>
        <v>1534.0000000000002</v>
      </c>
      <c r="F129" s="16">
        <v>2</v>
      </c>
      <c r="G129" s="6">
        <f t="shared" si="3"/>
        <v>153</v>
      </c>
    </row>
    <row r="130" spans="2:7" x14ac:dyDescent="0.3">
      <c r="B130" s="6">
        <v>126</v>
      </c>
      <c r="C130" s="30">
        <f>Overview!F130</f>
        <v>16.090000000000003</v>
      </c>
      <c r="D130" s="6">
        <f>Overview!E130</f>
        <v>0.75</v>
      </c>
      <c r="E130" s="6">
        <f t="shared" si="2"/>
        <v>1609.0000000000005</v>
      </c>
      <c r="F130" s="16">
        <v>2</v>
      </c>
      <c r="G130" s="6">
        <f t="shared" si="3"/>
        <v>161</v>
      </c>
    </row>
    <row r="131" spans="2:7" x14ac:dyDescent="0.3">
      <c r="B131" s="6">
        <v>127</v>
      </c>
      <c r="C131" s="30">
        <f>Overview!F131</f>
        <v>16.870000000000005</v>
      </c>
      <c r="D131" s="6">
        <f>Overview!E131</f>
        <v>0.78</v>
      </c>
      <c r="E131" s="6">
        <f t="shared" si="2"/>
        <v>1687.0000000000005</v>
      </c>
      <c r="F131" s="16">
        <v>2</v>
      </c>
      <c r="G131" s="6">
        <f t="shared" si="3"/>
        <v>169</v>
      </c>
    </row>
    <row r="132" spans="2:7" x14ac:dyDescent="0.3">
      <c r="B132" s="6">
        <v>128</v>
      </c>
      <c r="C132" s="30">
        <f>Overview!F132</f>
        <v>17.680000000000003</v>
      </c>
      <c r="D132" s="6">
        <f>Overview!E132</f>
        <v>0.81</v>
      </c>
      <c r="E132" s="6">
        <f t="shared" si="2"/>
        <v>1768.0000000000002</v>
      </c>
      <c r="F132" s="16">
        <v>2</v>
      </c>
      <c r="G132" s="6">
        <f t="shared" si="3"/>
        <v>177</v>
      </c>
    </row>
    <row r="133" spans="2:7" x14ac:dyDescent="0.3">
      <c r="B133" s="6">
        <v>129</v>
      </c>
      <c r="C133" s="30">
        <f>Overview!F133</f>
        <v>18.520000000000003</v>
      </c>
      <c r="D133" s="6">
        <f>Overview!E133</f>
        <v>0.84</v>
      </c>
      <c r="E133" s="6">
        <f t="shared" ref="E133:E196" si="4">C133*100</f>
        <v>1852.0000000000002</v>
      </c>
      <c r="F133" s="16">
        <v>2</v>
      </c>
      <c r="G133" s="6">
        <f t="shared" ref="G133:G196" si="5">ROUND(E133/VLOOKUP(F133,$I$5:$M$16,4),0)</f>
        <v>185</v>
      </c>
    </row>
    <row r="134" spans="2:7" x14ac:dyDescent="0.3">
      <c r="B134" s="6">
        <v>130</v>
      </c>
      <c r="C134" s="30">
        <f>Overview!F134</f>
        <v>19.470000000000002</v>
      </c>
      <c r="D134" s="6">
        <f>Overview!E134</f>
        <v>0.95</v>
      </c>
      <c r="E134" s="6">
        <f t="shared" si="4"/>
        <v>1947.0000000000002</v>
      </c>
      <c r="F134" s="16">
        <v>2</v>
      </c>
      <c r="G134" s="6">
        <f t="shared" si="5"/>
        <v>195</v>
      </c>
    </row>
    <row r="135" spans="2:7" x14ac:dyDescent="0.3">
      <c r="B135" s="6">
        <v>131</v>
      </c>
      <c r="C135" s="30">
        <f>Overview!F135</f>
        <v>20.570000000000004</v>
      </c>
      <c r="D135" s="6">
        <f>Overview!E135</f>
        <v>1.1000000000000001</v>
      </c>
      <c r="E135" s="6">
        <f t="shared" si="4"/>
        <v>2057.0000000000005</v>
      </c>
      <c r="F135" s="16">
        <v>2</v>
      </c>
      <c r="G135" s="6">
        <f t="shared" si="5"/>
        <v>206</v>
      </c>
    </row>
    <row r="136" spans="2:7" x14ac:dyDescent="0.3">
      <c r="B136" s="6">
        <v>132</v>
      </c>
      <c r="C136" s="30">
        <f>Overview!F136</f>
        <v>21.770000000000003</v>
      </c>
      <c r="D136" s="6">
        <f>Overview!E136</f>
        <v>1.2</v>
      </c>
      <c r="E136" s="6">
        <f t="shared" si="4"/>
        <v>2177.0000000000005</v>
      </c>
      <c r="F136" s="16">
        <v>2</v>
      </c>
      <c r="G136" s="6">
        <f t="shared" si="5"/>
        <v>218</v>
      </c>
    </row>
    <row r="137" spans="2:7" x14ac:dyDescent="0.3">
      <c r="B137" s="6">
        <v>133</v>
      </c>
      <c r="C137" s="30">
        <f>Overview!F137</f>
        <v>23.070000000000004</v>
      </c>
      <c r="D137" s="6">
        <f>Overview!E137</f>
        <v>1.3</v>
      </c>
      <c r="E137" s="6">
        <f t="shared" si="4"/>
        <v>2307.0000000000005</v>
      </c>
      <c r="F137" s="16">
        <v>2</v>
      </c>
      <c r="G137" s="6">
        <f t="shared" si="5"/>
        <v>231</v>
      </c>
    </row>
    <row r="138" spans="2:7" x14ac:dyDescent="0.3">
      <c r="B138" s="6">
        <v>134</v>
      </c>
      <c r="C138" s="30">
        <f>Overview!F138</f>
        <v>24.470000000000002</v>
      </c>
      <c r="D138" s="6">
        <f>Overview!E138</f>
        <v>1.4</v>
      </c>
      <c r="E138" s="6">
        <f t="shared" si="4"/>
        <v>2447.0000000000005</v>
      </c>
      <c r="F138" s="16">
        <v>2</v>
      </c>
      <c r="G138" s="6">
        <f t="shared" si="5"/>
        <v>245</v>
      </c>
    </row>
    <row r="139" spans="2:7" x14ac:dyDescent="0.3">
      <c r="B139" s="6">
        <v>135</v>
      </c>
      <c r="C139" s="30">
        <f>Overview!F139</f>
        <v>25.970000000000002</v>
      </c>
      <c r="D139" s="6">
        <f>Overview!E139</f>
        <v>1.5</v>
      </c>
      <c r="E139" s="6">
        <f t="shared" si="4"/>
        <v>2597.0000000000005</v>
      </c>
      <c r="F139" s="18">
        <v>3</v>
      </c>
      <c r="G139" s="6">
        <f t="shared" si="5"/>
        <v>26</v>
      </c>
    </row>
    <row r="140" spans="2:7" x14ac:dyDescent="0.3">
      <c r="B140" s="6">
        <v>136</v>
      </c>
      <c r="C140" s="31">
        <f>Overview!F140</f>
        <v>27.570000000000004</v>
      </c>
      <c r="D140" s="6">
        <f>Overview!E140</f>
        <v>1.6</v>
      </c>
      <c r="E140" s="6">
        <f t="shared" si="4"/>
        <v>2757.0000000000005</v>
      </c>
      <c r="F140" s="18">
        <v>3</v>
      </c>
      <c r="G140" s="6">
        <f t="shared" si="5"/>
        <v>28</v>
      </c>
    </row>
    <row r="141" spans="2:7" x14ac:dyDescent="0.3">
      <c r="B141" s="6">
        <v>137</v>
      </c>
      <c r="C141" s="31">
        <f>Overview!F141</f>
        <v>29.270000000000003</v>
      </c>
      <c r="D141" s="6">
        <f>Overview!E141</f>
        <v>1.7</v>
      </c>
      <c r="E141" s="6">
        <f t="shared" si="4"/>
        <v>2927.0000000000005</v>
      </c>
      <c r="F141" s="18">
        <v>3</v>
      </c>
      <c r="G141" s="6">
        <f t="shared" si="5"/>
        <v>29</v>
      </c>
    </row>
    <row r="142" spans="2:7" x14ac:dyDescent="0.3">
      <c r="B142" s="6">
        <v>138</v>
      </c>
      <c r="C142" s="31">
        <f>Overview!F142</f>
        <v>31.070000000000004</v>
      </c>
      <c r="D142" s="6">
        <f>Overview!E142</f>
        <v>1.8</v>
      </c>
      <c r="E142" s="6">
        <f t="shared" si="4"/>
        <v>3107.0000000000005</v>
      </c>
      <c r="F142" s="18">
        <v>3</v>
      </c>
      <c r="G142" s="6">
        <f t="shared" si="5"/>
        <v>31</v>
      </c>
    </row>
    <row r="143" spans="2:7" x14ac:dyDescent="0.3">
      <c r="B143" s="6">
        <v>139</v>
      </c>
      <c r="C143" s="31">
        <f>Overview!F143</f>
        <v>32.970000000000006</v>
      </c>
      <c r="D143" s="6">
        <f>Overview!E143</f>
        <v>1.9</v>
      </c>
      <c r="E143" s="6">
        <f t="shared" si="4"/>
        <v>3297.0000000000005</v>
      </c>
      <c r="F143" s="18">
        <v>3</v>
      </c>
      <c r="G143" s="6">
        <f t="shared" si="5"/>
        <v>33</v>
      </c>
    </row>
    <row r="144" spans="2:7" x14ac:dyDescent="0.3">
      <c r="B144" s="6">
        <v>140</v>
      </c>
      <c r="C144" s="31">
        <f>Overview!F144</f>
        <v>35.070000000000007</v>
      </c>
      <c r="D144" s="6">
        <f>Overview!E144</f>
        <v>2.1</v>
      </c>
      <c r="E144" s="6">
        <f t="shared" si="4"/>
        <v>3507.0000000000009</v>
      </c>
      <c r="F144" s="18">
        <v>3</v>
      </c>
      <c r="G144" s="6">
        <f t="shared" si="5"/>
        <v>35</v>
      </c>
    </row>
    <row r="145" spans="2:7" x14ac:dyDescent="0.3">
      <c r="B145" s="6">
        <v>141</v>
      </c>
      <c r="C145" s="31">
        <f>Overview!F145</f>
        <v>37.27000000000001</v>
      </c>
      <c r="D145" s="6">
        <f>Overview!E145</f>
        <v>2.2000000000000002</v>
      </c>
      <c r="E145" s="6">
        <f t="shared" si="4"/>
        <v>3727.0000000000009</v>
      </c>
      <c r="F145" s="18">
        <v>3</v>
      </c>
      <c r="G145" s="6">
        <f t="shared" si="5"/>
        <v>37</v>
      </c>
    </row>
    <row r="146" spans="2:7" x14ac:dyDescent="0.3">
      <c r="B146" s="6">
        <v>142</v>
      </c>
      <c r="C146" s="31">
        <f>Overview!F146</f>
        <v>39.570000000000007</v>
      </c>
      <c r="D146" s="6">
        <f>Overview!E146</f>
        <v>2.2999999999999998</v>
      </c>
      <c r="E146" s="6">
        <f t="shared" si="4"/>
        <v>3957.0000000000009</v>
      </c>
      <c r="F146" s="18">
        <v>3</v>
      </c>
      <c r="G146" s="6">
        <f t="shared" si="5"/>
        <v>40</v>
      </c>
    </row>
    <row r="147" spans="2:7" x14ac:dyDescent="0.3">
      <c r="B147" s="6">
        <v>143</v>
      </c>
      <c r="C147" s="31">
        <f>Overview!F147</f>
        <v>41.970000000000006</v>
      </c>
      <c r="D147" s="6">
        <f>Overview!E147</f>
        <v>2.4</v>
      </c>
      <c r="E147" s="6">
        <f t="shared" si="4"/>
        <v>4197.0000000000009</v>
      </c>
      <c r="F147" s="18">
        <v>3</v>
      </c>
      <c r="G147" s="6">
        <f t="shared" si="5"/>
        <v>42</v>
      </c>
    </row>
    <row r="148" spans="2:7" x14ac:dyDescent="0.3">
      <c r="B148" s="6">
        <v>144</v>
      </c>
      <c r="C148" s="31">
        <f>Overview!F148</f>
        <v>44.470000000000006</v>
      </c>
      <c r="D148" s="6">
        <f>Overview!E148</f>
        <v>2.5</v>
      </c>
      <c r="E148" s="6">
        <f t="shared" si="4"/>
        <v>4447.0000000000009</v>
      </c>
      <c r="F148" s="18">
        <v>3</v>
      </c>
      <c r="G148" s="6">
        <f t="shared" si="5"/>
        <v>44</v>
      </c>
    </row>
    <row r="149" spans="2:7" x14ac:dyDescent="0.3">
      <c r="B149" s="6">
        <v>145</v>
      </c>
      <c r="C149" s="31">
        <f>Overview!F149</f>
        <v>47.070000000000007</v>
      </c>
      <c r="D149" s="6">
        <f>Overview!E149</f>
        <v>2.6</v>
      </c>
      <c r="E149" s="6">
        <f t="shared" si="4"/>
        <v>4707.0000000000009</v>
      </c>
      <c r="F149" s="18">
        <v>3</v>
      </c>
      <c r="G149" s="6">
        <f t="shared" si="5"/>
        <v>47</v>
      </c>
    </row>
    <row r="150" spans="2:7" x14ac:dyDescent="0.3">
      <c r="B150" s="6">
        <v>146</v>
      </c>
      <c r="C150" s="31">
        <f>Overview!F150</f>
        <v>49.77000000000001</v>
      </c>
      <c r="D150" s="6">
        <f>Overview!E150</f>
        <v>2.7</v>
      </c>
      <c r="E150" s="6">
        <f t="shared" si="4"/>
        <v>4977.0000000000009</v>
      </c>
      <c r="F150" s="18">
        <v>3</v>
      </c>
      <c r="G150" s="6">
        <f t="shared" si="5"/>
        <v>50</v>
      </c>
    </row>
    <row r="151" spans="2:7" x14ac:dyDescent="0.3">
      <c r="B151" s="6">
        <v>147</v>
      </c>
      <c r="C151" s="31">
        <f>Overview!F151</f>
        <v>52.570000000000007</v>
      </c>
      <c r="D151" s="6">
        <f>Overview!E151</f>
        <v>2.8</v>
      </c>
      <c r="E151" s="6">
        <f t="shared" si="4"/>
        <v>5257.0000000000009</v>
      </c>
      <c r="F151" s="18">
        <v>3</v>
      </c>
      <c r="G151" s="6">
        <f t="shared" si="5"/>
        <v>53</v>
      </c>
    </row>
    <row r="152" spans="2:7" x14ac:dyDescent="0.3">
      <c r="B152" s="6">
        <v>148</v>
      </c>
      <c r="C152" s="31">
        <f>Overview!F152</f>
        <v>55.470000000000006</v>
      </c>
      <c r="D152" s="6">
        <f>Overview!E152</f>
        <v>2.9</v>
      </c>
      <c r="E152" s="6">
        <f t="shared" si="4"/>
        <v>5547.0000000000009</v>
      </c>
      <c r="F152" s="18">
        <v>3</v>
      </c>
      <c r="G152" s="6">
        <f t="shared" si="5"/>
        <v>55</v>
      </c>
    </row>
    <row r="153" spans="2:7" x14ac:dyDescent="0.3">
      <c r="B153" s="6">
        <v>149</v>
      </c>
      <c r="C153" s="31">
        <f>Overview!F153</f>
        <v>58.470000000000006</v>
      </c>
      <c r="D153" s="6">
        <f>Overview!E153</f>
        <v>3</v>
      </c>
      <c r="E153" s="6">
        <f t="shared" si="4"/>
        <v>5847.0000000000009</v>
      </c>
      <c r="F153" s="18">
        <v>3</v>
      </c>
      <c r="G153" s="6">
        <f t="shared" si="5"/>
        <v>58</v>
      </c>
    </row>
    <row r="154" spans="2:7" x14ac:dyDescent="0.3">
      <c r="B154" s="6">
        <v>150</v>
      </c>
      <c r="C154" s="31">
        <f>Overview!F154</f>
        <v>61.570000000000007</v>
      </c>
      <c r="D154" s="6">
        <f>Overview!E154</f>
        <v>3.1</v>
      </c>
      <c r="E154" s="6">
        <f t="shared" si="4"/>
        <v>6157.0000000000009</v>
      </c>
      <c r="F154" s="18">
        <v>3</v>
      </c>
      <c r="G154" s="6">
        <f t="shared" si="5"/>
        <v>62</v>
      </c>
    </row>
    <row r="155" spans="2:7" x14ac:dyDescent="0.3">
      <c r="B155" s="6">
        <v>151</v>
      </c>
      <c r="C155" s="31">
        <f>Overview!F155</f>
        <v>64.77000000000001</v>
      </c>
      <c r="D155" s="6">
        <f>Overview!E155</f>
        <v>3.2</v>
      </c>
      <c r="E155" s="6">
        <f t="shared" si="4"/>
        <v>6477.0000000000009</v>
      </c>
      <c r="F155" s="18">
        <v>3</v>
      </c>
      <c r="G155" s="6">
        <f t="shared" si="5"/>
        <v>65</v>
      </c>
    </row>
    <row r="156" spans="2:7" x14ac:dyDescent="0.3">
      <c r="B156" s="6">
        <v>152</v>
      </c>
      <c r="C156" s="31">
        <f>Overview!F156</f>
        <v>68.070000000000007</v>
      </c>
      <c r="D156" s="6">
        <f>Overview!E156</f>
        <v>3.3</v>
      </c>
      <c r="E156" s="6">
        <f t="shared" si="4"/>
        <v>6807.0000000000009</v>
      </c>
      <c r="F156" s="18">
        <v>3</v>
      </c>
      <c r="G156" s="6">
        <f t="shared" si="5"/>
        <v>68</v>
      </c>
    </row>
    <row r="157" spans="2:7" x14ac:dyDescent="0.3">
      <c r="B157" s="6">
        <v>153</v>
      </c>
      <c r="C157" s="31">
        <f>Overview!F157</f>
        <v>71.470000000000013</v>
      </c>
      <c r="D157" s="6">
        <f>Overview!E157</f>
        <v>3.4</v>
      </c>
      <c r="E157" s="6">
        <f t="shared" si="4"/>
        <v>7147.0000000000009</v>
      </c>
      <c r="F157" s="18">
        <v>3</v>
      </c>
      <c r="G157" s="6">
        <f t="shared" si="5"/>
        <v>71</v>
      </c>
    </row>
    <row r="158" spans="2:7" x14ac:dyDescent="0.3">
      <c r="B158" s="6">
        <v>154</v>
      </c>
      <c r="C158" s="31">
        <f>Overview!F158</f>
        <v>74.970000000000013</v>
      </c>
      <c r="D158" s="6">
        <f>Overview!E158</f>
        <v>3.5</v>
      </c>
      <c r="E158" s="6">
        <f t="shared" si="4"/>
        <v>7497.0000000000009</v>
      </c>
      <c r="F158" s="18">
        <v>3</v>
      </c>
      <c r="G158" s="6">
        <f t="shared" si="5"/>
        <v>75</v>
      </c>
    </row>
    <row r="159" spans="2:7" x14ac:dyDescent="0.3">
      <c r="B159" s="6">
        <v>155</v>
      </c>
      <c r="C159" s="31">
        <f>Overview!F159</f>
        <v>78.570000000000007</v>
      </c>
      <c r="D159" s="6">
        <f>Overview!E159</f>
        <v>3.6</v>
      </c>
      <c r="E159" s="6">
        <f t="shared" si="4"/>
        <v>7857.0000000000009</v>
      </c>
      <c r="F159" s="18">
        <v>3</v>
      </c>
      <c r="G159" s="6">
        <f t="shared" si="5"/>
        <v>79</v>
      </c>
    </row>
    <row r="160" spans="2:7" x14ac:dyDescent="0.3">
      <c r="B160" s="6">
        <v>156</v>
      </c>
      <c r="C160" s="31">
        <f>Overview!F160</f>
        <v>82.27000000000001</v>
      </c>
      <c r="D160" s="6">
        <f>Overview!E160</f>
        <v>3.7</v>
      </c>
      <c r="E160" s="6">
        <f t="shared" si="4"/>
        <v>8227.0000000000018</v>
      </c>
      <c r="F160" s="18">
        <v>3</v>
      </c>
      <c r="G160" s="6">
        <f t="shared" si="5"/>
        <v>82</v>
      </c>
    </row>
    <row r="161" spans="2:7" x14ac:dyDescent="0.3">
      <c r="B161" s="6">
        <v>157</v>
      </c>
      <c r="C161" s="31">
        <f>Overview!F161</f>
        <v>86.070000000000007</v>
      </c>
      <c r="D161" s="6">
        <f>Overview!E161</f>
        <v>3.8</v>
      </c>
      <c r="E161" s="6">
        <f t="shared" si="4"/>
        <v>8607</v>
      </c>
      <c r="F161" s="18">
        <v>3</v>
      </c>
      <c r="G161" s="6">
        <f t="shared" si="5"/>
        <v>86</v>
      </c>
    </row>
    <row r="162" spans="2:7" x14ac:dyDescent="0.3">
      <c r="B162" s="6">
        <v>158</v>
      </c>
      <c r="C162" s="31">
        <f>Overview!F162</f>
        <v>89.970000000000013</v>
      </c>
      <c r="D162" s="6">
        <f>Overview!E162</f>
        <v>3.9</v>
      </c>
      <c r="E162" s="6">
        <f t="shared" si="4"/>
        <v>8997.0000000000018</v>
      </c>
      <c r="F162" s="18">
        <v>3</v>
      </c>
      <c r="G162" s="6">
        <f t="shared" si="5"/>
        <v>90</v>
      </c>
    </row>
    <row r="163" spans="2:7" x14ac:dyDescent="0.3">
      <c r="B163" s="6">
        <v>159</v>
      </c>
      <c r="C163" s="31">
        <f>Overview!F163</f>
        <v>93.970000000000013</v>
      </c>
      <c r="D163" s="6">
        <f>Overview!E163</f>
        <v>4</v>
      </c>
      <c r="E163" s="6">
        <f t="shared" si="4"/>
        <v>9397.0000000000018</v>
      </c>
      <c r="F163" s="18">
        <v>3</v>
      </c>
      <c r="G163" s="6">
        <f t="shared" si="5"/>
        <v>94</v>
      </c>
    </row>
    <row r="164" spans="2:7" x14ac:dyDescent="0.3">
      <c r="B164" s="6">
        <v>160</v>
      </c>
      <c r="C164" s="31">
        <f>Overview!F164</f>
        <v>98.070000000000007</v>
      </c>
      <c r="D164" s="6">
        <f>Overview!E164</f>
        <v>4.0999999999999996</v>
      </c>
      <c r="E164" s="6">
        <f t="shared" si="4"/>
        <v>9807</v>
      </c>
      <c r="F164" s="18">
        <v>3</v>
      </c>
      <c r="G164" s="6">
        <f t="shared" si="5"/>
        <v>98</v>
      </c>
    </row>
    <row r="165" spans="2:7" x14ac:dyDescent="0.3">
      <c r="B165" s="6">
        <v>161</v>
      </c>
      <c r="C165" s="31">
        <f>Overview!F165</f>
        <v>102.27000000000001</v>
      </c>
      <c r="D165" s="6">
        <f>Overview!E165</f>
        <v>4.2</v>
      </c>
      <c r="E165" s="6">
        <f t="shared" si="4"/>
        <v>10227.000000000002</v>
      </c>
      <c r="F165" s="18">
        <v>3</v>
      </c>
      <c r="G165" s="6">
        <f t="shared" si="5"/>
        <v>102</v>
      </c>
    </row>
    <row r="166" spans="2:7" x14ac:dyDescent="0.3">
      <c r="B166" s="6">
        <v>162</v>
      </c>
      <c r="C166" s="31">
        <f>Overview!F166</f>
        <v>106.57000000000001</v>
      </c>
      <c r="D166" s="6">
        <f>Overview!E166</f>
        <v>4.3</v>
      </c>
      <c r="E166" s="6">
        <f t="shared" si="4"/>
        <v>10657</v>
      </c>
      <c r="F166" s="18">
        <v>3</v>
      </c>
      <c r="G166" s="6">
        <f t="shared" si="5"/>
        <v>107</v>
      </c>
    </row>
    <row r="167" spans="2:7" x14ac:dyDescent="0.3">
      <c r="B167" s="6">
        <v>163</v>
      </c>
      <c r="C167" s="31">
        <f>Overview!F167</f>
        <v>110.97000000000001</v>
      </c>
      <c r="D167" s="6">
        <f>Overview!E167</f>
        <v>4.4000000000000004</v>
      </c>
      <c r="E167" s="6">
        <f t="shared" si="4"/>
        <v>11097.000000000002</v>
      </c>
      <c r="F167" s="18">
        <v>3</v>
      </c>
      <c r="G167" s="6">
        <f t="shared" si="5"/>
        <v>111</v>
      </c>
    </row>
    <row r="168" spans="2:7" x14ac:dyDescent="0.3">
      <c r="B168" s="6">
        <v>164</v>
      </c>
      <c r="C168" s="31">
        <f>Overview!F168</f>
        <v>115.47000000000001</v>
      </c>
      <c r="D168" s="6">
        <f>Overview!E168</f>
        <v>4.5</v>
      </c>
      <c r="E168" s="6">
        <f t="shared" si="4"/>
        <v>11547.000000000002</v>
      </c>
      <c r="F168" s="18">
        <v>3</v>
      </c>
      <c r="G168" s="6">
        <f t="shared" si="5"/>
        <v>115</v>
      </c>
    </row>
    <row r="169" spans="2:7" x14ac:dyDescent="0.3">
      <c r="B169" s="6">
        <v>165</v>
      </c>
      <c r="C169" s="31">
        <f>Overview!F169</f>
        <v>120.07000000000001</v>
      </c>
      <c r="D169" s="6">
        <f>Overview!E169</f>
        <v>4.5999999999999996</v>
      </c>
      <c r="E169" s="6">
        <f t="shared" si="4"/>
        <v>12007</v>
      </c>
      <c r="F169" s="18">
        <v>3</v>
      </c>
      <c r="G169" s="6">
        <f t="shared" si="5"/>
        <v>120</v>
      </c>
    </row>
    <row r="170" spans="2:7" x14ac:dyDescent="0.3">
      <c r="B170" s="6">
        <v>166</v>
      </c>
      <c r="C170" s="31">
        <f>Overview!F170</f>
        <v>124.77000000000001</v>
      </c>
      <c r="D170" s="6">
        <f>Overview!E170</f>
        <v>4.7</v>
      </c>
      <c r="E170" s="6">
        <f t="shared" si="4"/>
        <v>12477.000000000002</v>
      </c>
      <c r="F170" s="18">
        <v>3</v>
      </c>
      <c r="G170" s="6">
        <f t="shared" si="5"/>
        <v>125</v>
      </c>
    </row>
    <row r="171" spans="2:7" x14ac:dyDescent="0.3">
      <c r="B171" s="6">
        <v>167</v>
      </c>
      <c r="C171" s="31">
        <f>Overview!F171</f>
        <v>129.57000000000002</v>
      </c>
      <c r="D171" s="6">
        <f>Overview!E171</f>
        <v>4.8</v>
      </c>
      <c r="E171" s="6">
        <f t="shared" si="4"/>
        <v>12957.000000000002</v>
      </c>
      <c r="F171" s="18">
        <v>3</v>
      </c>
      <c r="G171" s="6">
        <f t="shared" si="5"/>
        <v>130</v>
      </c>
    </row>
    <row r="172" spans="2:7" x14ac:dyDescent="0.3">
      <c r="B172" s="6">
        <v>168</v>
      </c>
      <c r="C172" s="31">
        <f>Overview!F172</f>
        <v>134.47000000000003</v>
      </c>
      <c r="D172" s="6">
        <f>Overview!E172</f>
        <v>4.9000000000000004</v>
      </c>
      <c r="E172" s="6">
        <f t="shared" si="4"/>
        <v>13447.000000000004</v>
      </c>
      <c r="F172" s="18">
        <v>3</v>
      </c>
      <c r="G172" s="6">
        <f t="shared" si="5"/>
        <v>134</v>
      </c>
    </row>
    <row r="173" spans="2:7" x14ac:dyDescent="0.3">
      <c r="B173" s="6">
        <v>169</v>
      </c>
      <c r="C173" s="31">
        <f>Overview!F173</f>
        <v>139.47000000000003</v>
      </c>
      <c r="D173" s="6">
        <f>Overview!E173</f>
        <v>5</v>
      </c>
      <c r="E173" s="6">
        <f t="shared" si="4"/>
        <v>13947.000000000004</v>
      </c>
      <c r="F173" s="18">
        <v>3</v>
      </c>
      <c r="G173" s="6">
        <f t="shared" si="5"/>
        <v>139</v>
      </c>
    </row>
    <row r="174" spans="2:7" x14ac:dyDescent="0.3">
      <c r="B174" s="6">
        <v>170</v>
      </c>
      <c r="C174" s="31">
        <f>Overview!F174</f>
        <v>144.65000000000003</v>
      </c>
      <c r="D174" s="6">
        <f>Overview!E174</f>
        <v>5.18</v>
      </c>
      <c r="E174" s="6">
        <f t="shared" si="4"/>
        <v>14465.000000000004</v>
      </c>
      <c r="F174" s="18">
        <v>3</v>
      </c>
      <c r="G174" s="6">
        <f t="shared" si="5"/>
        <v>145</v>
      </c>
    </row>
    <row r="175" spans="2:7" x14ac:dyDescent="0.3">
      <c r="B175" s="6">
        <v>171</v>
      </c>
      <c r="C175" s="31">
        <f>Overview!F175</f>
        <v>150.01000000000005</v>
      </c>
      <c r="D175" s="6">
        <f>Overview!E175</f>
        <v>5.36</v>
      </c>
      <c r="E175" s="6">
        <f t="shared" si="4"/>
        <v>15001.000000000005</v>
      </c>
      <c r="F175" s="18">
        <v>3</v>
      </c>
      <c r="G175" s="6">
        <f t="shared" si="5"/>
        <v>150</v>
      </c>
    </row>
    <row r="176" spans="2:7" x14ac:dyDescent="0.3">
      <c r="B176" s="6">
        <v>172</v>
      </c>
      <c r="C176" s="31">
        <f>Overview!F176</f>
        <v>155.55000000000004</v>
      </c>
      <c r="D176" s="6">
        <f>Overview!E176</f>
        <v>5.54</v>
      </c>
      <c r="E176" s="6">
        <f t="shared" si="4"/>
        <v>15555.000000000004</v>
      </c>
      <c r="F176" s="18">
        <v>3</v>
      </c>
      <c r="G176" s="6">
        <f t="shared" si="5"/>
        <v>156</v>
      </c>
    </row>
    <row r="177" spans="2:7" x14ac:dyDescent="0.3">
      <c r="B177" s="6">
        <v>173</v>
      </c>
      <c r="C177" s="31">
        <f>Overview!F177</f>
        <v>161.27000000000004</v>
      </c>
      <c r="D177" s="6">
        <f>Overview!E177</f>
        <v>5.72</v>
      </c>
      <c r="E177" s="6">
        <f t="shared" si="4"/>
        <v>16127.000000000004</v>
      </c>
      <c r="F177" s="18">
        <v>3</v>
      </c>
      <c r="G177" s="6">
        <f t="shared" si="5"/>
        <v>161</v>
      </c>
    </row>
    <row r="178" spans="2:7" x14ac:dyDescent="0.3">
      <c r="B178" s="6">
        <v>174</v>
      </c>
      <c r="C178" s="31">
        <f>Overview!F178</f>
        <v>167.17000000000004</v>
      </c>
      <c r="D178" s="6">
        <f>Overview!E178</f>
        <v>5.9</v>
      </c>
      <c r="E178" s="6">
        <f t="shared" si="4"/>
        <v>16717.000000000004</v>
      </c>
      <c r="F178" s="18">
        <v>3</v>
      </c>
      <c r="G178" s="6">
        <f t="shared" si="5"/>
        <v>167</v>
      </c>
    </row>
    <row r="179" spans="2:7" x14ac:dyDescent="0.3">
      <c r="B179" s="6">
        <v>175</v>
      </c>
      <c r="C179" s="31">
        <f>Overview!F179</f>
        <v>173.25000000000006</v>
      </c>
      <c r="D179" s="6">
        <f>Overview!E179</f>
        <v>6.08</v>
      </c>
      <c r="E179" s="6">
        <f t="shared" si="4"/>
        <v>17325.000000000007</v>
      </c>
      <c r="F179" s="18">
        <v>3</v>
      </c>
      <c r="G179" s="6">
        <f t="shared" si="5"/>
        <v>173</v>
      </c>
    </row>
    <row r="180" spans="2:7" x14ac:dyDescent="0.3">
      <c r="B180" s="6">
        <v>176</v>
      </c>
      <c r="C180" s="31">
        <f>Overview!F180</f>
        <v>179.51000000000005</v>
      </c>
      <c r="D180" s="6">
        <f>Overview!E180</f>
        <v>6.26</v>
      </c>
      <c r="E180" s="6">
        <f t="shared" si="4"/>
        <v>17951.000000000004</v>
      </c>
      <c r="F180" s="18">
        <v>3</v>
      </c>
      <c r="G180" s="6">
        <f t="shared" si="5"/>
        <v>180</v>
      </c>
    </row>
    <row r="181" spans="2:7" x14ac:dyDescent="0.3">
      <c r="B181" s="6">
        <v>177</v>
      </c>
      <c r="C181" s="31">
        <f>Overview!F181</f>
        <v>185.95000000000005</v>
      </c>
      <c r="D181" s="6">
        <f>Overview!E181</f>
        <v>6.44</v>
      </c>
      <c r="E181" s="6">
        <f t="shared" si="4"/>
        <v>18595.000000000004</v>
      </c>
      <c r="F181" s="18">
        <v>3</v>
      </c>
      <c r="G181" s="6">
        <f t="shared" si="5"/>
        <v>186</v>
      </c>
    </row>
    <row r="182" spans="2:7" x14ac:dyDescent="0.3">
      <c r="B182" s="6">
        <v>178</v>
      </c>
      <c r="C182" s="31">
        <f>Overview!F182</f>
        <v>192.57000000000005</v>
      </c>
      <c r="D182" s="6">
        <f>Overview!E182</f>
        <v>6.62</v>
      </c>
      <c r="E182" s="6">
        <f t="shared" si="4"/>
        <v>19257.000000000004</v>
      </c>
      <c r="F182" s="18">
        <v>3</v>
      </c>
      <c r="G182" s="6">
        <f t="shared" si="5"/>
        <v>193</v>
      </c>
    </row>
    <row r="183" spans="2:7" x14ac:dyDescent="0.3">
      <c r="B183" s="6">
        <v>179</v>
      </c>
      <c r="C183" s="31">
        <f>Overview!F183</f>
        <v>199.37000000000006</v>
      </c>
      <c r="D183" s="6">
        <f>Overview!E183</f>
        <v>6.8</v>
      </c>
      <c r="E183" s="6">
        <f t="shared" si="4"/>
        <v>19937.000000000007</v>
      </c>
      <c r="F183" s="18">
        <v>3</v>
      </c>
      <c r="G183" s="6">
        <f t="shared" si="5"/>
        <v>199</v>
      </c>
    </row>
    <row r="184" spans="2:7" x14ac:dyDescent="0.3">
      <c r="B184" s="6">
        <v>180</v>
      </c>
      <c r="C184" s="31">
        <f>Overview!F184</f>
        <v>206.35000000000005</v>
      </c>
      <c r="D184" s="6">
        <f>Overview!E184</f>
        <v>6.98</v>
      </c>
      <c r="E184" s="6">
        <f t="shared" si="4"/>
        <v>20635.000000000004</v>
      </c>
      <c r="F184" s="18">
        <v>3</v>
      </c>
      <c r="G184" s="6">
        <f t="shared" si="5"/>
        <v>206</v>
      </c>
    </row>
    <row r="185" spans="2:7" x14ac:dyDescent="0.3">
      <c r="B185" s="6">
        <v>181</v>
      </c>
      <c r="C185" s="31">
        <f>Overview!F185</f>
        <v>213.40000000000006</v>
      </c>
      <c r="D185" s="6">
        <f>Overview!E185</f>
        <v>7.05</v>
      </c>
      <c r="E185" s="6">
        <f t="shared" si="4"/>
        <v>21340.000000000007</v>
      </c>
      <c r="F185" s="18">
        <v>3</v>
      </c>
      <c r="G185" s="6">
        <f t="shared" si="5"/>
        <v>213</v>
      </c>
    </row>
    <row r="186" spans="2:7" x14ac:dyDescent="0.3">
      <c r="B186" s="6">
        <v>182</v>
      </c>
      <c r="C186" s="31">
        <f>Overview!F186</f>
        <v>220.50000000000006</v>
      </c>
      <c r="D186" s="6">
        <f>Overview!E186</f>
        <v>7.1</v>
      </c>
      <c r="E186" s="6">
        <f t="shared" si="4"/>
        <v>22050.000000000007</v>
      </c>
      <c r="F186" s="18">
        <v>3</v>
      </c>
      <c r="G186" s="6">
        <f t="shared" si="5"/>
        <v>221</v>
      </c>
    </row>
    <row r="187" spans="2:7" x14ac:dyDescent="0.3">
      <c r="B187" s="6">
        <v>183</v>
      </c>
      <c r="C187" s="31">
        <f>Overview!F187</f>
        <v>227.65000000000006</v>
      </c>
      <c r="D187" s="6">
        <f>Overview!E187</f>
        <v>7.15</v>
      </c>
      <c r="E187" s="6">
        <f t="shared" si="4"/>
        <v>22765.000000000007</v>
      </c>
      <c r="F187" s="18">
        <v>3</v>
      </c>
      <c r="G187" s="6">
        <f t="shared" si="5"/>
        <v>228</v>
      </c>
    </row>
    <row r="188" spans="2:7" x14ac:dyDescent="0.3">
      <c r="B188" s="6">
        <v>184</v>
      </c>
      <c r="C188" s="31">
        <f>Overview!F188</f>
        <v>234.85000000000005</v>
      </c>
      <c r="D188" s="6">
        <f>Overview!E188</f>
        <v>7.2</v>
      </c>
      <c r="E188" s="6">
        <f t="shared" si="4"/>
        <v>23485.000000000004</v>
      </c>
      <c r="F188" s="18">
        <v>3</v>
      </c>
      <c r="G188" s="6">
        <f t="shared" si="5"/>
        <v>235</v>
      </c>
    </row>
    <row r="189" spans="2:7" x14ac:dyDescent="0.3">
      <c r="B189" s="6">
        <v>185</v>
      </c>
      <c r="C189" s="31">
        <f>Overview!F189</f>
        <v>242.10000000000005</v>
      </c>
      <c r="D189" s="6">
        <f>Overview!E189</f>
        <v>7.25</v>
      </c>
      <c r="E189" s="6">
        <f t="shared" si="4"/>
        <v>24210.000000000004</v>
      </c>
      <c r="F189" s="18">
        <v>3</v>
      </c>
      <c r="G189" s="6">
        <f t="shared" si="5"/>
        <v>242</v>
      </c>
    </row>
    <row r="190" spans="2:7" x14ac:dyDescent="0.3">
      <c r="B190" s="6">
        <v>186</v>
      </c>
      <c r="C190" s="31">
        <f>Overview!F190</f>
        <v>249.40000000000006</v>
      </c>
      <c r="D190" s="6">
        <f>Overview!E190</f>
        <v>7.3</v>
      </c>
      <c r="E190" s="6">
        <f t="shared" si="4"/>
        <v>24940.000000000007</v>
      </c>
      <c r="F190" s="18">
        <v>3</v>
      </c>
      <c r="G190" s="6">
        <f t="shared" si="5"/>
        <v>249</v>
      </c>
    </row>
    <row r="191" spans="2:7" x14ac:dyDescent="0.3">
      <c r="B191" s="6">
        <v>187</v>
      </c>
      <c r="C191" s="31">
        <f>Overview!F191</f>
        <v>256.75000000000006</v>
      </c>
      <c r="D191" s="6">
        <f>Overview!E191</f>
        <v>7.35</v>
      </c>
      <c r="E191" s="6">
        <f t="shared" si="4"/>
        <v>25675.000000000007</v>
      </c>
      <c r="F191" s="15">
        <v>4</v>
      </c>
      <c r="G191" s="6">
        <f t="shared" si="5"/>
        <v>26</v>
      </c>
    </row>
    <row r="192" spans="2:7" x14ac:dyDescent="0.3">
      <c r="B192" s="6">
        <v>188</v>
      </c>
      <c r="C192" s="31">
        <f>Overview!F192</f>
        <v>264.15000000000003</v>
      </c>
      <c r="D192" s="6">
        <f>Overview!E192</f>
        <v>7.4</v>
      </c>
      <c r="E192" s="6">
        <f t="shared" si="4"/>
        <v>26415.000000000004</v>
      </c>
      <c r="F192" s="15">
        <v>4</v>
      </c>
      <c r="G192" s="6">
        <f t="shared" si="5"/>
        <v>26</v>
      </c>
    </row>
    <row r="193" spans="2:7" x14ac:dyDescent="0.3">
      <c r="B193" s="6">
        <v>189</v>
      </c>
      <c r="C193" s="31">
        <f>Overview!F193</f>
        <v>271.60000000000002</v>
      </c>
      <c r="D193" s="6">
        <f>Overview!E193</f>
        <v>7.45</v>
      </c>
      <c r="E193" s="6">
        <f t="shared" si="4"/>
        <v>27160.000000000004</v>
      </c>
      <c r="F193" s="15">
        <v>4</v>
      </c>
      <c r="G193" s="6">
        <f t="shared" si="5"/>
        <v>27</v>
      </c>
    </row>
    <row r="194" spans="2:7" x14ac:dyDescent="0.3">
      <c r="B194" s="6">
        <v>190</v>
      </c>
      <c r="C194" s="31">
        <f>Overview!F194</f>
        <v>279.10000000000002</v>
      </c>
      <c r="D194" s="6">
        <f>Overview!E194</f>
        <v>7.5</v>
      </c>
      <c r="E194" s="6">
        <f t="shared" si="4"/>
        <v>27910.000000000004</v>
      </c>
      <c r="F194" s="15">
        <v>4</v>
      </c>
      <c r="G194" s="6">
        <f t="shared" si="5"/>
        <v>28</v>
      </c>
    </row>
    <row r="195" spans="2:7" x14ac:dyDescent="0.3">
      <c r="B195" s="6">
        <v>191</v>
      </c>
      <c r="C195" s="31">
        <f>Overview!F195</f>
        <v>286.62</v>
      </c>
      <c r="D195" s="6">
        <f>Overview!E195</f>
        <v>7.52</v>
      </c>
      <c r="E195" s="6">
        <f t="shared" si="4"/>
        <v>28662</v>
      </c>
      <c r="F195" s="15">
        <v>4</v>
      </c>
      <c r="G195" s="6">
        <f t="shared" si="5"/>
        <v>29</v>
      </c>
    </row>
    <row r="196" spans="2:7" x14ac:dyDescent="0.3">
      <c r="B196" s="6">
        <v>192</v>
      </c>
      <c r="C196" s="31">
        <f>Overview!F196</f>
        <v>294.16000000000003</v>
      </c>
      <c r="D196" s="6">
        <f>Overview!E196</f>
        <v>7.54</v>
      </c>
      <c r="E196" s="6">
        <f t="shared" si="4"/>
        <v>29416.000000000004</v>
      </c>
      <c r="F196" s="15">
        <v>4</v>
      </c>
      <c r="G196" s="6">
        <f t="shared" si="5"/>
        <v>29</v>
      </c>
    </row>
    <row r="197" spans="2:7" x14ac:dyDescent="0.3">
      <c r="B197" s="6">
        <v>193</v>
      </c>
      <c r="C197" s="31">
        <f>Overview!F197</f>
        <v>301.72000000000003</v>
      </c>
      <c r="D197" s="6">
        <f>Overview!E197</f>
        <v>7.56</v>
      </c>
      <c r="E197" s="6">
        <f t="shared" ref="E197:E259" si="6">C197*100</f>
        <v>30172.000000000004</v>
      </c>
      <c r="F197" s="15">
        <v>4</v>
      </c>
      <c r="G197" s="6">
        <f t="shared" ref="G197:G259" si="7">ROUND(E197/VLOOKUP(F197,$I$5:$M$16,4),0)</f>
        <v>30</v>
      </c>
    </row>
    <row r="198" spans="2:7" x14ac:dyDescent="0.3">
      <c r="B198" s="6">
        <v>194</v>
      </c>
      <c r="C198" s="31">
        <f>Overview!F198</f>
        <v>309.3</v>
      </c>
      <c r="D198" s="6">
        <f>Overview!E198</f>
        <v>7.58</v>
      </c>
      <c r="E198" s="6">
        <f t="shared" si="6"/>
        <v>30930</v>
      </c>
      <c r="F198" s="15">
        <v>4</v>
      </c>
      <c r="G198" s="6">
        <f t="shared" si="7"/>
        <v>31</v>
      </c>
    </row>
    <row r="199" spans="2:7" x14ac:dyDescent="0.3">
      <c r="B199" s="6">
        <v>195</v>
      </c>
      <c r="C199" s="31">
        <f>Overview!F199</f>
        <v>316.90000000000003</v>
      </c>
      <c r="D199" s="6">
        <f>Overview!E199</f>
        <v>7.6</v>
      </c>
      <c r="E199" s="6">
        <f t="shared" si="6"/>
        <v>31690.000000000004</v>
      </c>
      <c r="F199" s="15">
        <v>4</v>
      </c>
      <c r="G199" s="6">
        <f t="shared" si="7"/>
        <v>32</v>
      </c>
    </row>
    <row r="200" spans="2:7" x14ac:dyDescent="0.3">
      <c r="B200" s="6">
        <v>196</v>
      </c>
      <c r="C200" s="31">
        <f>Overview!F200</f>
        <v>324.52000000000004</v>
      </c>
      <c r="D200" s="6">
        <f>Overview!E200</f>
        <v>7.62</v>
      </c>
      <c r="E200" s="6">
        <f t="shared" si="6"/>
        <v>32452.000000000004</v>
      </c>
      <c r="F200" s="15">
        <v>4</v>
      </c>
      <c r="G200" s="6">
        <f t="shared" si="7"/>
        <v>32</v>
      </c>
    </row>
    <row r="201" spans="2:7" x14ac:dyDescent="0.3">
      <c r="B201" s="6">
        <v>197</v>
      </c>
      <c r="C201" s="31">
        <f>Overview!F201</f>
        <v>332.16</v>
      </c>
      <c r="D201" s="6">
        <f>Overview!E201</f>
        <v>7.64</v>
      </c>
      <c r="E201" s="6">
        <f t="shared" si="6"/>
        <v>33216</v>
      </c>
      <c r="F201" s="15">
        <v>4</v>
      </c>
      <c r="G201" s="6">
        <f t="shared" si="7"/>
        <v>33</v>
      </c>
    </row>
    <row r="202" spans="2:7" x14ac:dyDescent="0.3">
      <c r="B202" s="6">
        <v>198</v>
      </c>
      <c r="C202" s="31">
        <f>Overview!F202</f>
        <v>339.82000000000005</v>
      </c>
      <c r="D202" s="6">
        <f>Overview!E202</f>
        <v>7.66</v>
      </c>
      <c r="E202" s="6">
        <f t="shared" si="6"/>
        <v>33982.000000000007</v>
      </c>
      <c r="F202" s="15">
        <v>4</v>
      </c>
      <c r="G202" s="6">
        <f t="shared" si="7"/>
        <v>34</v>
      </c>
    </row>
    <row r="203" spans="2:7" x14ac:dyDescent="0.3">
      <c r="B203" s="6">
        <v>199</v>
      </c>
      <c r="C203" s="31">
        <f>Overview!F203</f>
        <v>347.50000000000006</v>
      </c>
      <c r="D203" s="6">
        <f>Overview!E203</f>
        <v>7.68</v>
      </c>
      <c r="E203" s="6">
        <f t="shared" si="6"/>
        <v>34750.000000000007</v>
      </c>
      <c r="F203" s="15">
        <v>4</v>
      </c>
      <c r="G203" s="6">
        <f t="shared" si="7"/>
        <v>35</v>
      </c>
    </row>
    <row r="204" spans="2:7" x14ac:dyDescent="0.3">
      <c r="B204" s="6">
        <v>200</v>
      </c>
      <c r="C204" s="31">
        <f>Overview!F204</f>
        <v>355.20000000000005</v>
      </c>
      <c r="D204" s="6">
        <f>Overview!E204</f>
        <v>7.7</v>
      </c>
      <c r="E204" s="6">
        <f t="shared" si="6"/>
        <v>35520.000000000007</v>
      </c>
      <c r="F204" s="15">
        <v>4</v>
      </c>
      <c r="G204" s="6">
        <f t="shared" si="7"/>
        <v>36</v>
      </c>
    </row>
    <row r="205" spans="2:7" x14ac:dyDescent="0.3">
      <c r="B205" s="6">
        <v>201</v>
      </c>
      <c r="C205" s="31">
        <f>Overview!F205</f>
        <v>362.92000000000007</v>
      </c>
      <c r="D205" s="6">
        <f>Overview!E205</f>
        <v>7.72</v>
      </c>
      <c r="E205" s="6">
        <f t="shared" si="6"/>
        <v>36292.000000000007</v>
      </c>
      <c r="F205" s="15">
        <v>4</v>
      </c>
      <c r="G205" s="6">
        <f t="shared" si="7"/>
        <v>36</v>
      </c>
    </row>
    <row r="206" spans="2:7" x14ac:dyDescent="0.3">
      <c r="B206" s="6">
        <v>202</v>
      </c>
      <c r="C206" s="31">
        <f>Overview!F206</f>
        <v>370.66000000000008</v>
      </c>
      <c r="D206" s="6">
        <f>Overview!E206</f>
        <v>7.7399999999999904</v>
      </c>
      <c r="E206" s="6">
        <f t="shared" si="6"/>
        <v>37066.000000000007</v>
      </c>
      <c r="F206" s="15">
        <v>4</v>
      </c>
      <c r="G206" s="6">
        <f t="shared" si="7"/>
        <v>37</v>
      </c>
    </row>
    <row r="207" spans="2:7" x14ac:dyDescent="0.3">
      <c r="B207" s="6">
        <v>203</v>
      </c>
      <c r="C207" s="31">
        <f>Overview!F207</f>
        <v>378.42000000000007</v>
      </c>
      <c r="D207" s="6">
        <f>Overview!E207</f>
        <v>7.75999999999999</v>
      </c>
      <c r="E207" s="6">
        <f t="shared" si="6"/>
        <v>37842.000000000007</v>
      </c>
      <c r="F207" s="15">
        <v>4</v>
      </c>
      <c r="G207" s="6">
        <f t="shared" si="7"/>
        <v>38</v>
      </c>
    </row>
    <row r="208" spans="2:7" x14ac:dyDescent="0.3">
      <c r="B208" s="6">
        <v>204</v>
      </c>
      <c r="C208" s="31">
        <f>Overview!F208</f>
        <v>386.20000000000005</v>
      </c>
      <c r="D208" s="6">
        <f>Overview!E208</f>
        <v>7.7799999999999896</v>
      </c>
      <c r="E208" s="6">
        <f t="shared" si="6"/>
        <v>38620.000000000007</v>
      </c>
      <c r="F208" s="15">
        <v>4</v>
      </c>
      <c r="G208" s="6">
        <f t="shared" si="7"/>
        <v>39</v>
      </c>
    </row>
    <row r="209" spans="2:7" x14ac:dyDescent="0.3">
      <c r="B209" s="6">
        <v>205</v>
      </c>
      <c r="C209" s="31">
        <f>Overview!F209</f>
        <v>394.00000000000006</v>
      </c>
      <c r="D209" s="6">
        <f>Overview!E209</f>
        <v>7.7999999999999901</v>
      </c>
      <c r="E209" s="6">
        <f t="shared" si="6"/>
        <v>39400.000000000007</v>
      </c>
      <c r="F209" s="15">
        <v>4</v>
      </c>
      <c r="G209" s="6">
        <f t="shared" si="7"/>
        <v>39</v>
      </c>
    </row>
    <row r="210" spans="2:7" x14ac:dyDescent="0.3">
      <c r="B210" s="6">
        <v>206</v>
      </c>
      <c r="C210" s="31">
        <f>Overview!F210</f>
        <v>401.82000000000005</v>
      </c>
      <c r="D210" s="6">
        <f>Overview!E210</f>
        <v>7.8199999999999896</v>
      </c>
      <c r="E210" s="6">
        <f t="shared" si="6"/>
        <v>40182.000000000007</v>
      </c>
      <c r="F210" s="15">
        <v>4</v>
      </c>
      <c r="G210" s="6">
        <f t="shared" si="7"/>
        <v>40</v>
      </c>
    </row>
    <row r="211" spans="2:7" x14ac:dyDescent="0.3">
      <c r="B211" s="6">
        <v>207</v>
      </c>
      <c r="C211" s="31">
        <f>Overview!F211</f>
        <v>409.66</v>
      </c>
      <c r="D211" s="6">
        <f>Overview!E211</f>
        <v>7.8399999999999901</v>
      </c>
      <c r="E211" s="6">
        <f t="shared" si="6"/>
        <v>40966</v>
      </c>
      <c r="F211" s="15">
        <v>4</v>
      </c>
      <c r="G211" s="6">
        <f t="shared" si="7"/>
        <v>41</v>
      </c>
    </row>
    <row r="212" spans="2:7" x14ac:dyDescent="0.3">
      <c r="B212" s="6">
        <v>208</v>
      </c>
      <c r="C212" s="31">
        <f>Overview!F212</f>
        <v>417.52000000000004</v>
      </c>
      <c r="D212" s="6">
        <f>Overview!E212</f>
        <v>7.8599999999999897</v>
      </c>
      <c r="E212" s="6">
        <f t="shared" si="6"/>
        <v>41752.000000000007</v>
      </c>
      <c r="F212" s="15">
        <v>4</v>
      </c>
      <c r="G212" s="6">
        <f t="shared" si="7"/>
        <v>42</v>
      </c>
    </row>
    <row r="213" spans="2:7" x14ac:dyDescent="0.3">
      <c r="B213" s="6">
        <v>209</v>
      </c>
      <c r="C213" s="31">
        <f>Overview!F213</f>
        <v>425.40000000000003</v>
      </c>
      <c r="D213" s="6">
        <f>Overview!E213</f>
        <v>7.8799999999999901</v>
      </c>
      <c r="E213" s="6">
        <f t="shared" si="6"/>
        <v>42540</v>
      </c>
      <c r="F213" s="15">
        <v>4</v>
      </c>
      <c r="G213" s="6">
        <f t="shared" si="7"/>
        <v>43</v>
      </c>
    </row>
    <row r="214" spans="2:7" x14ac:dyDescent="0.3">
      <c r="B214" s="6">
        <v>210</v>
      </c>
      <c r="C214" s="31">
        <f>Overview!F214</f>
        <v>433.3</v>
      </c>
      <c r="D214" s="6">
        <f>Overview!E214</f>
        <v>7.8999999999999897</v>
      </c>
      <c r="E214" s="6">
        <f t="shared" si="6"/>
        <v>43330</v>
      </c>
      <c r="F214" s="15">
        <v>4</v>
      </c>
      <c r="G214" s="6">
        <f t="shared" si="7"/>
        <v>43</v>
      </c>
    </row>
    <row r="215" spans="2:7" x14ac:dyDescent="0.3">
      <c r="B215" s="6">
        <v>211</v>
      </c>
      <c r="C215" s="31">
        <f>Overview!F215</f>
        <v>441.22</v>
      </c>
      <c r="D215" s="6">
        <f>Overview!E215</f>
        <v>7.9199999999999902</v>
      </c>
      <c r="E215" s="6">
        <f t="shared" si="6"/>
        <v>44122</v>
      </c>
      <c r="F215" s="15">
        <v>4</v>
      </c>
      <c r="G215" s="6">
        <f t="shared" si="7"/>
        <v>44</v>
      </c>
    </row>
    <row r="216" spans="2:7" x14ac:dyDescent="0.3">
      <c r="B216" s="6">
        <v>212</v>
      </c>
      <c r="C216" s="31">
        <f>Overview!F216</f>
        <v>449.16</v>
      </c>
      <c r="D216" s="6">
        <f>Overview!E216</f>
        <v>7.9399999999999897</v>
      </c>
      <c r="E216" s="6">
        <f t="shared" si="6"/>
        <v>44916</v>
      </c>
      <c r="F216" s="15">
        <v>4</v>
      </c>
      <c r="G216" s="6">
        <f t="shared" si="7"/>
        <v>45</v>
      </c>
    </row>
    <row r="217" spans="2:7" x14ac:dyDescent="0.3">
      <c r="B217" s="6">
        <v>213</v>
      </c>
      <c r="C217" s="31">
        <f>Overview!F217</f>
        <v>457.12</v>
      </c>
      <c r="D217" s="6">
        <f>Overview!E217</f>
        <v>7.9599999999999902</v>
      </c>
      <c r="E217" s="6">
        <f t="shared" si="6"/>
        <v>45712</v>
      </c>
      <c r="F217" s="15">
        <v>4</v>
      </c>
      <c r="G217" s="6">
        <f t="shared" si="7"/>
        <v>46</v>
      </c>
    </row>
    <row r="218" spans="2:7" x14ac:dyDescent="0.3">
      <c r="B218" s="6">
        <v>214</v>
      </c>
      <c r="C218" s="31">
        <f>Overview!F218</f>
        <v>465.1</v>
      </c>
      <c r="D218" s="6">
        <f>Overview!E218</f>
        <v>7.9799999999999898</v>
      </c>
      <c r="E218" s="6">
        <f t="shared" si="6"/>
        <v>46510</v>
      </c>
      <c r="F218" s="15">
        <v>4</v>
      </c>
      <c r="G218" s="6">
        <f t="shared" si="7"/>
        <v>47</v>
      </c>
    </row>
    <row r="219" spans="2:7" x14ac:dyDescent="0.3">
      <c r="B219" s="6">
        <v>215</v>
      </c>
      <c r="C219" s="31">
        <f>Overview!F219</f>
        <v>473.1</v>
      </c>
      <c r="D219" s="6">
        <f>Overview!E219</f>
        <v>7.9999999999999902</v>
      </c>
      <c r="E219" s="6">
        <f t="shared" si="6"/>
        <v>47310</v>
      </c>
      <c r="F219" s="15">
        <v>4</v>
      </c>
      <c r="G219" s="6">
        <f t="shared" si="7"/>
        <v>47</v>
      </c>
    </row>
    <row r="220" spans="2:7" x14ac:dyDescent="0.3">
      <c r="B220" s="6">
        <v>216</v>
      </c>
      <c r="C220" s="31">
        <f>Overview!F220</f>
        <v>481.12</v>
      </c>
      <c r="D220" s="6">
        <f>Overview!E220</f>
        <v>8.0199999999999907</v>
      </c>
      <c r="E220" s="6">
        <f t="shared" si="6"/>
        <v>48112</v>
      </c>
      <c r="F220" s="15">
        <v>4</v>
      </c>
      <c r="G220" s="6">
        <f t="shared" si="7"/>
        <v>48</v>
      </c>
    </row>
    <row r="221" spans="2:7" x14ac:dyDescent="0.3">
      <c r="B221" s="6">
        <v>217</v>
      </c>
      <c r="C221" s="31">
        <f>Overview!F221</f>
        <v>489.15999999999997</v>
      </c>
      <c r="D221" s="6">
        <f>Overview!E221</f>
        <v>8.0399999999999903</v>
      </c>
      <c r="E221" s="6">
        <f t="shared" si="6"/>
        <v>48916</v>
      </c>
      <c r="F221" s="15">
        <v>4</v>
      </c>
      <c r="G221" s="6">
        <f t="shared" si="7"/>
        <v>49</v>
      </c>
    </row>
    <row r="222" spans="2:7" x14ac:dyDescent="0.3">
      <c r="B222" s="6">
        <v>218</v>
      </c>
      <c r="C222" s="31">
        <f>Overview!F222</f>
        <v>497.21999999999997</v>
      </c>
      <c r="D222" s="6">
        <f>Overview!E222</f>
        <v>8.0599999999999898</v>
      </c>
      <c r="E222" s="6">
        <f t="shared" si="6"/>
        <v>49722</v>
      </c>
      <c r="F222" s="15">
        <v>4</v>
      </c>
      <c r="G222" s="6">
        <f t="shared" si="7"/>
        <v>50</v>
      </c>
    </row>
    <row r="223" spans="2:7" x14ac:dyDescent="0.3">
      <c r="B223" s="6">
        <v>219</v>
      </c>
      <c r="C223" s="31">
        <f>Overview!F223</f>
        <v>505.29999999999995</v>
      </c>
      <c r="D223" s="6">
        <f>Overview!E223</f>
        <v>8.0799999999999894</v>
      </c>
      <c r="E223" s="6">
        <f t="shared" si="6"/>
        <v>50529.999999999993</v>
      </c>
      <c r="F223" s="15">
        <v>4</v>
      </c>
      <c r="G223" s="6">
        <f t="shared" si="7"/>
        <v>51</v>
      </c>
    </row>
    <row r="224" spans="2:7" x14ac:dyDescent="0.3">
      <c r="B224" s="6">
        <v>220</v>
      </c>
      <c r="C224" s="31">
        <f>Overview!F224</f>
        <v>513.4</v>
      </c>
      <c r="D224" s="6">
        <f>Overview!E224</f>
        <v>8.0999999999999908</v>
      </c>
      <c r="E224" s="6">
        <f t="shared" si="6"/>
        <v>51340</v>
      </c>
      <c r="F224" s="15">
        <v>4</v>
      </c>
      <c r="G224" s="6">
        <f t="shared" si="7"/>
        <v>51</v>
      </c>
    </row>
    <row r="225" spans="2:7" x14ac:dyDescent="0.3">
      <c r="B225" s="6">
        <v>221</v>
      </c>
      <c r="C225" s="31">
        <f>Overview!F225</f>
        <v>521.52</v>
      </c>
      <c r="D225" s="6">
        <f>Overview!E225</f>
        <v>8.1199999999999903</v>
      </c>
      <c r="E225" s="6">
        <f t="shared" si="6"/>
        <v>52152</v>
      </c>
      <c r="F225" s="15">
        <v>4</v>
      </c>
      <c r="G225" s="6">
        <f t="shared" si="7"/>
        <v>52</v>
      </c>
    </row>
    <row r="226" spans="2:7" x14ac:dyDescent="0.3">
      <c r="B226" s="6">
        <v>222</v>
      </c>
      <c r="C226" s="31">
        <f>Overview!F226</f>
        <v>529.66</v>
      </c>
      <c r="D226" s="6">
        <f>Overview!E226</f>
        <v>8.1399999999999899</v>
      </c>
      <c r="E226" s="6">
        <f t="shared" si="6"/>
        <v>52966</v>
      </c>
      <c r="F226" s="15">
        <v>4</v>
      </c>
      <c r="G226" s="6">
        <f t="shared" si="7"/>
        <v>53</v>
      </c>
    </row>
    <row r="227" spans="2:7" x14ac:dyDescent="0.3">
      <c r="B227" s="6">
        <v>223</v>
      </c>
      <c r="C227" s="31">
        <f>Overview!F227</f>
        <v>537.81999999999994</v>
      </c>
      <c r="D227" s="6">
        <f>Overview!E227</f>
        <v>8.1599999999999895</v>
      </c>
      <c r="E227" s="6">
        <f t="shared" si="6"/>
        <v>53781.999999999993</v>
      </c>
      <c r="F227" s="15">
        <v>4</v>
      </c>
      <c r="G227" s="6">
        <f t="shared" si="7"/>
        <v>54</v>
      </c>
    </row>
    <row r="228" spans="2:7" x14ac:dyDescent="0.3">
      <c r="B228" s="6">
        <v>224</v>
      </c>
      <c r="C228" s="31">
        <f>Overview!F228</f>
        <v>545.99999999999989</v>
      </c>
      <c r="D228" s="6">
        <f>Overview!E228</f>
        <v>8.18</v>
      </c>
      <c r="E228" s="6">
        <f t="shared" si="6"/>
        <v>54599.999999999985</v>
      </c>
      <c r="F228" s="15">
        <v>4</v>
      </c>
      <c r="G228" s="6">
        <f t="shared" si="7"/>
        <v>55</v>
      </c>
    </row>
    <row r="229" spans="2:7" x14ac:dyDescent="0.3">
      <c r="B229" s="6">
        <v>225</v>
      </c>
      <c r="C229" s="31">
        <f>Overview!F229</f>
        <v>554.19999999999993</v>
      </c>
      <c r="D229" s="6">
        <f>Overview!E229</f>
        <v>8.1999999999999993</v>
      </c>
      <c r="E229" s="6">
        <f t="shared" si="6"/>
        <v>55419.999999999993</v>
      </c>
      <c r="F229" s="15">
        <v>4</v>
      </c>
      <c r="G229" s="6">
        <f t="shared" si="7"/>
        <v>55</v>
      </c>
    </row>
    <row r="230" spans="2:7" x14ac:dyDescent="0.3">
      <c r="B230" s="6">
        <v>226</v>
      </c>
      <c r="C230" s="31">
        <f>Overview!F230</f>
        <v>562.41999999999996</v>
      </c>
      <c r="D230" s="6">
        <f>Overview!E230</f>
        <v>8.2200000000000006</v>
      </c>
      <c r="E230" s="6">
        <f t="shared" si="6"/>
        <v>56241.999999999993</v>
      </c>
      <c r="F230" s="15">
        <v>4</v>
      </c>
      <c r="G230" s="6">
        <f t="shared" si="7"/>
        <v>56</v>
      </c>
    </row>
    <row r="231" spans="2:7" x14ac:dyDescent="0.3">
      <c r="B231" s="6">
        <v>227</v>
      </c>
      <c r="C231" s="31">
        <f>Overview!F231</f>
        <v>570.66</v>
      </c>
      <c r="D231" s="6">
        <f>Overview!E231</f>
        <v>8.24</v>
      </c>
      <c r="E231" s="6">
        <f t="shared" si="6"/>
        <v>57066</v>
      </c>
      <c r="F231" s="15">
        <v>4</v>
      </c>
      <c r="G231" s="6">
        <f t="shared" si="7"/>
        <v>57</v>
      </c>
    </row>
    <row r="232" spans="2:7" x14ac:dyDescent="0.3">
      <c r="B232" s="6">
        <v>228</v>
      </c>
      <c r="C232" s="31">
        <f>Overview!F232</f>
        <v>578.91999999999996</v>
      </c>
      <c r="D232" s="6">
        <f>Overview!E232</f>
        <v>8.26</v>
      </c>
      <c r="E232" s="6">
        <f t="shared" si="6"/>
        <v>57891.999999999993</v>
      </c>
      <c r="F232" s="15">
        <v>4</v>
      </c>
      <c r="G232" s="6">
        <f t="shared" si="7"/>
        <v>58</v>
      </c>
    </row>
    <row r="233" spans="2:7" x14ac:dyDescent="0.3">
      <c r="B233" s="6">
        <v>229</v>
      </c>
      <c r="C233" s="31">
        <f>Overview!F233</f>
        <v>587.19999999999993</v>
      </c>
      <c r="D233" s="6">
        <f>Overview!E233</f>
        <v>8.2799999999999994</v>
      </c>
      <c r="E233" s="6">
        <f t="shared" si="6"/>
        <v>58719.999999999993</v>
      </c>
      <c r="F233" s="15">
        <v>4</v>
      </c>
      <c r="G233" s="6">
        <f t="shared" si="7"/>
        <v>59</v>
      </c>
    </row>
    <row r="234" spans="2:7" x14ac:dyDescent="0.3">
      <c r="B234" s="6">
        <v>230</v>
      </c>
      <c r="C234" s="31">
        <f>Overview!F234</f>
        <v>595.49999999999989</v>
      </c>
      <c r="D234" s="6">
        <f>Overview!E234</f>
        <v>8.3000000000000007</v>
      </c>
      <c r="E234" s="6">
        <f t="shared" si="6"/>
        <v>59549.999999999985</v>
      </c>
      <c r="F234" s="15">
        <v>4</v>
      </c>
      <c r="G234" s="6">
        <f t="shared" si="7"/>
        <v>60</v>
      </c>
    </row>
    <row r="235" spans="2:7" x14ac:dyDescent="0.3">
      <c r="B235" s="6">
        <v>231</v>
      </c>
      <c r="C235" s="31">
        <f>Overview!F235</f>
        <v>605.49999999999989</v>
      </c>
      <c r="D235" s="6">
        <f>Overview!E235</f>
        <v>10</v>
      </c>
      <c r="E235" s="6">
        <f t="shared" si="6"/>
        <v>60549.999999999985</v>
      </c>
      <c r="F235" s="15">
        <v>4</v>
      </c>
      <c r="G235" s="6">
        <f t="shared" si="7"/>
        <v>61</v>
      </c>
    </row>
    <row r="236" spans="2:7" x14ac:dyDescent="0.3">
      <c r="B236" s="6">
        <v>232</v>
      </c>
      <c r="C236" s="31">
        <f>Overview!F236</f>
        <v>625.49999999999989</v>
      </c>
      <c r="D236" s="6">
        <f>Overview!E236</f>
        <v>20</v>
      </c>
      <c r="E236" s="6">
        <f t="shared" si="6"/>
        <v>62549.999999999985</v>
      </c>
      <c r="F236" s="15">
        <v>4</v>
      </c>
      <c r="G236" s="6">
        <f t="shared" si="7"/>
        <v>63</v>
      </c>
    </row>
    <row r="237" spans="2:7" x14ac:dyDescent="0.3">
      <c r="B237" s="6">
        <v>233</v>
      </c>
      <c r="C237" s="31">
        <f>Overview!F237</f>
        <v>655.49999999999989</v>
      </c>
      <c r="D237" s="6">
        <f>Overview!E237</f>
        <v>30</v>
      </c>
      <c r="E237" s="6">
        <f t="shared" si="6"/>
        <v>65549.999999999985</v>
      </c>
      <c r="F237" s="15">
        <v>4</v>
      </c>
      <c r="G237" s="6">
        <f t="shared" si="7"/>
        <v>66</v>
      </c>
    </row>
    <row r="238" spans="2:7" x14ac:dyDescent="0.3">
      <c r="B238" s="6">
        <v>234</v>
      </c>
      <c r="C238" s="31">
        <f>Overview!F238</f>
        <v>695.49999999999989</v>
      </c>
      <c r="D238" s="6">
        <f>Overview!E238</f>
        <v>40</v>
      </c>
      <c r="E238" s="6">
        <f t="shared" si="6"/>
        <v>69549.999999999985</v>
      </c>
      <c r="F238" s="15">
        <v>4</v>
      </c>
      <c r="G238" s="6">
        <f t="shared" si="7"/>
        <v>70</v>
      </c>
    </row>
    <row r="239" spans="2:7" x14ac:dyDescent="0.3">
      <c r="B239" s="6">
        <v>235</v>
      </c>
      <c r="C239" s="31">
        <f>Overview!F239</f>
        <v>755.49999999999989</v>
      </c>
      <c r="D239" s="6">
        <f>Overview!E239</f>
        <v>60</v>
      </c>
      <c r="E239" s="6">
        <f t="shared" si="6"/>
        <v>75549.999999999985</v>
      </c>
      <c r="F239" s="15">
        <v>4</v>
      </c>
      <c r="G239" s="6">
        <f t="shared" si="7"/>
        <v>76</v>
      </c>
    </row>
    <row r="240" spans="2:7" x14ac:dyDescent="0.3">
      <c r="B240" s="6">
        <v>236</v>
      </c>
      <c r="C240" s="31">
        <f>Overview!F240</f>
        <v>845.49999999999989</v>
      </c>
      <c r="D240" s="6">
        <f>Overview!E240</f>
        <v>90</v>
      </c>
      <c r="E240" s="6">
        <f t="shared" si="6"/>
        <v>84549.999999999985</v>
      </c>
      <c r="F240" s="15">
        <v>4</v>
      </c>
      <c r="G240" s="6">
        <f t="shared" si="7"/>
        <v>85</v>
      </c>
    </row>
    <row r="241" spans="2:7" x14ac:dyDescent="0.3">
      <c r="B241" s="6">
        <v>237</v>
      </c>
      <c r="C241" s="31">
        <f>Overview!F241</f>
        <v>965.49999999999989</v>
      </c>
      <c r="D241" s="6">
        <f>Overview!E241</f>
        <v>120</v>
      </c>
      <c r="E241" s="6">
        <f t="shared" si="6"/>
        <v>96549.999999999985</v>
      </c>
      <c r="F241" s="15">
        <v>4</v>
      </c>
      <c r="G241" s="6">
        <f t="shared" si="7"/>
        <v>97</v>
      </c>
    </row>
    <row r="242" spans="2:7" x14ac:dyDescent="0.3">
      <c r="B242" s="6">
        <v>238</v>
      </c>
      <c r="C242" s="31">
        <f>Overview!F242</f>
        <v>1115.5</v>
      </c>
      <c r="D242" s="6">
        <f>Overview!E242</f>
        <v>150</v>
      </c>
      <c r="E242" s="6">
        <f t="shared" si="6"/>
        <v>111550</v>
      </c>
      <c r="F242" s="15">
        <v>4</v>
      </c>
      <c r="G242" s="6">
        <f t="shared" si="7"/>
        <v>112</v>
      </c>
    </row>
    <row r="243" spans="2:7" x14ac:dyDescent="0.3">
      <c r="B243" s="6">
        <v>239</v>
      </c>
      <c r="C243" s="31">
        <f>Overview!F243</f>
        <v>1315.5</v>
      </c>
      <c r="D243" s="6">
        <f>Overview!E243</f>
        <v>200</v>
      </c>
      <c r="E243" s="6">
        <f t="shared" si="6"/>
        <v>131550</v>
      </c>
      <c r="F243" s="15">
        <v>4</v>
      </c>
      <c r="G243" s="6">
        <f t="shared" si="7"/>
        <v>132</v>
      </c>
    </row>
    <row r="244" spans="2:7" x14ac:dyDescent="0.3">
      <c r="B244" s="6">
        <v>240</v>
      </c>
      <c r="C244" s="31">
        <f>Overview!F244</f>
        <v>1565.5</v>
      </c>
      <c r="D244" s="6">
        <f>Overview!E244</f>
        <v>250</v>
      </c>
      <c r="E244" s="6">
        <f t="shared" si="6"/>
        <v>156550</v>
      </c>
      <c r="F244" s="15">
        <v>4</v>
      </c>
      <c r="G244" s="6">
        <f t="shared" si="7"/>
        <v>157</v>
      </c>
    </row>
    <row r="245" spans="2:7" x14ac:dyDescent="0.3">
      <c r="B245" s="6">
        <v>241</v>
      </c>
      <c r="C245" s="31">
        <f>Overview!F245</f>
        <v>1865.5</v>
      </c>
      <c r="D245" s="6">
        <f>Overview!E245</f>
        <v>300</v>
      </c>
      <c r="E245" s="6">
        <f t="shared" si="6"/>
        <v>186550</v>
      </c>
      <c r="F245" s="15">
        <v>4</v>
      </c>
      <c r="G245" s="6">
        <f t="shared" si="7"/>
        <v>187</v>
      </c>
    </row>
    <row r="246" spans="2:7" x14ac:dyDescent="0.3">
      <c r="B246" s="6">
        <v>242</v>
      </c>
      <c r="C246" s="31">
        <f>Overview!F246</f>
        <v>2265.5</v>
      </c>
      <c r="D246" s="6">
        <f>Overview!E246</f>
        <v>400</v>
      </c>
      <c r="E246" s="6">
        <f t="shared" si="6"/>
        <v>226550</v>
      </c>
      <c r="F246" s="15">
        <v>4</v>
      </c>
      <c r="G246" s="6">
        <f t="shared" si="7"/>
        <v>227</v>
      </c>
    </row>
    <row r="247" spans="2:7" x14ac:dyDescent="0.3">
      <c r="B247" s="6">
        <v>243</v>
      </c>
      <c r="C247" s="31">
        <f>Overview!F247</f>
        <v>2765.5</v>
      </c>
      <c r="D247" s="6">
        <f>Overview!E247</f>
        <v>500</v>
      </c>
      <c r="E247" s="6">
        <f t="shared" si="6"/>
        <v>276550</v>
      </c>
      <c r="F247" s="18">
        <v>5</v>
      </c>
      <c r="G247" s="6">
        <f t="shared" si="7"/>
        <v>28</v>
      </c>
    </row>
    <row r="248" spans="2:7" x14ac:dyDescent="0.3">
      <c r="B248" s="6">
        <v>244</v>
      </c>
      <c r="C248" s="31">
        <f>Overview!F248</f>
        <v>3365.5</v>
      </c>
      <c r="D248" s="6">
        <f>Overview!E248</f>
        <v>600</v>
      </c>
      <c r="E248" s="6">
        <f t="shared" si="6"/>
        <v>336550</v>
      </c>
      <c r="F248" s="18">
        <v>5</v>
      </c>
      <c r="G248" s="6">
        <f t="shared" si="7"/>
        <v>34</v>
      </c>
    </row>
    <row r="249" spans="2:7" x14ac:dyDescent="0.3">
      <c r="B249" s="6">
        <v>245</v>
      </c>
      <c r="C249" s="31">
        <f>Overview!F249</f>
        <v>4165.5</v>
      </c>
      <c r="D249" s="6">
        <f>Overview!E249</f>
        <v>800</v>
      </c>
      <c r="E249" s="6">
        <f t="shared" si="6"/>
        <v>416550</v>
      </c>
      <c r="F249" s="18">
        <v>5</v>
      </c>
      <c r="G249" s="6">
        <f t="shared" si="7"/>
        <v>42</v>
      </c>
    </row>
    <row r="250" spans="2:7" x14ac:dyDescent="0.3">
      <c r="B250" s="6">
        <v>246</v>
      </c>
      <c r="C250" s="31">
        <f>Overview!F250</f>
        <v>5165.5</v>
      </c>
      <c r="D250" s="6">
        <f>Overview!E250</f>
        <v>1000</v>
      </c>
      <c r="E250" s="6">
        <f t="shared" si="6"/>
        <v>516550</v>
      </c>
      <c r="F250" s="18">
        <v>5</v>
      </c>
      <c r="G250" s="6">
        <f t="shared" si="7"/>
        <v>52</v>
      </c>
    </row>
    <row r="251" spans="2:7" x14ac:dyDescent="0.3">
      <c r="B251" s="6">
        <v>247</v>
      </c>
      <c r="C251" s="31">
        <f>Overview!F251</f>
        <v>6365.5</v>
      </c>
      <c r="D251" s="6">
        <f>Overview!E251</f>
        <v>1200</v>
      </c>
      <c r="E251" s="6">
        <f t="shared" si="6"/>
        <v>636550</v>
      </c>
      <c r="F251" s="18">
        <v>5</v>
      </c>
      <c r="G251" s="6">
        <f t="shared" si="7"/>
        <v>64</v>
      </c>
    </row>
    <row r="252" spans="2:7" x14ac:dyDescent="0.3">
      <c r="B252" s="6">
        <v>248</v>
      </c>
      <c r="C252" s="31">
        <f>Overview!F252</f>
        <v>7965.5</v>
      </c>
      <c r="D252" s="6">
        <f>Overview!E252</f>
        <v>1600</v>
      </c>
      <c r="E252" s="6">
        <f t="shared" si="6"/>
        <v>796550</v>
      </c>
      <c r="F252" s="18">
        <v>5</v>
      </c>
      <c r="G252" s="6">
        <f t="shared" si="7"/>
        <v>80</v>
      </c>
    </row>
    <row r="253" spans="2:7" x14ac:dyDescent="0.3">
      <c r="B253" s="6">
        <v>249</v>
      </c>
      <c r="C253" s="31">
        <f>Overview!F253</f>
        <v>9965.5</v>
      </c>
      <c r="D253" s="6">
        <f>Overview!E253</f>
        <v>2000</v>
      </c>
      <c r="E253" s="6">
        <f t="shared" si="6"/>
        <v>996550</v>
      </c>
      <c r="F253" s="18">
        <v>5</v>
      </c>
      <c r="G253" s="6">
        <f t="shared" si="7"/>
        <v>100</v>
      </c>
    </row>
    <row r="254" spans="2:7" x14ac:dyDescent="0.3">
      <c r="B254" s="6">
        <v>250</v>
      </c>
      <c r="C254" s="31">
        <f>Overview!F254</f>
        <v>12965.5</v>
      </c>
      <c r="D254" s="6">
        <f>Overview!E254</f>
        <v>3000</v>
      </c>
      <c r="E254" s="6">
        <f t="shared" si="6"/>
        <v>1296550</v>
      </c>
      <c r="F254" s="18">
        <v>5</v>
      </c>
      <c r="G254" s="6">
        <f t="shared" si="7"/>
        <v>130</v>
      </c>
    </row>
    <row r="255" spans="2:7" x14ac:dyDescent="0.3">
      <c r="B255" s="6">
        <v>251</v>
      </c>
      <c r="C255" s="31">
        <f>Overview!F255</f>
        <v>17965.5</v>
      </c>
      <c r="D255" s="6">
        <f>Overview!E255</f>
        <v>5000</v>
      </c>
      <c r="E255" s="6">
        <f t="shared" si="6"/>
        <v>1796550</v>
      </c>
      <c r="F255" s="18">
        <v>5</v>
      </c>
      <c r="G255" s="6">
        <f t="shared" si="7"/>
        <v>180</v>
      </c>
    </row>
    <row r="256" spans="2:7" x14ac:dyDescent="0.3">
      <c r="B256" s="6">
        <v>252</v>
      </c>
      <c r="C256" s="31">
        <f>Overview!F256</f>
        <v>24965.5</v>
      </c>
      <c r="D256" s="6">
        <f>Overview!E256</f>
        <v>7000</v>
      </c>
      <c r="E256" s="6">
        <f t="shared" si="6"/>
        <v>2496550</v>
      </c>
      <c r="F256" s="18">
        <v>5</v>
      </c>
      <c r="G256" s="6">
        <f t="shared" si="7"/>
        <v>250</v>
      </c>
    </row>
    <row r="257" spans="2:15" x14ac:dyDescent="0.3">
      <c r="B257" s="6">
        <v>253</v>
      </c>
      <c r="C257" s="31">
        <f>Overview!F257</f>
        <v>36965.5</v>
      </c>
      <c r="D257" s="6">
        <f>Overview!E257</f>
        <v>12000</v>
      </c>
      <c r="E257" s="6">
        <f t="shared" si="6"/>
        <v>3696550</v>
      </c>
      <c r="F257" s="17">
        <v>6</v>
      </c>
      <c r="G257" s="6">
        <f t="shared" si="7"/>
        <v>37</v>
      </c>
    </row>
    <row r="258" spans="2:15" x14ac:dyDescent="0.3">
      <c r="B258" s="6">
        <v>254</v>
      </c>
      <c r="C258" s="31">
        <f>Overview!F258</f>
        <v>54965.5</v>
      </c>
      <c r="D258" s="6">
        <f>Overview!E258</f>
        <v>18000</v>
      </c>
      <c r="E258" s="6">
        <f t="shared" si="6"/>
        <v>5496550</v>
      </c>
      <c r="F258" s="17">
        <v>6</v>
      </c>
      <c r="G258" s="6">
        <f t="shared" si="7"/>
        <v>55</v>
      </c>
    </row>
    <row r="259" spans="2:15" x14ac:dyDescent="0.3">
      <c r="B259" s="6">
        <v>255</v>
      </c>
      <c r="C259" s="31">
        <f>Overview!F259</f>
        <v>82965.5</v>
      </c>
      <c r="D259" s="6">
        <f>Overview!E259</f>
        <v>28000</v>
      </c>
      <c r="E259" s="6">
        <f t="shared" si="6"/>
        <v>8296550</v>
      </c>
      <c r="F259" s="17">
        <v>6</v>
      </c>
      <c r="G259" s="6">
        <f t="shared" si="7"/>
        <v>83</v>
      </c>
    </row>
    <row r="260" spans="2:15" x14ac:dyDescent="0.3">
      <c r="O260" t="s">
        <v>313</v>
      </c>
    </row>
  </sheetData>
  <mergeCells count="1">
    <mergeCell ref="J2:K2"/>
  </mergeCell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CommandButton1">
          <controlPr defaultSize="0" autoLine="0" r:id="rId5">
            <anchor moveWithCells="1">
              <from>
                <xdr:col>13</xdr:col>
                <xdr:colOff>784860</xdr:colOff>
                <xdr:row>0</xdr:row>
                <xdr:rowOff>129540</xdr:rowOff>
              </from>
              <to>
                <xdr:col>15</xdr:col>
                <xdr:colOff>160020</xdr:colOff>
                <xdr:row>1</xdr:row>
                <xdr:rowOff>243840</xdr:rowOff>
              </to>
            </anchor>
          </controlPr>
        </control>
      </mc:Choice>
      <mc:Fallback>
        <control shapeId="5121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2D3A4F-DDCB-40F7-BEC3-E8669CEF489A}">
  <sheetPr codeName="Tabelle5"/>
  <dimension ref="B2:L19"/>
  <sheetViews>
    <sheetView workbookViewId="0">
      <selection activeCell="J19" sqref="J19"/>
    </sheetView>
  </sheetViews>
  <sheetFormatPr baseColWidth="10" defaultRowHeight="14.4" x14ac:dyDescent="0.3"/>
  <cols>
    <col min="1" max="1" width="5.44140625" customWidth="1"/>
    <col min="2" max="5" width="8.33203125" customWidth="1"/>
    <col min="6" max="6" width="4.44140625" customWidth="1"/>
    <col min="7" max="7" width="9.33203125" customWidth="1"/>
    <col min="11" max="11" width="5.88671875" customWidth="1"/>
  </cols>
  <sheetData>
    <row r="2" spans="2:12" ht="23.4" x14ac:dyDescent="0.45">
      <c r="B2" s="32" t="s">
        <v>314</v>
      </c>
      <c r="C2" s="32"/>
    </row>
    <row r="6" spans="2:12" ht="28.8" x14ac:dyDescent="0.3">
      <c r="B6" s="25" t="s">
        <v>0</v>
      </c>
      <c r="C6" s="25" t="s">
        <v>1</v>
      </c>
      <c r="D6" s="25" t="s">
        <v>2</v>
      </c>
      <c r="E6" s="25" t="s">
        <v>3</v>
      </c>
      <c r="F6" s="24"/>
      <c r="G6" s="27" t="s">
        <v>315</v>
      </c>
      <c r="H6" s="21" t="s">
        <v>4</v>
      </c>
      <c r="I6" s="21" t="s">
        <v>6</v>
      </c>
      <c r="J6" s="22" t="s">
        <v>5</v>
      </c>
      <c r="L6" s="33" t="s">
        <v>320</v>
      </c>
    </row>
    <row r="7" spans="2:12" x14ac:dyDescent="0.3">
      <c r="B7" s="1"/>
      <c r="C7" s="1"/>
      <c r="D7" s="1"/>
      <c r="E7" s="1"/>
      <c r="G7" s="2"/>
      <c r="H7" s="2"/>
      <c r="I7" s="2"/>
      <c r="J7" s="3"/>
    </row>
    <row r="8" spans="2:12" x14ac:dyDescent="0.3">
      <c r="B8" s="1">
        <v>0</v>
      </c>
      <c r="C8" s="1">
        <v>0</v>
      </c>
      <c r="D8" s="1">
        <v>0</v>
      </c>
      <c r="E8" s="1">
        <v>0</v>
      </c>
      <c r="G8" s="2">
        <v>4095</v>
      </c>
      <c r="H8" s="2">
        <v>0.01</v>
      </c>
      <c r="I8" s="2">
        <f t="shared" ref="I8:I19" si="0">H8*100</f>
        <v>1</v>
      </c>
      <c r="J8" s="3">
        <f t="shared" ref="J8:J19" si="1">G8*H8</f>
        <v>40.950000000000003</v>
      </c>
      <c r="L8">
        <f>G8*I8</f>
        <v>4095</v>
      </c>
    </row>
    <row r="9" spans="2:12" x14ac:dyDescent="0.3">
      <c r="B9" s="1">
        <v>0</v>
      </c>
      <c r="C9" s="1">
        <v>0</v>
      </c>
      <c r="D9" s="1">
        <v>0</v>
      </c>
      <c r="E9" s="1">
        <v>1</v>
      </c>
      <c r="G9" s="2">
        <v>4095</v>
      </c>
      <c r="H9" s="2">
        <v>0.02</v>
      </c>
      <c r="I9" s="2">
        <f t="shared" si="0"/>
        <v>2</v>
      </c>
      <c r="J9" s="3">
        <f t="shared" si="1"/>
        <v>81.900000000000006</v>
      </c>
      <c r="L9">
        <f t="shared" ref="L9:L19" si="2">G9*I9</f>
        <v>8190</v>
      </c>
    </row>
    <row r="10" spans="2:12" x14ac:dyDescent="0.3">
      <c r="B10" s="1">
        <v>0</v>
      </c>
      <c r="C10" s="1">
        <v>0</v>
      </c>
      <c r="D10" s="1">
        <v>1</v>
      </c>
      <c r="E10" s="1">
        <v>0</v>
      </c>
      <c r="G10" s="2">
        <v>4095</v>
      </c>
      <c r="H10" s="2">
        <v>0.04</v>
      </c>
      <c r="I10" s="2">
        <f t="shared" si="0"/>
        <v>4</v>
      </c>
      <c r="J10" s="3">
        <f t="shared" si="1"/>
        <v>163.80000000000001</v>
      </c>
      <c r="L10">
        <f t="shared" si="2"/>
        <v>16380</v>
      </c>
    </row>
    <row r="11" spans="2:12" x14ac:dyDescent="0.3">
      <c r="B11" s="1">
        <v>0</v>
      </c>
      <c r="C11" s="1">
        <v>0</v>
      </c>
      <c r="D11" s="1">
        <v>1</v>
      </c>
      <c r="E11" s="1">
        <v>1</v>
      </c>
      <c r="G11" s="2">
        <v>4095</v>
      </c>
      <c r="H11" s="2">
        <v>0.08</v>
      </c>
      <c r="I11" s="2">
        <f t="shared" si="0"/>
        <v>8</v>
      </c>
      <c r="J11" s="3">
        <f t="shared" si="1"/>
        <v>327.60000000000002</v>
      </c>
      <c r="L11">
        <f t="shared" si="2"/>
        <v>32760</v>
      </c>
    </row>
    <row r="12" spans="2:12" x14ac:dyDescent="0.3">
      <c r="B12" s="1">
        <v>0</v>
      </c>
      <c r="C12" s="1">
        <v>1</v>
      </c>
      <c r="D12" s="1">
        <v>0</v>
      </c>
      <c r="E12" s="1">
        <v>0</v>
      </c>
      <c r="G12" s="2">
        <v>4095</v>
      </c>
      <c r="H12" s="2">
        <v>0.16</v>
      </c>
      <c r="I12" s="2">
        <f t="shared" si="0"/>
        <v>16</v>
      </c>
      <c r="J12" s="3">
        <f t="shared" si="1"/>
        <v>655.20000000000005</v>
      </c>
      <c r="L12">
        <f t="shared" si="2"/>
        <v>65520</v>
      </c>
    </row>
    <row r="13" spans="2:12" x14ac:dyDescent="0.3">
      <c r="B13" s="1">
        <v>0</v>
      </c>
      <c r="C13" s="1">
        <v>1</v>
      </c>
      <c r="D13" s="1">
        <v>0</v>
      </c>
      <c r="E13" s="1">
        <v>1</v>
      </c>
      <c r="G13" s="2">
        <v>4095</v>
      </c>
      <c r="H13" s="2">
        <v>0.32</v>
      </c>
      <c r="I13" s="2">
        <f t="shared" si="0"/>
        <v>32</v>
      </c>
      <c r="J13" s="3">
        <f t="shared" si="1"/>
        <v>1310.4000000000001</v>
      </c>
      <c r="L13">
        <f t="shared" si="2"/>
        <v>131040</v>
      </c>
    </row>
    <row r="14" spans="2:12" x14ac:dyDescent="0.3">
      <c r="B14" s="1">
        <v>0</v>
      </c>
      <c r="C14" s="1">
        <v>1</v>
      </c>
      <c r="D14" s="1">
        <v>1</v>
      </c>
      <c r="E14" s="1">
        <v>0</v>
      </c>
      <c r="G14" s="2">
        <v>4095</v>
      </c>
      <c r="H14" s="2">
        <v>0.64</v>
      </c>
      <c r="I14" s="2">
        <f t="shared" si="0"/>
        <v>64</v>
      </c>
      <c r="J14" s="3">
        <f t="shared" si="1"/>
        <v>2620.8000000000002</v>
      </c>
      <c r="L14">
        <f t="shared" si="2"/>
        <v>262080</v>
      </c>
    </row>
    <row r="15" spans="2:12" x14ac:dyDescent="0.3">
      <c r="B15" s="1">
        <v>0</v>
      </c>
      <c r="C15" s="1">
        <v>1</v>
      </c>
      <c r="D15" s="1">
        <v>1</v>
      </c>
      <c r="E15" s="1">
        <v>1</v>
      </c>
      <c r="G15" s="2">
        <v>4095</v>
      </c>
      <c r="H15" s="2">
        <v>1.28</v>
      </c>
      <c r="I15" s="2">
        <f t="shared" si="0"/>
        <v>128</v>
      </c>
      <c r="J15" s="3">
        <f t="shared" si="1"/>
        <v>5241.6000000000004</v>
      </c>
      <c r="L15">
        <f t="shared" si="2"/>
        <v>524160</v>
      </c>
    </row>
    <row r="16" spans="2:12" x14ac:dyDescent="0.3">
      <c r="B16" s="1">
        <v>1</v>
      </c>
      <c r="C16" s="1">
        <v>0</v>
      </c>
      <c r="D16" s="1">
        <v>0</v>
      </c>
      <c r="E16" s="1">
        <v>0</v>
      </c>
      <c r="G16" s="2">
        <v>4095</v>
      </c>
      <c r="H16" s="2">
        <v>2.56</v>
      </c>
      <c r="I16" s="2">
        <f t="shared" si="0"/>
        <v>256</v>
      </c>
      <c r="J16" s="3">
        <f t="shared" si="1"/>
        <v>10483.200000000001</v>
      </c>
      <c r="L16">
        <f t="shared" si="2"/>
        <v>1048320</v>
      </c>
    </row>
    <row r="17" spans="2:12" x14ac:dyDescent="0.3">
      <c r="B17" s="1">
        <v>1</v>
      </c>
      <c r="C17" s="1">
        <v>0</v>
      </c>
      <c r="D17" s="1">
        <v>0</v>
      </c>
      <c r="E17" s="1">
        <v>1</v>
      </c>
      <c r="G17" s="2">
        <v>4095</v>
      </c>
      <c r="H17" s="2">
        <v>5.12</v>
      </c>
      <c r="I17" s="2">
        <f t="shared" si="0"/>
        <v>512</v>
      </c>
      <c r="J17" s="3">
        <f t="shared" si="1"/>
        <v>20966.400000000001</v>
      </c>
      <c r="L17">
        <f t="shared" si="2"/>
        <v>2096640</v>
      </c>
    </row>
    <row r="18" spans="2:12" x14ac:dyDescent="0.3">
      <c r="B18" s="1">
        <v>1</v>
      </c>
      <c r="C18" s="1">
        <v>0</v>
      </c>
      <c r="D18" s="1">
        <v>1</v>
      </c>
      <c r="E18" s="1">
        <v>0</v>
      </c>
      <c r="G18" s="2">
        <v>4095</v>
      </c>
      <c r="H18" s="2">
        <v>10.24</v>
      </c>
      <c r="I18" s="2">
        <f t="shared" si="0"/>
        <v>1024</v>
      </c>
      <c r="J18" s="3">
        <f t="shared" si="1"/>
        <v>41932.800000000003</v>
      </c>
      <c r="L18">
        <f t="shared" si="2"/>
        <v>4193280</v>
      </c>
    </row>
    <row r="19" spans="2:12" x14ac:dyDescent="0.3">
      <c r="B19" s="1">
        <v>1</v>
      </c>
      <c r="C19" s="1">
        <v>0</v>
      </c>
      <c r="D19" s="1">
        <v>1</v>
      </c>
      <c r="E19" s="1">
        <v>1</v>
      </c>
      <c r="G19" s="2">
        <v>4095</v>
      </c>
      <c r="H19" s="2">
        <v>20.48</v>
      </c>
      <c r="I19" s="2">
        <f t="shared" si="0"/>
        <v>2048</v>
      </c>
      <c r="J19" s="3">
        <f t="shared" si="1"/>
        <v>83865.600000000006</v>
      </c>
      <c r="L19">
        <f t="shared" si="2"/>
        <v>8386560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4</vt:i4>
      </vt:variant>
    </vt:vector>
  </HeadingPairs>
  <TitlesOfParts>
    <vt:vector size="4" baseType="lpstr">
      <vt:lpstr>Overview</vt:lpstr>
      <vt:lpstr>Input</vt:lpstr>
      <vt:lpstr>Code gen</vt:lpstr>
      <vt:lpstr>LUX calc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Horst Bittner</dc:creator>
  <cp:lastModifiedBy>Horst Bittner</cp:lastModifiedBy>
  <dcterms:created xsi:type="dcterms:W3CDTF">2021-05-13T11:17:39Z</dcterms:created>
  <dcterms:modified xsi:type="dcterms:W3CDTF">2021-06-01T08:08:29Z</dcterms:modified>
</cp:coreProperties>
</file>