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:\96_Development\OPT3001\"/>
    </mc:Choice>
  </mc:AlternateContent>
  <xr:revisionPtr revIDLastSave="0" documentId="14_{36B5CF9D-81A9-44CF-9300-C6B008E4A950}" xr6:coauthVersionLast="46" xr6:coauthVersionMax="46" xr10:uidLastSave="{00000000-0000-0000-0000-000000000000}"/>
  <bookViews>
    <workbookView xWindow="12756" yWindow="1176" windowWidth="31992" windowHeight="22368" xr2:uid="{00000000-000D-0000-FFFF-FFFF00000000}"/>
  </bookViews>
  <sheets>
    <sheet name="Overview" sheetId="1" r:id="rId1"/>
    <sheet name="Input" sheetId="3" r:id="rId2"/>
    <sheet name="Code gen" sheetId="4" r:id="rId3"/>
    <sheet name="LUX calc" sheetId="5" r:id="rId4"/>
  </sheets>
  <functionGroups builtInGroupCount="19"/>
  <calcPr calcId="181029"/>
</workbook>
</file>

<file path=xl/calcChain.xml><?xml version="1.0" encoding="utf-8"?>
<calcChain xmlns="http://schemas.openxmlformats.org/spreadsheetml/2006/main">
  <c r="M12" i="4" l="1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C36" i="1" s="1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C20" i="1" s="1"/>
  <c r="I19" i="3"/>
  <c r="I18" i="3"/>
  <c r="I17" i="3"/>
  <c r="I16" i="3"/>
  <c r="I15" i="3"/>
  <c r="I14" i="3"/>
  <c r="I13" i="3"/>
  <c r="I12" i="3"/>
  <c r="I11" i="3"/>
  <c r="I10" i="3"/>
  <c r="I9" i="3"/>
  <c r="I8" i="3"/>
  <c r="C8" i="1" s="1"/>
  <c r="I7" i="3"/>
  <c r="I6" i="3"/>
  <c r="I5" i="3"/>
  <c r="I4" i="3"/>
  <c r="C4" i="1" s="1"/>
  <c r="J6" i="4"/>
  <c r="K5" i="4"/>
  <c r="J5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4" i="4"/>
  <c r="L9" i="5"/>
  <c r="L10" i="5"/>
  <c r="L11" i="5"/>
  <c r="L12" i="5"/>
  <c r="L13" i="5"/>
  <c r="L14" i="5"/>
  <c r="L15" i="5"/>
  <c r="L16" i="5"/>
  <c r="L17" i="5"/>
  <c r="L18" i="5"/>
  <c r="L19" i="5"/>
  <c r="C112" i="1"/>
  <c r="C108" i="1"/>
  <c r="C88" i="1"/>
  <c r="C84" i="1"/>
  <c r="C64" i="1"/>
  <c r="C60" i="1"/>
  <c r="C48" i="1"/>
  <c r="C44" i="1"/>
  <c r="C40" i="1"/>
  <c r="C28" i="1"/>
  <c r="C16" i="1"/>
  <c r="C12" i="1"/>
  <c r="I8" i="5"/>
  <c r="L8" i="5" s="1"/>
  <c r="J8" i="5"/>
  <c r="I9" i="5"/>
  <c r="J9" i="5"/>
  <c r="I10" i="5"/>
  <c r="J10" i="5"/>
  <c r="I11" i="5"/>
  <c r="J11" i="5"/>
  <c r="I12" i="5"/>
  <c r="J12" i="5"/>
  <c r="I13" i="5"/>
  <c r="J13" i="5"/>
  <c r="I14" i="5"/>
  <c r="J14" i="5"/>
  <c r="I15" i="5"/>
  <c r="J15" i="5"/>
  <c r="I16" i="5"/>
  <c r="J16" i="5"/>
  <c r="I17" i="5"/>
  <c r="J17" i="5"/>
  <c r="I18" i="5"/>
  <c r="J18" i="5"/>
  <c r="I19" i="5"/>
  <c r="J19" i="5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4" i="4"/>
  <c r="C4" i="4"/>
  <c r="F5" i="1"/>
  <c r="C5" i="4" s="1"/>
  <c r="C239" i="1"/>
  <c r="C240" i="1"/>
  <c r="C32" i="1"/>
  <c r="C52" i="1"/>
  <c r="C56" i="1"/>
  <c r="C76" i="1"/>
  <c r="C80" i="1"/>
  <c r="C96" i="1"/>
  <c r="C104" i="1"/>
  <c r="C120" i="1"/>
  <c r="C124" i="1"/>
  <c r="C128" i="1"/>
  <c r="C132" i="1"/>
  <c r="C140" i="1"/>
  <c r="C144" i="1"/>
  <c r="C148" i="1"/>
  <c r="C152" i="1"/>
  <c r="C156" i="1"/>
  <c r="C160" i="1"/>
  <c r="C164" i="1"/>
  <c r="C168" i="1"/>
  <c r="C172" i="1"/>
  <c r="C176" i="1"/>
  <c r="C180" i="1"/>
  <c r="C184" i="1"/>
  <c r="C188" i="1"/>
  <c r="C192" i="1"/>
  <c r="C196" i="1"/>
  <c r="C200" i="1"/>
  <c r="C204" i="1"/>
  <c r="C208" i="1"/>
  <c r="C212" i="1"/>
  <c r="C216" i="1"/>
  <c r="C220" i="1"/>
  <c r="C224" i="1"/>
  <c r="C228" i="1"/>
  <c r="C232" i="1"/>
  <c r="C236" i="1"/>
  <c r="C244" i="1"/>
  <c r="C248" i="1"/>
  <c r="C252" i="1"/>
  <c r="C256" i="1"/>
  <c r="C24" i="1"/>
  <c r="C68" i="1"/>
  <c r="C92" i="1"/>
  <c r="C116" i="1"/>
  <c r="C136" i="1"/>
  <c r="C6" i="1"/>
  <c r="C10" i="1"/>
  <c r="C11" i="1"/>
  <c r="C18" i="1"/>
  <c r="C26" i="1"/>
  <c r="C33" i="1"/>
  <c r="C34" i="1"/>
  <c r="C42" i="1"/>
  <c r="C43" i="1"/>
  <c r="C46" i="1"/>
  <c r="C50" i="1"/>
  <c r="C54" i="1"/>
  <c r="C57" i="1"/>
  <c r="C58" i="1"/>
  <c r="C62" i="1"/>
  <c r="C69" i="1"/>
  <c r="C70" i="1"/>
  <c r="C72" i="1"/>
  <c r="C74" i="1"/>
  <c r="C78" i="1"/>
  <c r="C86" i="1"/>
  <c r="C89" i="1"/>
  <c r="C90" i="1"/>
  <c r="C94" i="1"/>
  <c r="C100" i="1"/>
  <c r="C102" i="1"/>
  <c r="C106" i="1"/>
  <c r="C110" i="1"/>
  <c r="C113" i="1"/>
  <c r="C118" i="1"/>
  <c r="C122" i="1"/>
  <c r="C126" i="1"/>
  <c r="C127" i="1"/>
  <c r="C129" i="1"/>
  <c r="C134" i="1"/>
  <c r="C138" i="1"/>
  <c r="C141" i="1"/>
  <c r="C145" i="1"/>
  <c r="C146" i="1"/>
  <c r="C150" i="1"/>
  <c r="C154" i="1"/>
  <c r="C158" i="1"/>
  <c r="C159" i="1"/>
  <c r="C161" i="1"/>
  <c r="C162" i="1"/>
  <c r="C163" i="1"/>
  <c r="C165" i="1"/>
  <c r="C166" i="1"/>
  <c r="C167" i="1"/>
  <c r="C169" i="1"/>
  <c r="C170" i="1"/>
  <c r="C171" i="1"/>
  <c r="C173" i="1"/>
  <c r="C174" i="1"/>
  <c r="C175" i="1"/>
  <c r="C177" i="1"/>
  <c r="C178" i="1"/>
  <c r="C179" i="1"/>
  <c r="C181" i="1"/>
  <c r="C182" i="1"/>
  <c r="C183" i="1"/>
  <c r="C185" i="1"/>
  <c r="C186" i="1"/>
  <c r="C187" i="1"/>
  <c r="C189" i="1"/>
  <c r="C190" i="1"/>
  <c r="C191" i="1"/>
  <c r="C193" i="1"/>
  <c r="C194" i="1"/>
  <c r="C195" i="1"/>
  <c r="C197" i="1"/>
  <c r="C198" i="1"/>
  <c r="C199" i="1"/>
  <c r="C201" i="1"/>
  <c r="C202" i="1"/>
  <c r="C203" i="1"/>
  <c r="C205" i="1"/>
  <c r="C206" i="1"/>
  <c r="C207" i="1"/>
  <c r="C209" i="1"/>
  <c r="C210" i="1"/>
  <c r="C211" i="1"/>
  <c r="C213" i="1"/>
  <c r="C214" i="1"/>
  <c r="C215" i="1"/>
  <c r="C217" i="1"/>
  <c r="C218" i="1"/>
  <c r="C219" i="1"/>
  <c r="C221" i="1"/>
  <c r="C222" i="1"/>
  <c r="C223" i="1"/>
  <c r="C225" i="1"/>
  <c r="C226" i="1"/>
  <c r="C227" i="1"/>
  <c r="C229" i="1"/>
  <c r="C230" i="1"/>
  <c r="C231" i="1"/>
  <c r="C233" i="1"/>
  <c r="C234" i="1"/>
  <c r="C235" i="1"/>
  <c r="C237" i="1"/>
  <c r="C238" i="1"/>
  <c r="C241" i="1"/>
  <c r="C242" i="1"/>
  <c r="C243" i="1"/>
  <c r="C245" i="1"/>
  <c r="C246" i="1"/>
  <c r="C247" i="1"/>
  <c r="C249" i="1"/>
  <c r="C250" i="1"/>
  <c r="C251" i="1"/>
  <c r="C253" i="1"/>
  <c r="C254" i="1"/>
  <c r="C255" i="1"/>
  <c r="C257" i="1"/>
  <c r="C258" i="1"/>
  <c r="C157" i="1"/>
  <c r="C7" i="1"/>
  <c r="C51" i="1"/>
  <c r="C5" i="1"/>
  <c r="C9" i="1"/>
  <c r="C13" i="1"/>
  <c r="C14" i="1"/>
  <c r="C15" i="1"/>
  <c r="C17" i="1"/>
  <c r="C19" i="1"/>
  <c r="C21" i="1"/>
  <c r="C22" i="1"/>
  <c r="C23" i="1"/>
  <c r="C25" i="1"/>
  <c r="C27" i="1"/>
  <c r="C29" i="1"/>
  <c r="C30" i="1"/>
  <c r="C31" i="1"/>
  <c r="C35" i="1"/>
  <c r="C37" i="1"/>
  <c r="C38" i="1"/>
  <c r="C39" i="1"/>
  <c r="C41" i="1"/>
  <c r="C45" i="1"/>
  <c r="C47" i="1"/>
  <c r="C49" i="1"/>
  <c r="C53" i="1"/>
  <c r="C55" i="1"/>
  <c r="C59" i="1"/>
  <c r="C61" i="1"/>
  <c r="C63" i="1"/>
  <c r="C65" i="1"/>
  <c r="C66" i="1"/>
  <c r="C67" i="1"/>
  <c r="C71" i="1"/>
  <c r="C73" i="1"/>
  <c r="C75" i="1"/>
  <c r="C77" i="1"/>
  <c r="C79" i="1"/>
  <c r="C81" i="1"/>
  <c r="C82" i="1"/>
  <c r="C83" i="1"/>
  <c r="C85" i="1"/>
  <c r="C87" i="1"/>
  <c r="C91" i="1"/>
  <c r="C93" i="1"/>
  <c r="C95" i="1"/>
  <c r="C97" i="1"/>
  <c r="C98" i="1"/>
  <c r="C99" i="1"/>
  <c r="C101" i="1"/>
  <c r="C103" i="1"/>
  <c r="C105" i="1"/>
  <c r="C107" i="1"/>
  <c r="C109" i="1"/>
  <c r="C111" i="1"/>
  <c r="C114" i="1"/>
  <c r="C115" i="1"/>
  <c r="C117" i="1"/>
  <c r="C119" i="1"/>
  <c r="C121" i="1"/>
  <c r="C123" i="1"/>
  <c r="C125" i="1"/>
  <c r="C130" i="1"/>
  <c r="C131" i="1"/>
  <c r="C133" i="1"/>
  <c r="C135" i="1"/>
  <c r="C137" i="1"/>
  <c r="C139" i="1"/>
  <c r="C142" i="1"/>
  <c r="C143" i="1"/>
  <c r="C147" i="1"/>
  <c r="C149" i="1"/>
  <c r="C151" i="1"/>
  <c r="C153" i="1"/>
  <c r="C155" i="1"/>
  <c r="F6" i="1" l="1"/>
  <c r="F7" i="1" s="1"/>
  <c r="C6" i="4" l="1"/>
  <c r="F8" i="1"/>
  <c r="C7" i="4"/>
  <c r="F9" i="1" l="1"/>
  <c r="C8" i="4"/>
  <c r="F10" i="1" l="1"/>
  <c r="C9" i="4"/>
  <c r="F11" i="1" l="1"/>
  <c r="C10" i="4"/>
  <c r="F12" i="1" l="1"/>
  <c r="C11" i="4"/>
  <c r="F13" i="1" l="1"/>
  <c r="C12" i="4"/>
  <c r="F14" i="1" l="1"/>
  <c r="C13" i="4"/>
  <c r="F15" i="1" l="1"/>
  <c r="C14" i="4"/>
  <c r="F16" i="1" l="1"/>
  <c r="C15" i="4"/>
  <c r="F17" i="1" l="1"/>
  <c r="C16" i="4"/>
  <c r="F18" i="1" l="1"/>
  <c r="C17" i="4"/>
  <c r="F19" i="1" l="1"/>
  <c r="C18" i="4"/>
  <c r="F20" i="1" l="1"/>
  <c r="C19" i="4"/>
  <c r="F21" i="1" l="1"/>
  <c r="C20" i="4"/>
  <c r="F22" i="1" l="1"/>
  <c r="C21" i="4"/>
  <c r="F23" i="1" l="1"/>
  <c r="C22" i="4"/>
  <c r="F24" i="1" l="1"/>
  <c r="C23" i="4"/>
  <c r="F25" i="1" l="1"/>
  <c r="C24" i="4"/>
  <c r="F26" i="1" l="1"/>
  <c r="C25" i="4"/>
  <c r="F27" i="1" l="1"/>
  <c r="C26" i="4"/>
  <c r="F28" i="1" l="1"/>
  <c r="C27" i="4"/>
  <c r="F29" i="1" l="1"/>
  <c r="C28" i="4"/>
  <c r="F30" i="1" l="1"/>
  <c r="C29" i="4"/>
  <c r="F31" i="1" l="1"/>
  <c r="C30" i="4"/>
  <c r="F32" i="1" l="1"/>
  <c r="C31" i="4"/>
  <c r="F33" i="1" l="1"/>
  <c r="C32" i="4"/>
  <c r="F34" i="1" l="1"/>
  <c r="C33" i="4"/>
  <c r="F35" i="1" l="1"/>
  <c r="C34" i="4"/>
  <c r="F36" i="1" l="1"/>
  <c r="C35" i="4"/>
  <c r="F37" i="1" l="1"/>
  <c r="C36" i="4"/>
  <c r="F38" i="1" l="1"/>
  <c r="C37" i="4"/>
  <c r="F39" i="1" l="1"/>
  <c r="C38" i="4"/>
  <c r="F40" i="1" l="1"/>
  <c r="C39" i="4"/>
  <c r="F41" i="1" l="1"/>
  <c r="C40" i="4"/>
  <c r="F42" i="1" l="1"/>
  <c r="C41" i="4"/>
  <c r="F43" i="1" l="1"/>
  <c r="C42" i="4"/>
  <c r="F44" i="1" l="1"/>
  <c r="C43" i="4"/>
  <c r="F45" i="1" l="1"/>
  <c r="C44" i="4"/>
  <c r="F46" i="1" l="1"/>
  <c r="C45" i="4"/>
  <c r="F47" i="1" l="1"/>
  <c r="C46" i="4"/>
  <c r="F48" i="1" l="1"/>
  <c r="C47" i="4"/>
  <c r="F49" i="1" l="1"/>
  <c r="C48" i="4"/>
  <c r="F50" i="1" l="1"/>
  <c r="C49" i="4"/>
  <c r="F51" i="1" l="1"/>
  <c r="C50" i="4"/>
  <c r="F52" i="1" l="1"/>
  <c r="C51" i="4"/>
  <c r="F53" i="1" l="1"/>
  <c r="C52" i="4"/>
  <c r="F54" i="1" l="1"/>
  <c r="C53" i="4"/>
  <c r="F55" i="1" l="1"/>
  <c r="C54" i="4"/>
  <c r="F56" i="1" l="1"/>
  <c r="C55" i="4"/>
  <c r="F57" i="1" l="1"/>
  <c r="C56" i="4"/>
  <c r="F58" i="1" l="1"/>
  <c r="C57" i="4"/>
  <c r="F59" i="1" l="1"/>
  <c r="C58" i="4"/>
  <c r="F60" i="1" l="1"/>
  <c r="C59" i="4"/>
  <c r="F61" i="1" l="1"/>
  <c r="C60" i="4"/>
  <c r="F62" i="1" l="1"/>
  <c r="C61" i="4"/>
  <c r="F63" i="1" l="1"/>
  <c r="C62" i="4"/>
  <c r="F64" i="1" l="1"/>
  <c r="C63" i="4"/>
  <c r="F65" i="1" l="1"/>
  <c r="C64" i="4"/>
  <c r="F66" i="1" l="1"/>
  <c r="C65" i="4"/>
  <c r="F67" i="1" l="1"/>
  <c r="C66" i="4"/>
  <c r="F68" i="1" l="1"/>
  <c r="C67" i="4"/>
  <c r="F69" i="1" l="1"/>
  <c r="C68" i="4"/>
  <c r="F70" i="1" l="1"/>
  <c r="C69" i="4"/>
  <c r="F71" i="1" l="1"/>
  <c r="C70" i="4"/>
  <c r="F72" i="1" l="1"/>
  <c r="C71" i="4"/>
  <c r="F73" i="1" l="1"/>
  <c r="C72" i="4"/>
  <c r="F74" i="1" l="1"/>
  <c r="C73" i="4"/>
  <c r="F75" i="1" l="1"/>
  <c r="C74" i="4"/>
  <c r="F76" i="1" l="1"/>
  <c r="C75" i="4"/>
  <c r="F77" i="1" l="1"/>
  <c r="C76" i="4"/>
  <c r="F78" i="1" l="1"/>
  <c r="C77" i="4"/>
  <c r="F79" i="1" l="1"/>
  <c r="C78" i="4"/>
  <c r="F80" i="1" l="1"/>
  <c r="C79" i="4"/>
  <c r="F81" i="1" l="1"/>
  <c r="C80" i="4"/>
  <c r="F82" i="1" l="1"/>
  <c r="C81" i="4"/>
  <c r="F83" i="1" l="1"/>
  <c r="C82" i="4"/>
  <c r="F84" i="1" l="1"/>
  <c r="C83" i="4"/>
  <c r="F85" i="1" l="1"/>
  <c r="C84" i="4"/>
  <c r="F86" i="1" l="1"/>
  <c r="C85" i="4"/>
  <c r="F87" i="1" l="1"/>
  <c r="C86" i="4"/>
  <c r="F88" i="1" l="1"/>
  <c r="C87" i="4"/>
  <c r="F89" i="1" l="1"/>
  <c r="C88" i="4"/>
  <c r="F90" i="1" l="1"/>
  <c r="C89" i="4"/>
  <c r="F91" i="1" l="1"/>
  <c r="C90" i="4"/>
  <c r="F92" i="1" l="1"/>
  <c r="C91" i="4"/>
  <c r="F93" i="1" l="1"/>
  <c r="C92" i="4"/>
  <c r="F94" i="1" l="1"/>
  <c r="C93" i="4"/>
  <c r="F95" i="1" l="1"/>
  <c r="C94" i="4"/>
  <c r="F96" i="1" l="1"/>
  <c r="C95" i="4"/>
  <c r="F97" i="1" l="1"/>
  <c r="C96" i="4"/>
  <c r="F98" i="1" l="1"/>
  <c r="C97" i="4"/>
  <c r="F99" i="1" l="1"/>
  <c r="C98" i="4"/>
  <c r="F100" i="1" l="1"/>
  <c r="C99" i="4"/>
  <c r="F101" i="1" l="1"/>
  <c r="C100" i="4"/>
  <c r="F102" i="1" l="1"/>
  <c r="C101" i="4"/>
  <c r="F103" i="1" l="1"/>
  <c r="C102" i="4"/>
  <c r="F104" i="1" l="1"/>
  <c r="C103" i="4"/>
  <c r="F105" i="1" l="1"/>
  <c r="C104" i="4"/>
  <c r="F106" i="1" l="1"/>
  <c r="C105" i="4"/>
  <c r="F107" i="1" l="1"/>
  <c r="C106" i="4"/>
  <c r="F108" i="1" l="1"/>
  <c r="C107" i="4"/>
  <c r="F109" i="1" l="1"/>
  <c r="C108" i="4"/>
  <c r="F110" i="1" l="1"/>
  <c r="C109" i="4"/>
  <c r="F111" i="1" l="1"/>
  <c r="C110" i="4"/>
  <c r="F112" i="1" l="1"/>
  <c r="C111" i="4"/>
  <c r="F113" i="1" l="1"/>
  <c r="C112" i="4"/>
  <c r="F114" i="1" l="1"/>
  <c r="C113" i="4"/>
  <c r="F115" i="1" l="1"/>
  <c r="C114" i="4"/>
  <c r="F116" i="1" l="1"/>
  <c r="C115" i="4"/>
  <c r="F117" i="1" l="1"/>
  <c r="C116" i="4"/>
  <c r="F118" i="1" l="1"/>
  <c r="C117" i="4"/>
  <c r="F119" i="1" l="1"/>
  <c r="C118" i="4"/>
  <c r="F120" i="1" l="1"/>
  <c r="C119" i="4"/>
  <c r="F121" i="1" l="1"/>
  <c r="C120" i="4"/>
  <c r="F122" i="1" l="1"/>
  <c r="C121" i="4"/>
  <c r="F123" i="1" l="1"/>
  <c r="C122" i="4"/>
  <c r="F124" i="1" l="1"/>
  <c r="C123" i="4"/>
  <c r="F125" i="1" l="1"/>
  <c r="C124" i="4"/>
  <c r="F126" i="1" l="1"/>
  <c r="C125" i="4"/>
  <c r="F127" i="1" l="1"/>
  <c r="C126" i="4"/>
  <c r="F128" i="1" l="1"/>
  <c r="C127" i="4"/>
  <c r="F129" i="1" l="1"/>
  <c r="C128" i="4"/>
  <c r="F130" i="1" l="1"/>
  <c r="C129" i="4"/>
  <c r="F131" i="1" l="1"/>
  <c r="C130" i="4"/>
  <c r="E130" i="4" s="1"/>
  <c r="G130" i="4" s="1"/>
  <c r="F132" i="1" l="1"/>
  <c r="C131" i="4"/>
  <c r="E131" i="4" s="1"/>
  <c r="G131" i="4" s="1"/>
  <c r="F133" i="1" l="1"/>
  <c r="C132" i="4"/>
  <c r="E132" i="4" s="1"/>
  <c r="G132" i="4" s="1"/>
  <c r="F134" i="1" l="1"/>
  <c r="C133" i="4"/>
  <c r="E133" i="4" s="1"/>
  <c r="G133" i="4" s="1"/>
  <c r="F135" i="1" l="1"/>
  <c r="C134" i="4"/>
  <c r="E134" i="4" s="1"/>
  <c r="G134" i="4" s="1"/>
  <c r="F136" i="1" l="1"/>
  <c r="C135" i="4"/>
  <c r="E135" i="4" s="1"/>
  <c r="G135" i="4" s="1"/>
  <c r="F137" i="1" l="1"/>
  <c r="C136" i="4"/>
  <c r="E136" i="4" s="1"/>
  <c r="G136" i="4" s="1"/>
  <c r="F138" i="1" l="1"/>
  <c r="C137" i="4"/>
  <c r="E137" i="4" s="1"/>
  <c r="G137" i="4" s="1"/>
  <c r="F139" i="1" l="1"/>
  <c r="C138" i="4"/>
  <c r="E138" i="4" s="1"/>
  <c r="G138" i="4" s="1"/>
  <c r="F140" i="1" l="1"/>
  <c r="C139" i="4"/>
  <c r="E139" i="4" s="1"/>
  <c r="K6" i="4" l="1"/>
  <c r="G139" i="4"/>
  <c r="F141" i="1"/>
  <c r="C140" i="4"/>
  <c r="E140" i="4" s="1"/>
  <c r="J7" i="4" l="1"/>
  <c r="G140" i="4"/>
  <c r="F142" i="1"/>
  <c r="C141" i="4"/>
  <c r="E141" i="4" s="1"/>
  <c r="G141" i="4" s="1"/>
  <c r="F143" i="1" l="1"/>
  <c r="C142" i="4"/>
  <c r="E142" i="4" s="1"/>
  <c r="G142" i="4" s="1"/>
  <c r="F144" i="1" l="1"/>
  <c r="C143" i="4"/>
  <c r="E143" i="4" s="1"/>
  <c r="G143" i="4" s="1"/>
  <c r="F145" i="1" l="1"/>
  <c r="C144" i="4"/>
  <c r="E144" i="4" s="1"/>
  <c r="G144" i="4" s="1"/>
  <c r="F146" i="1" l="1"/>
  <c r="C145" i="4"/>
  <c r="E145" i="4" s="1"/>
  <c r="G145" i="4" s="1"/>
  <c r="F147" i="1" l="1"/>
  <c r="C146" i="4"/>
  <c r="E146" i="4" s="1"/>
  <c r="G146" i="4" s="1"/>
  <c r="F148" i="1" l="1"/>
  <c r="C147" i="4"/>
  <c r="E147" i="4" s="1"/>
  <c r="G147" i="4" s="1"/>
  <c r="F149" i="1" l="1"/>
  <c r="C148" i="4"/>
  <c r="E148" i="4" s="1"/>
  <c r="G148" i="4" s="1"/>
  <c r="F150" i="1" l="1"/>
  <c r="C149" i="4"/>
  <c r="E149" i="4" s="1"/>
  <c r="G149" i="4" s="1"/>
  <c r="F151" i="1" l="1"/>
  <c r="C150" i="4"/>
  <c r="E150" i="4" s="1"/>
  <c r="G150" i="4" s="1"/>
  <c r="F152" i="1" l="1"/>
  <c r="C151" i="4"/>
  <c r="E151" i="4" s="1"/>
  <c r="G151" i="4" s="1"/>
  <c r="F153" i="1" l="1"/>
  <c r="C152" i="4"/>
  <c r="E152" i="4" s="1"/>
  <c r="G152" i="4" s="1"/>
  <c r="F154" i="1" l="1"/>
  <c r="C153" i="4"/>
  <c r="E153" i="4" s="1"/>
  <c r="G153" i="4" s="1"/>
  <c r="F155" i="1" l="1"/>
  <c r="C154" i="4"/>
  <c r="E154" i="4" s="1"/>
  <c r="G154" i="4" s="1"/>
  <c r="F156" i="1" l="1"/>
  <c r="C155" i="4"/>
  <c r="E155" i="4" s="1"/>
  <c r="G155" i="4" s="1"/>
  <c r="F157" i="1" l="1"/>
  <c r="C156" i="4"/>
  <c r="E156" i="4" s="1"/>
  <c r="G156" i="4" s="1"/>
  <c r="F158" i="1" l="1"/>
  <c r="C157" i="4"/>
  <c r="E157" i="4" s="1"/>
  <c r="G157" i="4" s="1"/>
  <c r="F159" i="1" l="1"/>
  <c r="C158" i="4"/>
  <c r="E158" i="4" s="1"/>
  <c r="G158" i="4" s="1"/>
  <c r="F160" i="1" l="1"/>
  <c r="C159" i="4"/>
  <c r="E159" i="4" s="1"/>
  <c r="G159" i="4" s="1"/>
  <c r="F161" i="1" l="1"/>
  <c r="C160" i="4"/>
  <c r="E160" i="4" s="1"/>
  <c r="G160" i="4" s="1"/>
  <c r="F162" i="1" l="1"/>
  <c r="C161" i="4"/>
  <c r="E161" i="4" s="1"/>
  <c r="G161" i="4" s="1"/>
  <c r="F163" i="1" l="1"/>
  <c r="C162" i="4"/>
  <c r="E162" i="4" s="1"/>
  <c r="G162" i="4" s="1"/>
  <c r="F164" i="1" l="1"/>
  <c r="C163" i="4"/>
  <c r="E163" i="4" s="1"/>
  <c r="G163" i="4" s="1"/>
  <c r="F165" i="1" l="1"/>
  <c r="C164" i="4"/>
  <c r="E164" i="4" s="1"/>
  <c r="G164" i="4" s="1"/>
  <c r="F166" i="1" l="1"/>
  <c r="C165" i="4"/>
  <c r="E165" i="4" s="1"/>
  <c r="G165" i="4" s="1"/>
  <c r="F167" i="1" l="1"/>
  <c r="C166" i="4"/>
  <c r="E166" i="4" s="1"/>
  <c r="G166" i="4" s="1"/>
  <c r="F168" i="1" l="1"/>
  <c r="C167" i="4"/>
  <c r="E167" i="4" s="1"/>
  <c r="G167" i="4" s="1"/>
  <c r="F169" i="1" l="1"/>
  <c r="C168" i="4"/>
  <c r="E168" i="4" s="1"/>
  <c r="G168" i="4" s="1"/>
  <c r="F170" i="1" l="1"/>
  <c r="C169" i="4"/>
  <c r="E169" i="4" s="1"/>
  <c r="G169" i="4" s="1"/>
  <c r="F171" i="1" l="1"/>
  <c r="C170" i="4"/>
  <c r="E170" i="4" s="1"/>
  <c r="G170" i="4" s="1"/>
  <c r="F172" i="1" l="1"/>
  <c r="C171" i="4"/>
  <c r="E171" i="4" s="1"/>
  <c r="G171" i="4" s="1"/>
  <c r="F173" i="1" l="1"/>
  <c r="C172" i="4"/>
  <c r="E172" i="4" s="1"/>
  <c r="G172" i="4" s="1"/>
  <c r="F174" i="1" l="1"/>
  <c r="C173" i="4"/>
  <c r="E173" i="4" s="1"/>
  <c r="G173" i="4" s="1"/>
  <c r="F175" i="1" l="1"/>
  <c r="C174" i="4"/>
  <c r="E174" i="4" s="1"/>
  <c r="G174" i="4" s="1"/>
  <c r="F176" i="1" l="1"/>
  <c r="C175" i="4"/>
  <c r="E175" i="4" s="1"/>
  <c r="G175" i="4" s="1"/>
  <c r="F177" i="1" l="1"/>
  <c r="C176" i="4"/>
  <c r="E176" i="4" s="1"/>
  <c r="G176" i="4" s="1"/>
  <c r="F178" i="1" l="1"/>
  <c r="C177" i="4"/>
  <c r="E177" i="4" s="1"/>
  <c r="G177" i="4" s="1"/>
  <c r="F179" i="1" l="1"/>
  <c r="C178" i="4"/>
  <c r="E178" i="4" s="1"/>
  <c r="G178" i="4" s="1"/>
  <c r="F180" i="1" l="1"/>
  <c r="C179" i="4"/>
  <c r="E179" i="4" s="1"/>
  <c r="G179" i="4" s="1"/>
  <c r="F181" i="1" l="1"/>
  <c r="C180" i="4"/>
  <c r="E180" i="4" s="1"/>
  <c r="G180" i="4" s="1"/>
  <c r="F182" i="1" l="1"/>
  <c r="C181" i="4"/>
  <c r="E181" i="4" s="1"/>
  <c r="G181" i="4" s="1"/>
  <c r="F183" i="1" l="1"/>
  <c r="C182" i="4"/>
  <c r="E182" i="4" s="1"/>
  <c r="G182" i="4" s="1"/>
  <c r="F184" i="1" l="1"/>
  <c r="C183" i="4"/>
  <c r="E183" i="4" s="1"/>
  <c r="G183" i="4" s="1"/>
  <c r="F185" i="1" l="1"/>
  <c r="C184" i="4"/>
  <c r="E184" i="4" s="1"/>
  <c r="G184" i="4" s="1"/>
  <c r="F186" i="1" l="1"/>
  <c r="C185" i="4"/>
  <c r="E185" i="4" s="1"/>
  <c r="G185" i="4" s="1"/>
  <c r="F187" i="1" l="1"/>
  <c r="C186" i="4"/>
  <c r="E186" i="4" s="1"/>
  <c r="G186" i="4" s="1"/>
  <c r="F188" i="1" l="1"/>
  <c r="C187" i="4"/>
  <c r="E187" i="4" s="1"/>
  <c r="K7" i="4" l="1"/>
  <c r="G187" i="4"/>
  <c r="F189" i="1"/>
  <c r="C188" i="4"/>
  <c r="E188" i="4" s="1"/>
  <c r="G188" i="4" l="1"/>
  <c r="J8" i="4"/>
  <c r="F190" i="1"/>
  <c r="C189" i="4"/>
  <c r="E189" i="4" s="1"/>
  <c r="G189" i="4" s="1"/>
  <c r="F191" i="1" l="1"/>
  <c r="C190" i="4"/>
  <c r="E190" i="4" s="1"/>
  <c r="G190" i="4" s="1"/>
  <c r="F192" i="1" l="1"/>
  <c r="C191" i="4"/>
  <c r="E191" i="4" s="1"/>
  <c r="G191" i="4" s="1"/>
  <c r="F193" i="1" l="1"/>
  <c r="C192" i="4"/>
  <c r="E192" i="4" s="1"/>
  <c r="G192" i="4" s="1"/>
  <c r="F194" i="1" l="1"/>
  <c r="C193" i="4"/>
  <c r="E193" i="4" s="1"/>
  <c r="G193" i="4" s="1"/>
  <c r="F195" i="1" l="1"/>
  <c r="C194" i="4"/>
  <c r="E194" i="4" s="1"/>
  <c r="G194" i="4" s="1"/>
  <c r="F196" i="1" l="1"/>
  <c r="C195" i="4"/>
  <c r="E195" i="4" s="1"/>
  <c r="G195" i="4" s="1"/>
  <c r="F197" i="1" l="1"/>
  <c r="C196" i="4"/>
  <c r="E196" i="4" s="1"/>
  <c r="G196" i="4" s="1"/>
  <c r="F198" i="1" l="1"/>
  <c r="C197" i="4"/>
  <c r="E197" i="4" s="1"/>
  <c r="G197" i="4" s="1"/>
  <c r="F199" i="1" l="1"/>
  <c r="C198" i="4"/>
  <c r="E198" i="4" s="1"/>
  <c r="G198" i="4" s="1"/>
  <c r="F200" i="1" l="1"/>
  <c r="C199" i="4"/>
  <c r="E199" i="4" s="1"/>
  <c r="G199" i="4" s="1"/>
  <c r="F201" i="1" l="1"/>
  <c r="C200" i="4"/>
  <c r="E200" i="4" s="1"/>
  <c r="G200" i="4" s="1"/>
  <c r="F202" i="1" l="1"/>
  <c r="C201" i="4"/>
  <c r="E201" i="4" s="1"/>
  <c r="G201" i="4" s="1"/>
  <c r="F203" i="1" l="1"/>
  <c r="C202" i="4"/>
  <c r="E202" i="4" s="1"/>
  <c r="G202" i="4" s="1"/>
  <c r="F204" i="1" l="1"/>
  <c r="C203" i="4"/>
  <c r="E203" i="4" s="1"/>
  <c r="G203" i="4" s="1"/>
  <c r="F205" i="1" l="1"/>
  <c r="C204" i="4"/>
  <c r="E204" i="4" s="1"/>
  <c r="G204" i="4" s="1"/>
  <c r="F206" i="1" l="1"/>
  <c r="C205" i="4"/>
  <c r="E205" i="4" s="1"/>
  <c r="G205" i="4" s="1"/>
  <c r="F207" i="1" l="1"/>
  <c r="C206" i="4"/>
  <c r="E206" i="4" s="1"/>
  <c r="G206" i="4" s="1"/>
  <c r="F208" i="1" l="1"/>
  <c r="C207" i="4"/>
  <c r="E207" i="4" s="1"/>
  <c r="G207" i="4" s="1"/>
  <c r="F209" i="1" l="1"/>
  <c r="C208" i="4"/>
  <c r="E208" i="4" s="1"/>
  <c r="G208" i="4" s="1"/>
  <c r="F210" i="1" l="1"/>
  <c r="C209" i="4"/>
  <c r="E209" i="4" s="1"/>
  <c r="G209" i="4" s="1"/>
  <c r="F211" i="1" l="1"/>
  <c r="C210" i="4"/>
  <c r="E210" i="4" s="1"/>
  <c r="G210" i="4" s="1"/>
  <c r="F212" i="1" l="1"/>
  <c r="C211" i="4"/>
  <c r="E211" i="4" s="1"/>
  <c r="G211" i="4" s="1"/>
  <c r="F213" i="1" l="1"/>
  <c r="C212" i="4"/>
  <c r="E212" i="4" s="1"/>
  <c r="G212" i="4" s="1"/>
  <c r="F214" i="1" l="1"/>
  <c r="C213" i="4"/>
  <c r="E213" i="4" s="1"/>
  <c r="G213" i="4" s="1"/>
  <c r="F215" i="1" l="1"/>
  <c r="C214" i="4"/>
  <c r="E214" i="4" s="1"/>
  <c r="G214" i="4" s="1"/>
  <c r="F216" i="1" l="1"/>
  <c r="C215" i="4"/>
  <c r="E215" i="4" s="1"/>
  <c r="G215" i="4" s="1"/>
  <c r="F217" i="1" l="1"/>
  <c r="C216" i="4"/>
  <c r="E216" i="4" s="1"/>
  <c r="G216" i="4" s="1"/>
  <c r="F218" i="1" l="1"/>
  <c r="C217" i="4"/>
  <c r="E217" i="4" s="1"/>
  <c r="G217" i="4" s="1"/>
  <c r="F219" i="1" l="1"/>
  <c r="C218" i="4"/>
  <c r="E218" i="4" s="1"/>
  <c r="G218" i="4" s="1"/>
  <c r="F220" i="1" l="1"/>
  <c r="C219" i="4"/>
  <c r="E219" i="4" s="1"/>
  <c r="G219" i="4" s="1"/>
  <c r="F221" i="1" l="1"/>
  <c r="C220" i="4"/>
  <c r="E220" i="4" s="1"/>
  <c r="G220" i="4" s="1"/>
  <c r="F222" i="1" l="1"/>
  <c r="C221" i="4"/>
  <c r="E221" i="4" s="1"/>
  <c r="G221" i="4" s="1"/>
  <c r="F223" i="1" l="1"/>
  <c r="C222" i="4"/>
  <c r="E222" i="4" s="1"/>
  <c r="G222" i="4" s="1"/>
  <c r="F224" i="1" l="1"/>
  <c r="C223" i="4"/>
  <c r="E223" i="4" s="1"/>
  <c r="G223" i="4" s="1"/>
  <c r="F225" i="1" l="1"/>
  <c r="C224" i="4"/>
  <c r="E224" i="4" s="1"/>
  <c r="G224" i="4" s="1"/>
  <c r="F226" i="1" l="1"/>
  <c r="C225" i="4"/>
  <c r="E225" i="4" s="1"/>
  <c r="G225" i="4" s="1"/>
  <c r="F227" i="1" l="1"/>
  <c r="C226" i="4"/>
  <c r="E226" i="4" s="1"/>
  <c r="G226" i="4" s="1"/>
  <c r="F228" i="1" l="1"/>
  <c r="C227" i="4"/>
  <c r="E227" i="4" s="1"/>
  <c r="G227" i="4" s="1"/>
  <c r="F229" i="1" l="1"/>
  <c r="C228" i="4"/>
  <c r="E228" i="4" s="1"/>
  <c r="G228" i="4" s="1"/>
  <c r="F230" i="1" l="1"/>
  <c r="C229" i="4"/>
  <c r="E229" i="4" s="1"/>
  <c r="G229" i="4" s="1"/>
  <c r="F231" i="1" l="1"/>
  <c r="C230" i="4"/>
  <c r="E230" i="4" s="1"/>
  <c r="G230" i="4" s="1"/>
  <c r="F232" i="1" l="1"/>
  <c r="C231" i="4"/>
  <c r="E231" i="4" s="1"/>
  <c r="G231" i="4" s="1"/>
  <c r="F233" i="1" l="1"/>
  <c r="C232" i="4"/>
  <c r="E232" i="4" s="1"/>
  <c r="G232" i="4" s="1"/>
  <c r="F234" i="1" l="1"/>
  <c r="C233" i="4"/>
  <c r="E233" i="4" s="1"/>
  <c r="G233" i="4" s="1"/>
  <c r="F235" i="1" l="1"/>
  <c r="C234" i="4"/>
  <c r="E234" i="4" s="1"/>
  <c r="G234" i="4" s="1"/>
  <c r="F236" i="1" l="1"/>
  <c r="C235" i="4"/>
  <c r="E235" i="4" s="1"/>
  <c r="G235" i="4" s="1"/>
  <c r="F237" i="1" l="1"/>
  <c r="C236" i="4"/>
  <c r="E236" i="4" s="1"/>
  <c r="G236" i="4" s="1"/>
  <c r="F238" i="1" l="1"/>
  <c r="C237" i="4"/>
  <c r="E237" i="4" s="1"/>
  <c r="G237" i="4" s="1"/>
  <c r="F239" i="1" l="1"/>
  <c r="C238" i="4"/>
  <c r="E238" i="4" s="1"/>
  <c r="G238" i="4" s="1"/>
  <c r="F240" i="1" l="1"/>
  <c r="C239" i="4"/>
  <c r="E239" i="4" s="1"/>
  <c r="G239" i="4" s="1"/>
  <c r="F241" i="1" l="1"/>
  <c r="C240" i="4"/>
  <c r="E240" i="4" s="1"/>
  <c r="G240" i="4" s="1"/>
  <c r="F242" i="1" l="1"/>
  <c r="C241" i="4"/>
  <c r="E241" i="4" s="1"/>
  <c r="G241" i="4" s="1"/>
  <c r="F243" i="1" l="1"/>
  <c r="C242" i="4"/>
  <c r="E242" i="4" s="1"/>
  <c r="G242" i="4" s="1"/>
  <c r="F244" i="1" l="1"/>
  <c r="C243" i="4"/>
  <c r="E243" i="4" s="1"/>
  <c r="G243" i="4" s="1"/>
  <c r="F245" i="1" l="1"/>
  <c r="C244" i="4"/>
  <c r="E244" i="4" s="1"/>
  <c r="G244" i="4" s="1"/>
  <c r="F246" i="1" l="1"/>
  <c r="C245" i="4"/>
  <c r="E245" i="4" s="1"/>
  <c r="K8" i="4" l="1"/>
  <c r="G245" i="4"/>
  <c r="F247" i="1"/>
  <c r="C246" i="4"/>
  <c r="E246" i="4" s="1"/>
  <c r="G246" i="4" s="1"/>
  <c r="F248" i="1" l="1"/>
  <c r="C247" i="4"/>
  <c r="E247" i="4" s="1"/>
  <c r="J9" i="4" l="1"/>
  <c r="G247" i="4"/>
  <c r="F249" i="1"/>
  <c r="C248" i="4"/>
  <c r="E248" i="4" s="1"/>
  <c r="G248" i="4" s="1"/>
  <c r="F250" i="1" l="1"/>
  <c r="C249" i="4"/>
  <c r="E249" i="4" s="1"/>
  <c r="G249" i="4" s="1"/>
  <c r="F251" i="1" l="1"/>
  <c r="C250" i="4"/>
  <c r="E250" i="4" s="1"/>
  <c r="G250" i="4" s="1"/>
  <c r="F252" i="1" l="1"/>
  <c r="C251" i="4"/>
  <c r="E251" i="4" s="1"/>
  <c r="G251" i="4" s="1"/>
  <c r="F253" i="1" l="1"/>
  <c r="C252" i="4"/>
  <c r="E252" i="4" s="1"/>
  <c r="G252" i="4" s="1"/>
  <c r="F254" i="1" l="1"/>
  <c r="C253" i="4"/>
  <c r="E253" i="4" s="1"/>
  <c r="G253" i="4" s="1"/>
  <c r="F255" i="1" l="1"/>
  <c r="C254" i="4"/>
  <c r="E254" i="4" s="1"/>
  <c r="G254" i="4" s="1"/>
  <c r="F256" i="1" l="1"/>
  <c r="C255" i="4"/>
  <c r="E255" i="4" s="1"/>
  <c r="G255" i="4" s="1"/>
  <c r="F257" i="1" l="1"/>
  <c r="C256" i="4"/>
  <c r="E256" i="4" s="1"/>
  <c r="G256" i="4" l="1"/>
  <c r="K9" i="4"/>
  <c r="F258" i="1"/>
  <c r="C257" i="4"/>
  <c r="E257" i="4" s="1"/>
  <c r="G257" i="4" l="1"/>
  <c r="J10" i="4"/>
  <c r="F259" i="1"/>
  <c r="C259" i="4" s="1"/>
  <c r="E259" i="4" s="1"/>
  <c r="C258" i="4"/>
  <c r="E258" i="4" s="1"/>
  <c r="G258" i="4" s="1"/>
  <c r="K10" i="4" l="1"/>
  <c r="G259" i="4"/>
</calcChain>
</file>

<file path=xl/sharedStrings.xml><?xml version="1.0" encoding="utf-8"?>
<sst xmlns="http://schemas.openxmlformats.org/spreadsheetml/2006/main" count="2192" uniqueCount="1334">
  <si>
    <t>LE3</t>
  </si>
  <si>
    <t>LE2</t>
  </si>
  <si>
    <t>LE1</t>
  </si>
  <si>
    <t>LE0</t>
  </si>
  <si>
    <t>LSB</t>
  </si>
  <si>
    <t>MAX</t>
  </si>
  <si>
    <t>LSB_N</t>
  </si>
  <si>
    <t>Raw data</t>
  </si>
  <si>
    <t>MDIR</t>
  </si>
  <si>
    <t>LUX</t>
  </si>
  <si>
    <t>LED</t>
  </si>
  <si>
    <t>2;2;3</t>
  </si>
  <si>
    <t>2;2;0</t>
  </si>
  <si>
    <t>2;4;10</t>
  </si>
  <si>
    <t>1;1;5</t>
  </si>
  <si>
    <t>1;7;13</t>
  </si>
  <si>
    <t>2;2;7</t>
  </si>
  <si>
    <t>0;0;4</t>
  </si>
  <si>
    <t>4;4;10</t>
  </si>
  <si>
    <t>2;2;8</t>
  </si>
  <si>
    <t>5;6;12</t>
  </si>
  <si>
    <t>6;7;13</t>
  </si>
  <si>
    <t>0;0;3</t>
  </si>
  <si>
    <t>4;3;9</t>
  </si>
  <si>
    <t>5;5;11</t>
  </si>
  <si>
    <t>7;8;14</t>
  </si>
  <si>
    <t>4;5;11</t>
  </si>
  <si>
    <t>8;9;15</t>
  </si>
  <si>
    <t>1;0;2</t>
  </si>
  <si>
    <t>1;0;6</t>
  </si>
  <si>
    <t>65;80;44</t>
  </si>
  <si>
    <t>43;52;36</t>
  </si>
  <si>
    <t>36;45;33</t>
  </si>
  <si>
    <t>49;59;38</t>
  </si>
  <si>
    <t>85;165;63</t>
  </si>
  <si>
    <t>33;39;31</t>
  </si>
  <si>
    <t>75;91;47</t>
  </si>
  <si>
    <t>101;421;100</t>
  </si>
  <si>
    <t>94;282;82</t>
  </si>
  <si>
    <t>94;276;81</t>
  </si>
  <si>
    <t>92;250;77</t>
  </si>
  <si>
    <t>90;231;74</t>
  </si>
  <si>
    <t>0;0;1</t>
  </si>
  <si>
    <t>98;342;90</t>
  </si>
  <si>
    <t>57;70;41</t>
  </si>
  <si>
    <t>85;161;62</t>
  </si>
  <si>
    <t>9;10;15</t>
  </si>
  <si>
    <t>100;406;98</t>
  </si>
  <si>
    <t>38;46;33</t>
  </si>
  <si>
    <t>42;50;35</t>
  </si>
  <si>
    <t>94;277;81</t>
  </si>
  <si>
    <t>90;232;74</t>
  </si>
  <si>
    <t>29;34;29</t>
  </si>
  <si>
    <t>63;78;43</t>
  </si>
  <si>
    <t>90;233;74</t>
  </si>
  <si>
    <t>94;286;82</t>
  </si>
  <si>
    <t>39;49;34</t>
  </si>
  <si>
    <t>79;118;53</t>
  </si>
  <si>
    <t>31;37;30</t>
  </si>
  <si>
    <t>94;285;82</t>
  </si>
  <si>
    <t>85;157;61</t>
  </si>
  <si>
    <t>92;252;77</t>
  </si>
  <si>
    <t>95;299;84</t>
  </si>
  <si>
    <t>89;220;72</t>
  </si>
  <si>
    <t>11;13;17</t>
  </si>
  <si>
    <t>9;11;16</t>
  </si>
  <si>
    <t>11;12;17</t>
  </si>
  <si>
    <t>36;42;32</t>
  </si>
  <si>
    <t>86;173;64</t>
  </si>
  <si>
    <t>82;141;58</t>
  </si>
  <si>
    <t>96;307;85</t>
  </si>
  <si>
    <t>27;31;28</t>
  </si>
  <si>
    <t>0;0;2</t>
  </si>
  <si>
    <t>0;384;95</t>
  </si>
  <si>
    <t>145;4988;209</t>
  </si>
  <si>
    <t>136;3028;160</t>
  </si>
  <si>
    <t>132;2339;140</t>
  </si>
  <si>
    <t>147;5568;212</t>
  </si>
  <si>
    <t>129;2076;129</t>
  </si>
  <si>
    <t>151;7320;241</t>
  </si>
  <si>
    <t>147;5584;208</t>
  </si>
  <si>
    <t>123;1498;108</t>
  </si>
  <si>
    <t>153;8142;251</t>
  </si>
  <si>
    <t>142;4404;183</t>
  </si>
  <si>
    <t>142;4384;183</t>
  </si>
  <si>
    <t>122;559;38</t>
  </si>
  <si>
    <t>144;2103;72</t>
  </si>
  <si>
    <t>180;16688;205</t>
  </si>
  <si>
    <t>17;10;6</t>
  </si>
  <si>
    <t>158;4728;106</t>
  </si>
  <si>
    <t>178;14956;191</t>
  </si>
  <si>
    <t>159;5166;111</t>
  </si>
  <si>
    <t>170;9020;147</t>
  </si>
  <si>
    <t>170;17280;206</t>
  </si>
  <si>
    <t>172;10384;159</t>
  </si>
  <si>
    <t>130;1007;49</t>
  </si>
  <si>
    <t>130;22992;239</t>
  </si>
  <si>
    <t>182;17600;210</t>
  </si>
  <si>
    <t>183;18840;220</t>
  </si>
  <si>
    <t>160;5502;116</t>
  </si>
  <si>
    <t>177;14416;189</t>
  </si>
  <si>
    <t>150;3153;87</t>
  </si>
  <si>
    <t>181;17256;206</t>
  </si>
  <si>
    <t>169;8916;147</t>
  </si>
  <si>
    <t>118;512;35</t>
  </si>
  <si>
    <t>164;7134;130</t>
  </si>
  <si>
    <t>162;6302;122</t>
  </si>
  <si>
    <t>142;1965;68</t>
  </si>
  <si>
    <t>182;18264;211</t>
  </si>
  <si>
    <t>4;2;2</t>
  </si>
  <si>
    <t>184;20568;225</t>
  </si>
  <si>
    <t>148;2772;81</t>
  </si>
  <si>
    <t>173;11452;166</t>
  </si>
  <si>
    <t>187;24400;249</t>
  </si>
  <si>
    <t>125;725;42</t>
  </si>
  <si>
    <t>174;11760;169</t>
  </si>
  <si>
    <t>178;14868;191</t>
  </si>
  <si>
    <t>164;6810;128</t>
  </si>
  <si>
    <t>171;9720;153</t>
  </si>
  <si>
    <t>171;11516;167</t>
  </si>
  <si>
    <t>152;3509;91</t>
  </si>
  <si>
    <t>141;1908;67</t>
  </si>
  <si>
    <t>131;1017;49</t>
  </si>
  <si>
    <t>184;20480;223</t>
  </si>
  <si>
    <t>163;6674;126</t>
  </si>
  <si>
    <t>132;1100;51</t>
  </si>
  <si>
    <t>169;8864;145</t>
  </si>
  <si>
    <t>16;9;6</t>
  </si>
  <si>
    <t>172;10628;159</t>
  </si>
  <si>
    <t>5;2;3</t>
  </si>
  <si>
    <t>179;15948;196</t>
  </si>
  <si>
    <t>161;5980;119</t>
  </si>
  <si>
    <t>88;91;15</t>
  </si>
  <si>
    <t>88;106;16</t>
  </si>
  <si>
    <t>103;220;23</t>
  </si>
  <si>
    <t>178;15064;190</t>
  </si>
  <si>
    <t>155;4156;99</t>
  </si>
  <si>
    <t>171;10096;155</t>
  </si>
  <si>
    <t>185;22000;234</t>
  </si>
  <si>
    <t>158;4778;107</t>
  </si>
  <si>
    <t>158;4830;107</t>
  </si>
  <si>
    <t>153;3746;94</t>
  </si>
  <si>
    <t>166;7704;135</t>
  </si>
  <si>
    <t>179;16004;197</t>
  </si>
  <si>
    <t>120;540;36</t>
  </si>
  <si>
    <t>24;11;7</t>
  </si>
  <si>
    <t>148;2731;80</t>
  </si>
  <si>
    <t>186;24136;244</t>
  </si>
  <si>
    <t>164;7052;130</t>
  </si>
  <si>
    <t>163;6558;125</t>
  </si>
  <si>
    <t>154;3830;95</t>
  </si>
  <si>
    <t>172;11000;162</t>
  </si>
  <si>
    <t>167;8248;140</t>
  </si>
  <si>
    <t>172;10444;158</t>
  </si>
  <si>
    <t>176;13388;180</t>
  </si>
  <si>
    <t>3;2;2</t>
  </si>
  <si>
    <t>156;4254;100</t>
  </si>
  <si>
    <t>158;4596;104</t>
  </si>
  <si>
    <t>158;5320;112</t>
  </si>
  <si>
    <t>186;23848;242</t>
  </si>
  <si>
    <t>187;25024;254</t>
  </si>
  <si>
    <t>153;3748;95</t>
  </si>
  <si>
    <t>146;2434;76</t>
  </si>
  <si>
    <t>173;11620;167</t>
  </si>
  <si>
    <t>163;6366;123</t>
  </si>
  <si>
    <t>172;10556;159</t>
  </si>
  <si>
    <t>170;9172;148</t>
  </si>
  <si>
    <t>147;2515;77</t>
  </si>
  <si>
    <t>140;1743;64</t>
  </si>
  <si>
    <t>159;4974;108</t>
  </si>
  <si>
    <t>176;13696;181</t>
  </si>
  <si>
    <t>176;22760;237</t>
  </si>
  <si>
    <t>154;3872;96</t>
  </si>
  <si>
    <t>185;21976;234</t>
  </si>
  <si>
    <t>167;8094;140</t>
  </si>
  <si>
    <t>172;10952;163</t>
  </si>
  <si>
    <t>159;4988;109</t>
  </si>
  <si>
    <t>184;20472;225</t>
  </si>
  <si>
    <t>159;5142;111</t>
  </si>
  <si>
    <t>159;5106;110</t>
  </si>
  <si>
    <t>115;428;32</t>
  </si>
  <si>
    <t>174;12392;172</t>
  </si>
  <si>
    <t>150;3212;87</t>
  </si>
  <si>
    <t>173;11696;167</t>
  </si>
  <si>
    <t>173;12332;172</t>
  </si>
  <si>
    <t>177;14536;188</t>
  </si>
  <si>
    <t>127;851;45</t>
  </si>
  <si>
    <t>11;6;5</t>
  </si>
  <si>
    <t>171;9896;153</t>
  </si>
  <si>
    <t>140;1744;64</t>
  </si>
  <si>
    <t>172;11040;162</t>
  </si>
  <si>
    <t>186;23224;240</t>
  </si>
  <si>
    <t>169;8708;145</t>
  </si>
  <si>
    <t>184;20992;229</t>
  </si>
  <si>
    <t>137;1497;60</t>
  </si>
  <si>
    <t>174;11832;169</t>
  </si>
  <si>
    <t>147;2597;78</t>
  </si>
  <si>
    <t>147;6112;120</t>
  </si>
  <si>
    <t>163;6520;124</t>
  </si>
  <si>
    <t>144;2205;72</t>
  </si>
  <si>
    <t>185;22384;234</t>
  </si>
  <si>
    <t>127;850;45</t>
  </si>
  <si>
    <t>145;2270;73</t>
  </si>
  <si>
    <t>161;5716;116</t>
  </si>
  <si>
    <t>152;3535;91</t>
  </si>
  <si>
    <t>166;7722;135</t>
  </si>
  <si>
    <t>149;2944;83</t>
  </si>
  <si>
    <t>187;25432;251</t>
  </si>
  <si>
    <t>111;324;28</t>
  </si>
  <si>
    <t>3;1;1</t>
  </si>
  <si>
    <t>174;12412;172</t>
  </si>
  <si>
    <t>182;18456;212</t>
  </si>
  <si>
    <t>102;199;22</t>
  </si>
  <si>
    <t>172;10760;160</t>
  </si>
  <si>
    <t>168;8488;142</t>
  </si>
  <si>
    <t>117;484;34</t>
  </si>
  <si>
    <t>158;4690;105</t>
  </si>
  <si>
    <t>166;7716;135</t>
  </si>
  <si>
    <t>157;4522;103</t>
  </si>
  <si>
    <t>157;11448;165</t>
  </si>
  <si>
    <t>115;429;32</t>
  </si>
  <si>
    <t>115;2945;83</t>
  </si>
  <si>
    <t>149;15832;195</t>
  </si>
  <si>
    <t>179;24144;245</t>
  </si>
  <si>
    <t>117;478;34</t>
  </si>
  <si>
    <t>185;22192;235</t>
  </si>
  <si>
    <t>183;19432;221</t>
  </si>
  <si>
    <t>179;15496;197</t>
  </si>
  <si>
    <t>99;162;20</t>
  </si>
  <si>
    <t>80;55;12</t>
  </si>
  <si>
    <t>143;2093;70</t>
  </si>
  <si>
    <t>179;16024;196</t>
  </si>
  <si>
    <t>168;8376;141</t>
  </si>
  <si>
    <t>184;21568;231</t>
  </si>
  <si>
    <t>178;15284;194</t>
  </si>
  <si>
    <t>143;1998;69</t>
  </si>
  <si>
    <t>143;16872;203</t>
  </si>
  <si>
    <t>151;3269;88</t>
  </si>
  <si>
    <t>160;5610;115</t>
  </si>
  <si>
    <t>170;9352;149</t>
  </si>
  <si>
    <t>123;640;39</t>
  </si>
  <si>
    <t>171;10136;155</t>
  </si>
  <si>
    <t>178;14964;190</t>
  </si>
  <si>
    <t>136;1374;57</t>
  </si>
  <si>
    <t>123;673;40</t>
  </si>
  <si>
    <t>122;609;38</t>
  </si>
  <si>
    <t>186;23280;239</t>
  </si>
  <si>
    <t>5;3;2</t>
  </si>
  <si>
    <t>5;781;43</t>
  </si>
  <si>
    <t>137;1528;60</t>
  </si>
  <si>
    <t>166;7840;136</t>
  </si>
  <si>
    <t>187;24776;248</t>
  </si>
  <si>
    <t>173;11496;167</t>
  </si>
  <si>
    <t>155;4126;99</t>
  </si>
  <si>
    <t>126;815;44</t>
  </si>
  <si>
    <t>149;3019;84</t>
  </si>
  <si>
    <t>175;12876;175</t>
  </si>
  <si>
    <t>144;2148;71</t>
  </si>
  <si>
    <t>187;25856;254</t>
  </si>
  <si>
    <t>181;16960;205</t>
  </si>
  <si>
    <t>171;9644;153</t>
  </si>
  <si>
    <t>173;11088;164</t>
  </si>
  <si>
    <t>151;3277;88</t>
  </si>
  <si>
    <t>144;2207;72</t>
  </si>
  <si>
    <t>162;6116;120</t>
  </si>
  <si>
    <t>167;8080;138</t>
  </si>
  <si>
    <t>157;4430;102</t>
  </si>
  <si>
    <t>186;23504;241</t>
  </si>
  <si>
    <t>170;9460;151</t>
  </si>
  <si>
    <t>161;5950;119</t>
  </si>
  <si>
    <t>147;2594;78</t>
  </si>
  <si>
    <t>185;21792;232</t>
  </si>
  <si>
    <t>63;36;10</t>
  </si>
  <si>
    <t>36;20;8</t>
  </si>
  <si>
    <t>11;7;4</t>
  </si>
  <si>
    <t>19;9;6</t>
  </si>
  <si>
    <t>10;7;4</t>
  </si>
  <si>
    <t>25;14;7</t>
  </si>
  <si>
    <t>18;9;6</t>
  </si>
  <si>
    <t>37;21;8</t>
  </si>
  <si>
    <t>26;15;7</t>
  </si>
  <si>
    <t>8;5;3</t>
  </si>
  <si>
    <t>77;48;11</t>
  </si>
  <si>
    <t>80;57;12</t>
  </si>
  <si>
    <t>65;37;10</t>
  </si>
  <si>
    <t>20;10;6</t>
  </si>
  <si>
    <t>80;58;12</t>
  </si>
  <si>
    <t>86;80;14</t>
  </si>
  <si>
    <t>76;47;11</t>
  </si>
  <si>
    <t>37;20;8</t>
  </si>
  <si>
    <t>5;3;1</t>
  </si>
  <si>
    <t>84;71;13</t>
  </si>
  <si>
    <t>6;4;2</t>
  </si>
  <si>
    <t>76;45;11</t>
  </si>
  <si>
    <t>86;79;14</t>
  </si>
  <si>
    <t>4;2;1</t>
  </si>
  <si>
    <t>5;4;3</t>
  </si>
  <si>
    <t>10;6;4</t>
  </si>
  <si>
    <t>49;26;9</t>
  </si>
  <si>
    <t>14;8;5</t>
  </si>
  <si>
    <t>84;70;13</t>
  </si>
  <si>
    <t>10;7;5</t>
  </si>
  <si>
    <t>12;26;9</t>
  </si>
  <si>
    <t>64;36;10</t>
  </si>
  <si>
    <t>48;26;9</t>
  </si>
  <si>
    <t>6;4;3</t>
  </si>
  <si>
    <t>5;7;5</t>
  </si>
  <si>
    <t>24;13;7</t>
  </si>
  <si>
    <t>76;46;11</t>
  </si>
  <si>
    <t>7;4;3</t>
  </si>
  <si>
    <t>80;56;12</t>
  </si>
  <si>
    <t>5;79;14</t>
  </si>
  <si>
    <t>19;10;6</t>
  </si>
  <si>
    <t>26;13;7</t>
  </si>
  <si>
    <t>13;7;5</t>
  </si>
  <si>
    <t>18;45;11</t>
  </si>
  <si>
    <t>12;7;5</t>
  </si>
  <si>
    <t>5;3;3</t>
  </si>
  <si>
    <t>89;91;15</t>
  </si>
  <si>
    <t>26;20;7</t>
  </si>
  <si>
    <t>52;27;8</t>
  </si>
  <si>
    <t>86;77;12</t>
  </si>
  <si>
    <t>73;41;9</t>
  </si>
  <si>
    <t>52;28;8</t>
  </si>
  <si>
    <t>88;91;13</t>
  </si>
  <si>
    <t>4;76;12</t>
  </si>
  <si>
    <t>35;19;7</t>
  </si>
  <si>
    <t>86;75;12</t>
  </si>
  <si>
    <t>83;63;11</t>
  </si>
  <si>
    <t>72;39;9</t>
  </si>
  <si>
    <t>78;50;10</t>
  </si>
  <si>
    <t>86;76;12</t>
  </si>
  <si>
    <t>88;89;13</t>
  </si>
  <si>
    <t>22;10;6</t>
  </si>
  <si>
    <t>22;51;10</t>
  </si>
  <si>
    <t>51;27;8</t>
  </si>
  <si>
    <t>78;51;10</t>
  </si>
  <si>
    <t>8;4;4</t>
  </si>
  <si>
    <t>88;90;13</t>
  </si>
  <si>
    <t>71;40;9</t>
  </si>
  <si>
    <t>93;118;15</t>
  </si>
  <si>
    <t>93;119;15</t>
  </si>
  <si>
    <t>90;103;14</t>
  </si>
  <si>
    <t>5;105;14</t>
  </si>
  <si>
    <t>22;105;14</t>
  </si>
  <si>
    <t>36;19;7</t>
  </si>
  <si>
    <t>22;19;7</t>
  </si>
  <si>
    <t>91;104;14</t>
  </si>
  <si>
    <t>8;5;4</t>
  </si>
  <si>
    <t>83;64;11</t>
  </si>
  <si>
    <t>72;40;9</t>
  </si>
  <si>
    <t>9;5;4</t>
  </si>
  <si>
    <t>91;106;14</t>
  </si>
  <si>
    <t>36;20;7</t>
  </si>
  <si>
    <t>79;51;10</t>
  </si>
  <si>
    <t>91;105;14</t>
  </si>
  <si>
    <t>73;40;9</t>
  </si>
  <si>
    <t>13;8;5</t>
  </si>
  <si>
    <t>83;65;11</t>
  </si>
  <si>
    <t>7;5;3</t>
  </si>
  <si>
    <t>86;78;12</t>
  </si>
  <si>
    <t>88;93;13</t>
  </si>
  <si>
    <t>91;107;14</t>
  </si>
  <si>
    <t>93;123;15</t>
  </si>
  <si>
    <t>80;56;10</t>
  </si>
  <si>
    <t>53;1203;8</t>
  </si>
  <si>
    <t>122;1203;8</t>
  </si>
  <si>
    <t>145;2417;11</t>
  </si>
  <si>
    <t>145;2417;0</t>
  </si>
  <si>
    <t>147;2780;11</t>
  </si>
  <si>
    <t>146;2520;10</t>
  </si>
  <si>
    <t>89;2806;4</t>
  </si>
  <si>
    <t>35;2806;6</t>
  </si>
  <si>
    <t>96;234;14</t>
  </si>
  <si>
    <t>97;244;15</t>
  </si>
  <si>
    <t>94;211;6</t>
  </si>
  <si>
    <t>85;122;3</t>
  </si>
  <si>
    <t>7;129;6</t>
  </si>
  <si>
    <t>3;4;10</t>
  </si>
  <si>
    <t>128;2034;125</t>
  </si>
  <si>
    <t>131;2352;135</t>
  </si>
  <si>
    <t>146;2617;115</t>
  </si>
  <si>
    <t>162;7068;190</t>
  </si>
  <si>
    <t>159;6352;206</t>
  </si>
  <si>
    <t>147;3305;148</t>
  </si>
  <si>
    <t>149;3855;159</t>
  </si>
  <si>
    <t>147;3260;146</t>
  </si>
  <si>
    <t>148;3483;151</t>
  </si>
  <si>
    <t>143;2704;133</t>
  </si>
  <si>
    <t>134;1552;101</t>
  </si>
  <si>
    <t>134;8006;229</t>
  </si>
  <si>
    <t>149;3775;156</t>
  </si>
  <si>
    <t>149;3685;154</t>
  </si>
  <si>
    <t>161;7352;217</t>
  </si>
  <si>
    <t>7;9472;245</t>
  </si>
  <si>
    <t>206;65008;251</t>
  </si>
  <si>
    <t>207;576;252</t>
  </si>
  <si>
    <t>175;11168;102</t>
  </si>
  <si>
    <t>207;1600;253</t>
  </si>
  <si>
    <t>207;544;251</t>
  </si>
  <si>
    <t>193;29568;166</t>
  </si>
  <si>
    <t>175;10820;100</t>
  </si>
  <si>
    <t>202;51632;220</t>
  </si>
  <si>
    <t>190;26168;156</t>
  </si>
  <si>
    <t>188;23272;147</t>
  </si>
  <si>
    <t>200;45696;207</t>
  </si>
  <si>
    <t>184;17912;129</t>
  </si>
  <si>
    <t>184;25528;154</t>
  </si>
  <si>
    <t>208;2144;254</t>
  </si>
  <si>
    <t>192;28912;164</t>
  </si>
  <si>
    <t>206;62576;243</t>
  </si>
  <si>
    <t>199;43632;202</t>
  </si>
  <si>
    <t>204;57088;232</t>
  </si>
  <si>
    <t>203;54032;225</t>
  </si>
  <si>
    <t>206;61056;240</t>
  </si>
  <si>
    <t>178;12932;109</t>
  </si>
  <si>
    <t>198;41104;195</t>
  </si>
  <si>
    <t>187;21360;140</t>
  </si>
  <si>
    <t>182;15768;120</t>
  </si>
  <si>
    <t>203;52192;220</t>
  </si>
  <si>
    <t>191;26832;157</t>
  </si>
  <si>
    <t>191;608;249</t>
  </si>
  <si>
    <t>196;35040;180</t>
  </si>
  <si>
    <t>186;20152;136</t>
  </si>
  <si>
    <t>186;30328;167</t>
  </si>
  <si>
    <t>196;34016;177</t>
  </si>
  <si>
    <t>207;384;249</t>
  </si>
  <si>
    <t>197;38544;189</t>
  </si>
  <si>
    <t>182;15180;118</t>
  </si>
  <si>
    <t>205;58208;233</t>
  </si>
  <si>
    <t>202;50048;216</t>
  </si>
  <si>
    <t>208;1280;251</t>
  </si>
  <si>
    <t>200;45216;205</t>
  </si>
  <si>
    <t>184;17648;127</t>
  </si>
  <si>
    <t>184;17408;126</t>
  </si>
  <si>
    <t>208;2912;253</t>
  </si>
  <si>
    <t>201;48048;211</t>
  </si>
  <si>
    <t>178;12776;108</t>
  </si>
  <si>
    <t>207;64928;246</t>
  </si>
  <si>
    <t>189;23280;146</t>
  </si>
  <si>
    <t>203;52672;221</t>
  </si>
  <si>
    <t>192;27560;159</t>
  </si>
  <si>
    <t>192;27256;158</t>
  </si>
  <si>
    <t>191;25920;154</t>
  </si>
  <si>
    <t>193;29376;164</t>
  </si>
  <si>
    <t>184;17976;128</t>
  </si>
  <si>
    <t>206;59472;235</t>
  </si>
  <si>
    <t>183;16824;124</t>
  </si>
  <si>
    <t>199;42544;198</t>
  </si>
  <si>
    <t>189;23304;146</t>
  </si>
  <si>
    <t>198;52672;221</t>
  </si>
  <si>
    <t>199;43248;200</t>
  </si>
  <si>
    <t>206;59712;236</t>
  </si>
  <si>
    <t>207;61632;240</t>
  </si>
  <si>
    <t>206;60288;237</t>
  </si>
  <si>
    <t>203;52272;220</t>
  </si>
  <si>
    <t>204;53280;222</t>
  </si>
  <si>
    <t>179;13320;110</t>
  </si>
  <si>
    <t>202;48400;211</t>
  </si>
  <si>
    <t>190;24992;151</t>
  </si>
  <si>
    <t>200;44000;201</t>
  </si>
  <si>
    <t>177;12136;105</t>
  </si>
  <si>
    <t>180;14096;113</t>
  </si>
  <si>
    <t>198;39072;189</t>
  </si>
  <si>
    <t>198;38192;187</t>
  </si>
  <si>
    <t>180;13796;112</t>
  </si>
  <si>
    <t>185;18080;128</t>
  </si>
  <si>
    <t>200;44480;202</t>
  </si>
  <si>
    <t>194;30520;167</t>
  </si>
  <si>
    <t>181;14324;114</t>
  </si>
  <si>
    <t>188;22504;143</t>
  </si>
  <si>
    <t>203;51104;217</t>
  </si>
  <si>
    <t>201;47776;210</t>
  </si>
  <si>
    <t>187;20584;137</t>
  </si>
  <si>
    <t>188;21840;141</t>
  </si>
  <si>
    <t>208;65488;247</t>
  </si>
  <si>
    <t>204;53632;223</t>
  </si>
  <si>
    <t>203;50880;217</t>
  </si>
  <si>
    <t>184;17144;125</t>
  </si>
  <si>
    <t>207;63936;244</t>
  </si>
  <si>
    <t>198;40496;193</t>
  </si>
  <si>
    <t>200;43872;201</t>
  </si>
  <si>
    <t>202;48672;212</t>
  </si>
  <si>
    <t>198;38448;188</t>
  </si>
  <si>
    <t>207;62352;241</t>
  </si>
  <si>
    <t>202;50400;216</t>
  </si>
  <si>
    <t>180;13576;111</t>
  </si>
  <si>
    <t>199;41520;195</t>
  </si>
  <si>
    <t>186;20040;135</t>
  </si>
  <si>
    <t>186;38240;187</t>
  </si>
  <si>
    <t>208;2624;252</t>
  </si>
  <si>
    <t>185;18848;131</t>
  </si>
  <si>
    <t>199;40624;193</t>
  </si>
  <si>
    <t>193;28072;160</t>
  </si>
  <si>
    <t>208;3104;253</t>
  </si>
  <si>
    <t>206;58640;233</t>
  </si>
  <si>
    <t>191;25720;153</t>
  </si>
  <si>
    <t>203;52624;220</t>
  </si>
  <si>
    <t>191;25432;152</t>
  </si>
  <si>
    <t>203;50368;215</t>
  </si>
  <si>
    <t>191;26432;155</t>
  </si>
  <si>
    <t>201;45456;204</t>
  </si>
  <si>
    <t>201;2688;252</t>
  </si>
  <si>
    <t>199;41456;195</t>
  </si>
  <si>
    <t>206;60192;236</t>
  </si>
  <si>
    <t>194;29544;164</t>
  </si>
  <si>
    <t>190;24144;148</t>
  </si>
  <si>
    <t>208;896;248</t>
  </si>
  <si>
    <t>178;12164;105</t>
  </si>
  <si>
    <t>199;40416;192</t>
  </si>
  <si>
    <t>197;36304;182</t>
  </si>
  <si>
    <t>184;16712;123</t>
  </si>
  <si>
    <t>194;29608;164</t>
  </si>
  <si>
    <t>191;26472;155</t>
  </si>
  <si>
    <t>193;27856;159</t>
  </si>
  <si>
    <t>191;26456;155</t>
  </si>
  <si>
    <t>192;26816;156</t>
  </si>
  <si>
    <t>184;17552;126</t>
  </si>
  <si>
    <t>194;29616;164</t>
  </si>
  <si>
    <t>187;21320;139</t>
  </si>
  <si>
    <t>205;55456;226</t>
  </si>
  <si>
    <t>202;49280;213</t>
  </si>
  <si>
    <t>204;54880;225</t>
  </si>
  <si>
    <t>203;51632;218</t>
  </si>
  <si>
    <t>195;32440;172</t>
  </si>
  <si>
    <t>195;55920;227</t>
  </si>
  <si>
    <t>201;45808;205</t>
  </si>
  <si>
    <t>206;59760;235</t>
  </si>
  <si>
    <t>181;14368;114</t>
  </si>
  <si>
    <t>195;31064;168</t>
  </si>
  <si>
    <t>204;54528;224</t>
  </si>
  <si>
    <t>191;25448;152</t>
  </si>
  <si>
    <t>187;21032;138</t>
  </si>
  <si>
    <t>208;3072;252</t>
  </si>
  <si>
    <t>184;17520;126</t>
  </si>
  <si>
    <t>198;38752;188</t>
  </si>
  <si>
    <t>208;65216;246</t>
  </si>
  <si>
    <t>198;39424;190</t>
  </si>
  <si>
    <t>198;43248;199</t>
  </si>
  <si>
    <t>198;38720;188</t>
  </si>
  <si>
    <t>198;39552;190</t>
  </si>
  <si>
    <t>205;55488;226</t>
  </si>
  <si>
    <t>182;14620;115</t>
  </si>
  <si>
    <t>199;40448;192</t>
  </si>
  <si>
    <t>204;52640;220</t>
  </si>
  <si>
    <t>187;20712;137</t>
  </si>
  <si>
    <t>183;15704;119</t>
  </si>
  <si>
    <t>189;22920;144</t>
  </si>
  <si>
    <t>185;18992;131</t>
  </si>
  <si>
    <t>176;11340;101</t>
  </si>
  <si>
    <t>176;46000;205</t>
  </si>
  <si>
    <t>208;2240;251</t>
  </si>
  <si>
    <t>177;11776;103</t>
  </si>
  <si>
    <t>208;1760;250</t>
  </si>
  <si>
    <t>192;26760;156</t>
  </si>
  <si>
    <t>201;45856;205</t>
  </si>
  <si>
    <t>197;36256;182</t>
  </si>
  <si>
    <t>208;3520;254</t>
  </si>
  <si>
    <t>202;49168;213</t>
  </si>
  <si>
    <t>195;30608;167</t>
  </si>
  <si>
    <t>207;61120;238</t>
  </si>
  <si>
    <t>195;30240;166</t>
  </si>
  <si>
    <t>183;15412;118</t>
  </si>
  <si>
    <t>195;30312;166</t>
  </si>
  <si>
    <t>176;11060;100</t>
  </si>
  <si>
    <t>176;63808;243</t>
  </si>
  <si>
    <t>183;16384;122</t>
  </si>
  <si>
    <t>199;41552;195</t>
  </si>
  <si>
    <t>199;52;0</t>
  </si>
  <si>
    <t>50;52;1</t>
  </si>
  <si>
    <t>130;1248;1</t>
  </si>
  <si>
    <t>126;1524;1</t>
  </si>
  <si>
    <t>123;1241;1</t>
  </si>
  <si>
    <t>113;802;1</t>
  </si>
  <si>
    <t>174;22888;1</t>
  </si>
  <si>
    <t>168;18984;1</t>
  </si>
  <si>
    <t>173;22368;1</t>
  </si>
  <si>
    <t>175;23792;1</t>
  </si>
  <si>
    <t>166;14116;1</t>
  </si>
  <si>
    <t>173;21032;1</t>
  </si>
  <si>
    <t>175;25840;1</t>
  </si>
  <si>
    <t>176;28720;1</t>
  </si>
  <si>
    <t>180;34608;1</t>
  </si>
  <si>
    <t>169;36048;1</t>
  </si>
  <si>
    <t>169;38880;1</t>
  </si>
  <si>
    <t>183;43312;1</t>
  </si>
  <si>
    <t>163;27064;1</t>
  </si>
  <si>
    <t>185;52320;1</t>
  </si>
  <si>
    <t>173;25368;1</t>
  </si>
  <si>
    <t>171;53712;1</t>
  </si>
  <si>
    <t>175;55264;1</t>
  </si>
  <si>
    <t>170;18928;1</t>
  </si>
  <si>
    <t>170;20088;1</t>
  </si>
  <si>
    <t>173;59808;1</t>
  </si>
  <si>
    <t>179;44320;1</t>
  </si>
  <si>
    <t>185;47872;1</t>
  </si>
  <si>
    <t>185;61376;1</t>
  </si>
  <si>
    <t>173;22816;1</t>
  </si>
  <si>
    <t>179;30088;1</t>
  </si>
  <si>
    <t>173;23560;1</t>
  </si>
  <si>
    <t>177;24464;1</t>
  </si>
  <si>
    <t>165;16368;1</t>
  </si>
  <si>
    <t>169;16664;1</t>
  </si>
  <si>
    <t>165;13308;1</t>
  </si>
  <si>
    <t>163;11852;1</t>
  </si>
  <si>
    <t>167;15648;1</t>
  </si>
  <si>
    <t>166;16076;1</t>
  </si>
  <si>
    <t>163;18072;1</t>
  </si>
  <si>
    <t>167;15284;1</t>
  </si>
  <si>
    <t>166;15284;1</t>
  </si>
  <si>
    <t>166;13768;1</t>
  </si>
  <si>
    <t>166;33040;1</t>
  </si>
  <si>
    <t>169;14268;1</t>
  </si>
  <si>
    <t>165;15800;1</t>
  </si>
  <si>
    <t>161;9992;1</t>
  </si>
  <si>
    <t>159;16960;1</t>
  </si>
  <si>
    <t>161;9420;1</t>
  </si>
  <si>
    <t>153;7972;1</t>
  </si>
  <si>
    <t>149;5530;1</t>
  </si>
  <si>
    <t>152;6204;1</t>
  </si>
  <si>
    <t>152;6838;1</t>
  </si>
  <si>
    <t>148;4860;1</t>
  </si>
  <si>
    <t>147;5494;1</t>
  </si>
  <si>
    <t>139;3386;1</t>
  </si>
  <si>
    <t>151;4624;1</t>
  </si>
  <si>
    <t>160;8584;1</t>
  </si>
  <si>
    <t>160;8808;1</t>
  </si>
  <si>
    <t>161;10968;1</t>
  </si>
  <si>
    <t>159;8952;1</t>
  </si>
  <si>
    <t>160;10624;1</t>
  </si>
  <si>
    <t>159;8888;1</t>
  </si>
  <si>
    <t>157;11044;1</t>
  </si>
  <si>
    <t>158;8688;1</t>
  </si>
  <si>
    <t>154;7748;1</t>
  </si>
  <si>
    <t>157;7940;1</t>
  </si>
  <si>
    <t>183;28368;1</t>
  </si>
  <si>
    <t>163;13140;1</t>
  </si>
  <si>
    <t>166;15564;1</t>
  </si>
  <si>
    <t>171;15944;1</t>
  </si>
  <si>
    <t>162;19984;1</t>
  </si>
  <si>
    <t>160;10440;1</t>
  </si>
  <si>
    <t>160;10508;1</t>
  </si>
  <si>
    <t>150;6114;1</t>
  </si>
  <si>
    <t>147;4490;1</t>
  </si>
  <si>
    <t>149;5310;1</t>
  </si>
  <si>
    <t>141;3532;1</t>
  </si>
  <si>
    <t>140;4388;1</t>
  </si>
  <si>
    <t>147;3761;1</t>
  </si>
  <si>
    <t>144;4017;1</t>
  </si>
  <si>
    <t>138;3518;1</t>
  </si>
  <si>
    <t>143;4134;1</t>
  </si>
  <si>
    <t>168;18864;1</t>
  </si>
  <si>
    <t>158;11808;1</t>
  </si>
  <si>
    <t>170;11808;1</t>
  </si>
  <si>
    <t>144;5458;1</t>
  </si>
  <si>
    <t>139;3102;1</t>
  </si>
  <si>
    <t>137;2652;1</t>
  </si>
  <si>
    <t>132;2110;1</t>
  </si>
  <si>
    <t>132;2227;1</t>
  </si>
  <si>
    <t>134;2333;1</t>
  </si>
  <si>
    <t>135;2424;1</t>
  </si>
  <si>
    <t>136;2912;1</t>
  </si>
  <si>
    <t>134;2221;1</t>
  </si>
  <si>
    <t>127;1652;1</t>
  </si>
  <si>
    <t>124;1306;1</t>
  </si>
  <si>
    <t>120;1065;1</t>
  </si>
  <si>
    <t>111;674;1</t>
  </si>
  <si>
    <t>101;378;1</t>
  </si>
  <si>
    <t>90;210;1</t>
  </si>
  <si>
    <t>81;131;1</t>
  </si>
  <si>
    <t>81;117;1</t>
  </si>
  <si>
    <t>31;32;1</t>
  </si>
  <si>
    <t>14;14;1</t>
  </si>
  <si>
    <t>7;7;1</t>
  </si>
  <si>
    <t>4;4;1</t>
  </si>
  <si>
    <t>2;1;1</t>
  </si>
  <si>
    <t>1;0;1</t>
  </si>
  <si>
    <t>101;408;1</t>
  </si>
  <si>
    <t>114;762;1</t>
  </si>
  <si>
    <t>1;9;1</t>
  </si>
  <si>
    <t>1;49;1</t>
  </si>
  <si>
    <t>1;1;1</t>
  </si>
  <si>
    <t>2;3;1</t>
  </si>
  <si>
    <t>5;8;1</t>
  </si>
  <si>
    <t>14;17;1</t>
  </si>
  <si>
    <t>36;43;1</t>
  </si>
  <si>
    <t>65;66;1</t>
  </si>
  <si>
    <t>82;118;1</t>
  </si>
  <si>
    <t>87;165;1</t>
  </si>
  <si>
    <t>96;213;1</t>
  </si>
  <si>
    <t>96;267;1</t>
  </si>
  <si>
    <t>99;268;1</t>
  </si>
  <si>
    <t>100;314;1</t>
  </si>
  <si>
    <t>96;238;1</t>
  </si>
  <si>
    <t>96;318;1</t>
  </si>
  <si>
    <t>100;387;1</t>
  </si>
  <si>
    <t>105;476;1</t>
  </si>
  <si>
    <t>108;657;1</t>
  </si>
  <si>
    <t>118;1180;1</t>
  </si>
  <si>
    <t>122;1167;1</t>
  </si>
  <si>
    <t>128;2021;1</t>
  </si>
  <si>
    <t>130;1882;1</t>
  </si>
  <si>
    <t>127;1556;1</t>
  </si>
  <si>
    <t>126;1496;1</t>
  </si>
  <si>
    <t>124;1098;1</t>
  </si>
  <si>
    <t>125;1656;1</t>
  </si>
  <si>
    <t>130;2158;1</t>
  </si>
  <si>
    <t>134;2242;1</t>
  </si>
  <si>
    <t>137;2810;1</t>
  </si>
  <si>
    <t>137;2959;1</t>
  </si>
  <si>
    <t>139;3149;1</t>
  </si>
  <si>
    <t>144;3534;1</t>
  </si>
  <si>
    <t>142;3564;1</t>
  </si>
  <si>
    <t>139;2947;1</t>
  </si>
  <si>
    <t>138;2799;1</t>
  </si>
  <si>
    <t>138;2983;1</t>
  </si>
  <si>
    <t>140;3599;1</t>
  </si>
  <si>
    <t>146;4484;1</t>
  </si>
  <si>
    <t>146;4494;1</t>
  </si>
  <si>
    <t>150;6140;1</t>
  </si>
  <si>
    <t>155;7202;1</t>
  </si>
  <si>
    <t>155;7506;1</t>
  </si>
  <si>
    <t>159;9164;1</t>
  </si>
  <si>
    <t>152;6386;1</t>
  </si>
  <si>
    <t>152;6592;1</t>
  </si>
  <si>
    <t>152;5942;1</t>
  </si>
  <si>
    <t>147;4818;1</t>
  </si>
  <si>
    <t>150;5874;1</t>
  </si>
  <si>
    <t>150;7786;1</t>
  </si>
  <si>
    <t>154;11092;1</t>
  </si>
  <si>
    <t>163;13640;1</t>
  </si>
  <si>
    <t>160;10424;1</t>
  </si>
  <si>
    <t>159;10220;1</t>
  </si>
  <si>
    <t>163;14744;1</t>
  </si>
  <si>
    <t>170;16824;1</t>
  </si>
  <si>
    <t>164;14000;1</t>
  </si>
  <si>
    <t>159;12132;1</t>
  </si>
  <si>
    <t>164;10916;1</t>
  </si>
  <si>
    <t>166;12308;1</t>
  </si>
  <si>
    <t>171;11748;1</t>
  </si>
  <si>
    <t>169;18584;1</t>
  </si>
  <si>
    <t>158;9628;1</t>
  </si>
  <si>
    <t>143;3917;1</t>
  </si>
  <si>
    <t>139;3006;1</t>
  </si>
  <si>
    <t>137;2862;1</t>
  </si>
  <si>
    <t>138;2417;1</t>
  </si>
  <si>
    <t>146;3969;1</t>
  </si>
  <si>
    <t>153;6066;1</t>
  </si>
  <si>
    <t>158;8552;1</t>
  </si>
  <si>
    <t>161;10880;1</t>
  </si>
  <si>
    <t>167;11432;1</t>
  </si>
  <si>
    <t>178;24104;1</t>
  </si>
  <si>
    <t>171;28056;1</t>
  </si>
  <si>
    <t>140;10648;1</t>
  </si>
  <si>
    <t>156;12804;1</t>
  </si>
  <si>
    <t>159;14004;1</t>
  </si>
  <si>
    <t>162;16520;1</t>
  </si>
  <si>
    <t>162;17344;1</t>
  </si>
  <si>
    <t>163;17344;1</t>
  </si>
  <si>
    <t>169;21064;1</t>
  </si>
  <si>
    <t>166;20712;1</t>
  </si>
  <si>
    <t>159;14720;1</t>
  </si>
  <si>
    <t>162;16696;1</t>
  </si>
  <si>
    <t>163;16920;1</t>
  </si>
  <si>
    <t>168;19040;1</t>
  </si>
  <si>
    <t>171;22000;1</t>
  </si>
  <si>
    <t>172;24928;1</t>
  </si>
  <si>
    <t>174;27376;1</t>
  </si>
  <si>
    <t>176;29528;1</t>
  </si>
  <si>
    <t>178;32944;1</t>
  </si>
  <si>
    <t>178;34896;1</t>
  </si>
  <si>
    <t>176;30760;1</t>
  </si>
  <si>
    <t>173;26872;1</t>
  </si>
  <si>
    <t>172;24520;1</t>
  </si>
  <si>
    <t>183;39984;1</t>
  </si>
  <si>
    <t>175;29664;1</t>
  </si>
  <si>
    <t>167;23208;1</t>
  </si>
  <si>
    <t>168;19832;1</t>
  </si>
  <si>
    <t>172;23568;1</t>
  </si>
  <si>
    <t>175;27752;1</t>
  </si>
  <si>
    <t>175;30704;1</t>
  </si>
  <si>
    <t>167;22264;1</t>
  </si>
  <si>
    <t>165;19160;1</t>
  </si>
  <si>
    <t>165;19008;1</t>
  </si>
  <si>
    <t>162;17552;1</t>
  </si>
  <si>
    <t>167;25064;1</t>
  </si>
  <si>
    <t>173;29152;1</t>
  </si>
  <si>
    <t>185;44352;1</t>
  </si>
  <si>
    <t>187;39536;1</t>
  </si>
  <si>
    <t>184;39536;1</t>
  </si>
  <si>
    <t>184;44768;1</t>
  </si>
  <si>
    <t>186;36800;1</t>
  </si>
  <si>
    <t>214;24320;1</t>
  </si>
  <si>
    <t>225;30720;1</t>
  </si>
  <si>
    <t>199;49728;1</t>
  </si>
  <si>
    <t>195;19488;1</t>
  </si>
  <si>
    <t>190;2592;1</t>
  </si>
  <si>
    <t>185;51216;1</t>
  </si>
  <si>
    <t>184;56688;1</t>
  </si>
  <si>
    <t>189;62048;1</t>
  </si>
  <si>
    <t>195;13056;1</t>
  </si>
  <si>
    <t>197;21568;1</t>
  </si>
  <si>
    <t>202;54976;1</t>
  </si>
  <si>
    <t>209;51904;1</t>
  </si>
  <si>
    <t>209;29120;1</t>
  </si>
  <si>
    <t>212;0;1</t>
  </si>
  <si>
    <t>208;19008;1</t>
  </si>
  <si>
    <t>220;42368;1</t>
  </si>
  <si>
    <t>226;21632;1</t>
  </si>
  <si>
    <t>227;34432;1</t>
  </si>
  <si>
    <t>227;27520;1</t>
  </si>
  <si>
    <t>224;39040;1</t>
  </si>
  <si>
    <t>222;53248;1</t>
  </si>
  <si>
    <t>220;56576;1</t>
  </si>
  <si>
    <t>218;11520;1</t>
  </si>
  <si>
    <t>217;63424;1</t>
  </si>
  <si>
    <t>212;36224;1</t>
  </si>
  <si>
    <t>208;29952;1</t>
  </si>
  <si>
    <t>207;35456;1</t>
  </si>
  <si>
    <t>205;17984;1</t>
  </si>
  <si>
    <t>205;53568;1</t>
  </si>
  <si>
    <t>203;50016;1</t>
  </si>
  <si>
    <t>198;34144;1</t>
  </si>
  <si>
    <t>196;12192;1</t>
  </si>
  <si>
    <t>202;45760;1</t>
  </si>
  <si>
    <t>199;25184;1</t>
  </si>
  <si>
    <t>196;14720;1</t>
  </si>
  <si>
    <t>189;55056;1</t>
  </si>
  <si>
    <t>192;56448;1</t>
  </si>
  <si>
    <t>181;43168;1</t>
  </si>
  <si>
    <t>154;7350;1</t>
  </si>
  <si>
    <t>154;6888;1</t>
  </si>
  <si>
    <t>155;10756;1</t>
  </si>
  <si>
    <t>162;15920;1</t>
  </si>
  <si>
    <t>170;24920;1</t>
  </si>
  <si>
    <t>183;40528;1</t>
  </si>
  <si>
    <t>182;37472;1</t>
  </si>
  <si>
    <t>179;33632;1</t>
  </si>
  <si>
    <t>178;36864;1</t>
  </si>
  <si>
    <t>184;45136;1</t>
  </si>
  <si>
    <t>186;47408;1</t>
  </si>
  <si>
    <t>187;50976;1</t>
  </si>
  <si>
    <t>186;47664;1</t>
  </si>
  <si>
    <t>186;55120;1</t>
  </si>
  <si>
    <t>188;56560;1</t>
  </si>
  <si>
    <t>186;45664;1</t>
  </si>
  <si>
    <t>182;36240;1</t>
  </si>
  <si>
    <t>173;28344;1</t>
  </si>
  <si>
    <t>160;12876;1</t>
  </si>
  <si>
    <t>163;14192;1</t>
  </si>
  <si>
    <t>157;11380;1</t>
  </si>
  <si>
    <t>148;5528;1</t>
  </si>
  <si>
    <t>145;4548;1</t>
  </si>
  <si>
    <t>149;5892;1</t>
  </si>
  <si>
    <t>147;5160;1</t>
  </si>
  <si>
    <t>141;3686;1</t>
  </si>
  <si>
    <t>131;2475;1</t>
  </si>
  <si>
    <t>114;874;1</t>
  </si>
  <si>
    <t>110;747;1</t>
  </si>
  <si>
    <t>94;295;1</t>
  </si>
  <si>
    <t>76;115;1</t>
  </si>
  <si>
    <t>38;54;1</t>
  </si>
  <si>
    <t>18;19;1</t>
  </si>
  <si>
    <t>0;28;1</t>
  </si>
  <si>
    <t>2;2;1</t>
  </si>
  <si>
    <t>5;6;1</t>
  </si>
  <si>
    <t>16;16;1</t>
  </si>
  <si>
    <t>28;32;1</t>
  </si>
  <si>
    <t>73;88;1</t>
  </si>
  <si>
    <t>95;296;1</t>
  </si>
  <si>
    <t>109;507;1</t>
  </si>
  <si>
    <t>109;1000;1</t>
  </si>
  <si>
    <t>121;1679;1</t>
  </si>
  <si>
    <t>128;1993;1</t>
  </si>
  <si>
    <t>135;3090;1</t>
  </si>
  <si>
    <t>141;4284;1</t>
  </si>
  <si>
    <t>149;9956;1</t>
  </si>
  <si>
    <t>161;14212;1</t>
  </si>
  <si>
    <t>167;16928;1</t>
  </si>
  <si>
    <t>169;20528;1</t>
  </si>
  <si>
    <t>183;45024;1</t>
  </si>
  <si>
    <t>183;44464;1</t>
  </si>
  <si>
    <t>182;34848;1</t>
  </si>
  <si>
    <t>196;1856;1</t>
  </si>
  <si>
    <t>195;19264;1</t>
  </si>
  <si>
    <t>195;23456;1</t>
  </si>
  <si>
    <t>195;21056;1</t>
  </si>
  <si>
    <t>196;24768;1</t>
  </si>
  <si>
    <t>193;19456;1</t>
  </si>
  <si>
    <t>195;29216;1</t>
  </si>
  <si>
    <t>197;38272;1</t>
  </si>
  <si>
    <t>203;3968;1</t>
  </si>
  <si>
    <t>205;22016;1</t>
  </si>
  <si>
    <t>205;16256;1</t>
  </si>
  <si>
    <t>206;26816;1</t>
  </si>
  <si>
    <t>207;32320;1</t>
  </si>
  <si>
    <t>195;42464;1</t>
  </si>
  <si>
    <t>195;25024;1</t>
  </si>
  <si>
    <t>204;704;1</t>
  </si>
  <si>
    <t>210;13056;1</t>
  </si>
  <si>
    <t>202;15104;1</t>
  </si>
  <si>
    <t>205;960;1</t>
  </si>
  <si>
    <t>208;62208;1</t>
  </si>
  <si>
    <t>212;44416;1</t>
  </si>
  <si>
    <t>201;3392;1</t>
  </si>
  <si>
    <t>199;46304;1</t>
  </si>
  <si>
    <t>198;27424;1</t>
  </si>
  <si>
    <t>202;2176;1</t>
  </si>
  <si>
    <t>214;11776;1</t>
  </si>
  <si>
    <t>214;27648;1</t>
  </si>
  <si>
    <t>217;31872;1</t>
  </si>
  <si>
    <t>218;63232;1</t>
  </si>
  <si>
    <t>214;12800;1</t>
  </si>
  <si>
    <t>217;2432;1</t>
  </si>
  <si>
    <t>220;3328;1</t>
  </si>
  <si>
    <t>213;59648;1</t>
  </si>
  <si>
    <t>211;41536;1</t>
  </si>
  <si>
    <t>208;63488;1</t>
  </si>
  <si>
    <t>221;48256;1</t>
  </si>
  <si>
    <t>209;768;1</t>
  </si>
  <si>
    <t>199;45152;1</t>
  </si>
  <si>
    <t>220;62976;1</t>
  </si>
  <si>
    <t>227;19200;1</t>
  </si>
  <si>
    <t>223;30720;1</t>
  </si>
  <si>
    <t>213;32640;1</t>
  </si>
  <si>
    <t>212;58176;1</t>
  </si>
  <si>
    <t>225;1792;1</t>
  </si>
  <si>
    <t>208;13504;1</t>
  </si>
  <si>
    <t>203;51296;1</t>
  </si>
  <si>
    <t>206;31872;1</t>
  </si>
  <si>
    <t>221;48896;1</t>
  </si>
  <si>
    <t>221;28672;1</t>
  </si>
  <si>
    <t>222;54400;1</t>
  </si>
  <si>
    <t>232;20352;1</t>
  </si>
  <si>
    <t>235;8960;1</t>
  </si>
  <si>
    <t>218;31488;1</t>
  </si>
  <si>
    <t>219;35072;1</t>
  </si>
  <si>
    <t>219;3584;1</t>
  </si>
  <si>
    <t>223;58112;1</t>
  </si>
  <si>
    <t>219;40064;1</t>
  </si>
  <si>
    <t>214;33024;1</t>
  </si>
  <si>
    <t>222;11520;1</t>
  </si>
  <si>
    <t>225;57344;1</t>
  </si>
  <si>
    <t>226;24576;1</t>
  </si>
  <si>
    <t>235;34816;1</t>
  </si>
  <si>
    <t>237;34816;1</t>
  </si>
  <si>
    <t>236;6144;1</t>
  </si>
  <si>
    <t>223;26624;1</t>
  </si>
  <si>
    <t>222;63488;1</t>
  </si>
  <si>
    <t>234;30720;1</t>
  </si>
  <si>
    <t>232;14336;1</t>
  </si>
  <si>
    <t>232;22528;1</t>
  </si>
  <si>
    <t>225;6144;1</t>
  </si>
  <si>
    <t>233;63488;1</t>
  </si>
  <si>
    <t>235;12288;1</t>
  </si>
  <si>
    <t>241;63488;1</t>
  </si>
  <si>
    <t>233;36864;1</t>
  </si>
  <si>
    <t>229;63488;1</t>
  </si>
  <si>
    <t>231;27136;1</t>
  </si>
  <si>
    <t>232;63488;1</t>
  </si>
  <si>
    <t>223;24576;1</t>
  </si>
  <si>
    <t>229;2048;1</t>
  </si>
  <si>
    <t>245;30720;1</t>
  </si>
  <si>
    <t>230;63488;1</t>
  </si>
  <si>
    <t>226;43520;1</t>
  </si>
  <si>
    <t>226;7424;1</t>
  </si>
  <si>
    <t>230;47872;1</t>
  </si>
  <si>
    <t>233;17920;1</t>
  </si>
  <si>
    <t>230;25728;1</t>
  </si>
  <si>
    <t>218;49920;1</t>
  </si>
  <si>
    <t>238;58112;1</t>
  </si>
  <si>
    <t>230;49664;1</t>
  </si>
  <si>
    <t>224;42496;1</t>
  </si>
  <si>
    <t>233;5888;1</t>
  </si>
  <si>
    <t>225;42752;1</t>
  </si>
  <si>
    <t>223;50688;1</t>
  </si>
  <si>
    <t>223;33280;1</t>
  </si>
  <si>
    <t>226;40960;1</t>
  </si>
  <si>
    <t>201;37824;1</t>
  </si>
  <si>
    <t>221;30208;1</t>
  </si>
  <si>
    <t>232;39424;1</t>
  </si>
  <si>
    <t>223;51328;1</t>
  </si>
  <si>
    <t>229;17792;1</t>
  </si>
  <si>
    <t>228;20992;1</t>
  </si>
  <si>
    <t>222;1280;1</t>
  </si>
  <si>
    <t>226;49152;1</t>
  </si>
  <si>
    <t>235;21504;1</t>
  </si>
  <si>
    <t>227;24320;1</t>
  </si>
  <si>
    <t>226;51712;1</t>
  </si>
  <si>
    <t>232;25088;1</t>
  </si>
  <si>
    <t>218;52224;1</t>
  </si>
  <si>
    <t>206;6592;1</t>
  </si>
  <si>
    <t>205;1024;1</t>
  </si>
  <si>
    <t>209;44288;1</t>
  </si>
  <si>
    <t>211;2496;1</t>
  </si>
  <si>
    <t>217;3968;1</t>
  </si>
  <si>
    <t>217;8448;1</t>
  </si>
  <si>
    <t>220;61824;1</t>
  </si>
  <si>
    <t>216;41344;1</t>
  </si>
  <si>
    <t>210;42880;1</t>
  </si>
  <si>
    <t>209;24128;1</t>
  </si>
  <si>
    <t>223;19968;1</t>
  </si>
  <si>
    <t>220;33024;1</t>
  </si>
  <si>
    <t>207;28608;1</t>
  </si>
  <si>
    <t>204;57280;1</t>
  </si>
  <si>
    <t>213;26880;1</t>
  </si>
  <si>
    <t>222;17152;1</t>
  </si>
  <si>
    <t>213;45248;1</t>
  </si>
  <si>
    <t>213;39616;1</t>
  </si>
  <si>
    <t>213;57472;1</t>
  </si>
  <si>
    <t>219;58368;1</t>
  </si>
  <si>
    <t>214;52032;1</t>
  </si>
  <si>
    <t>214;5120;1</t>
  </si>
  <si>
    <t>205;4096;1</t>
  </si>
  <si>
    <t>210;10816;1</t>
  </si>
  <si>
    <t>215;34240;1</t>
  </si>
  <si>
    <t>207;41408;1</t>
  </si>
  <si>
    <t>217;39168;1</t>
  </si>
  <si>
    <t>198;7360;1</t>
  </si>
  <si>
    <t>200;43168;1</t>
  </si>
  <si>
    <t>194;6816;1</t>
  </si>
  <si>
    <t>194;6976;1</t>
  </si>
  <si>
    <t>196;5344;1</t>
  </si>
  <si>
    <t>194;64720;1</t>
  </si>
  <si>
    <t>194;65264;1</t>
  </si>
  <si>
    <t>194;2720;1</t>
  </si>
  <si>
    <t>193;61376;1</t>
  </si>
  <si>
    <t>192;59232;1</t>
  </si>
  <si>
    <t>191;57488;1</t>
  </si>
  <si>
    <t>191;55856;1</t>
  </si>
  <si>
    <t>191;55600;1</t>
  </si>
  <si>
    <t>200;45312;1</t>
  </si>
  <si>
    <t>205;21120;1</t>
  </si>
  <si>
    <t>205;10112;1</t>
  </si>
  <si>
    <t>205;13888;1</t>
  </si>
  <si>
    <t>205;48000;1</t>
  </si>
  <si>
    <t>210;3648;1</t>
  </si>
  <si>
    <t>210;18496;1</t>
  </si>
  <si>
    <t>208;52928;1</t>
  </si>
  <si>
    <t>150;384;1</t>
  </si>
  <si>
    <t>180;29088;1</t>
  </si>
  <si>
    <t>226;42496;1</t>
  </si>
  <si>
    <t>226;21120;1</t>
  </si>
  <si>
    <t>225;256;1</t>
  </si>
  <si>
    <t>224;48128;1</t>
  </si>
  <si>
    <t>223;32000;1</t>
  </si>
  <si>
    <t>223;19712;1</t>
  </si>
  <si>
    <t>223;17152;1</t>
  </si>
  <si>
    <t>222;12160;1</t>
  </si>
  <si>
    <t>222;9088;1</t>
  </si>
  <si>
    <t>222;4224;1</t>
  </si>
  <si>
    <t>222;63744;1</t>
  </si>
  <si>
    <t>221;54528;1</t>
  </si>
  <si>
    <t>220;35328;1</t>
  </si>
  <si>
    <t>220;22912;1</t>
  </si>
  <si>
    <t>218;56768;1</t>
  </si>
  <si>
    <t>215;29888;1</t>
  </si>
  <si>
    <t>216;31232;1</t>
  </si>
  <si>
    <t>216;35200;1</t>
  </si>
  <si>
    <t>216;32576;1</t>
  </si>
  <si>
    <t>213;6400;1</t>
  </si>
  <si>
    <t>211;40896;1</t>
  </si>
  <si>
    <t>208;20800;1</t>
  </si>
  <si>
    <t>219;39040;1</t>
  </si>
  <si>
    <t>225;21504;1</t>
  </si>
  <si>
    <t>223;43648;1</t>
  </si>
  <si>
    <t>226;60032;1</t>
  </si>
  <si>
    <t>226;44672;1</t>
  </si>
  <si>
    <t>238;35072;1</t>
  </si>
  <si>
    <t>232;35328;1</t>
  </si>
  <si>
    <t>230;24192;1</t>
  </si>
  <si>
    <t>212;24192;1</t>
  </si>
  <si>
    <t>212;50176;1</t>
  </si>
  <si>
    <t>245;46080;1</t>
  </si>
  <si>
    <t>243;41984;1</t>
  </si>
  <si>
    <t>243;16896;1</t>
  </si>
  <si>
    <t>243;58368;1</t>
  </si>
  <si>
    <t>Array no</t>
  </si>
  <si>
    <t>LUX100 between</t>
  </si>
  <si>
    <t>min</t>
  </si>
  <si>
    <t>max</t>
  </si>
  <si>
    <t>Faktor</t>
  </si>
  <si>
    <t>Items</t>
  </si>
  <si>
    <t>Compare
Value</t>
  </si>
  <si>
    <t>Growth
Faktor</t>
  </si>
  <si>
    <t>const uint8_t lookupTbl6[] = PROGMEM { 37, 55, 83,  };</t>
  </si>
  <si>
    <t>OPT3001 LUX calculation</t>
  </si>
  <si>
    <t>RESULT 
(0xFFF)</t>
  </si>
  <si>
    <t>Lookup
Table</t>
  </si>
  <si>
    <t>LUX
average</t>
  </si>
  <si>
    <t>Growth
factor</t>
  </si>
  <si>
    <t>LUX100</t>
  </si>
  <si>
    <t>LUX100
max</t>
  </si>
  <si>
    <t>189;47504;1</t>
  </si>
  <si>
    <t>189;50976;1</t>
  </si>
  <si>
    <t>188;48416;1</t>
  </si>
  <si>
    <t>188;47936;1</t>
  </si>
  <si>
    <t>186;44928;1</t>
  </si>
  <si>
    <t>184;39120;1</t>
  </si>
  <si>
    <t>182;34144;1</t>
  </si>
  <si>
    <t>180;31088;1</t>
  </si>
  <si>
    <t>176;26880;1</t>
  </si>
  <si>
    <t>173;23368;1</t>
  </si>
  <si>
    <t>171;19288;1</t>
  </si>
  <si>
    <t>166;15644;1</t>
  </si>
  <si>
    <t>163;13012;1</t>
  </si>
  <si>
    <t>161;11432;1</t>
  </si>
  <si>
    <t>159;10176;1</t>
  </si>
  <si>
    <t>154;8240;1</t>
  </si>
  <si>
    <t>149;6124;1</t>
  </si>
  <si>
    <t>146;4638;1</t>
  </si>
  <si>
    <t>139;3647;1</t>
  </si>
  <si>
    <t>132;2338;1</t>
  </si>
  <si>
    <t>122;1334;1</t>
  </si>
  <si>
    <t>112;849;1</t>
  </si>
  <si>
    <t>100;379;1</t>
  </si>
  <si>
    <t>87;211;1</t>
  </si>
  <si>
    <t>65;85;1</t>
  </si>
  <si>
    <t>27;31;1</t>
  </si>
  <si>
    <t>13;16;1</t>
  </si>
  <si>
    <t>6;6;1</t>
  </si>
  <si>
    <t>1;13;1</t>
  </si>
  <si>
    <t>11;11;1</t>
  </si>
  <si>
    <t>11;21;1</t>
  </si>
  <si>
    <t>31;66;1</t>
  </si>
  <si>
    <t>76;177;1</t>
  </si>
  <si>
    <t>92;394;1</t>
  </si>
  <si>
    <t>103;712;1</t>
  </si>
  <si>
    <t>120;1377;1</t>
  </si>
  <si>
    <t>131;2838;1</t>
  </si>
  <si>
    <t>140;4662;1</t>
  </si>
  <si>
    <t>148;5724;1</t>
  </si>
  <si>
    <t>154;9216;1</t>
  </si>
  <si>
    <t>163;14644;1</t>
  </si>
  <si>
    <t>166;18232;1</t>
  </si>
  <si>
    <t>173;24520;1</t>
  </si>
  <si>
    <t>173;24728;1</t>
  </si>
  <si>
    <t>181;40496;1</t>
  </si>
  <si>
    <t>183;59984;1</t>
  </si>
  <si>
    <t>189;52480;1</t>
  </si>
  <si>
    <t>185;44864;1</t>
  </si>
  <si>
    <t>183;41504;1</t>
  </si>
  <si>
    <t>186;61008;1</t>
  </si>
  <si>
    <t>188;61328;1</t>
  </si>
  <si>
    <t>194;23008;1</t>
  </si>
  <si>
    <t>197;20608;1</t>
  </si>
  <si>
    <t>197;34112;1</t>
  </si>
  <si>
    <t>243;56064;1</t>
  </si>
  <si>
    <t>244;20736;1</t>
  </si>
  <si>
    <t>243;58880;1</t>
  </si>
  <si>
    <t>243;36096;1</t>
  </si>
  <si>
    <t>243;13824;1</t>
  </si>
  <si>
    <t>243;52992;1</t>
  </si>
  <si>
    <t>221;31488;1</t>
  </si>
  <si>
    <t>232;48512;1</t>
  </si>
  <si>
    <t>234;59392;1</t>
  </si>
  <si>
    <t>227;38016;1</t>
  </si>
  <si>
    <t>230;50304;1</t>
  </si>
  <si>
    <t>232;36352;1</t>
  </si>
  <si>
    <t>227;59648;1</t>
  </si>
  <si>
    <t>224;16384;1</t>
  </si>
  <si>
    <t>224;48640;1</t>
  </si>
  <si>
    <t>223;12800;1</t>
  </si>
  <si>
    <t>219;41216;1</t>
  </si>
  <si>
    <t>228;30720;1</t>
  </si>
  <si>
    <t>220;16256;1</t>
  </si>
  <si>
    <t>225;40832;1</t>
  </si>
  <si>
    <t>227;43264;1</t>
  </si>
  <si>
    <t>214;22976;1</t>
  </si>
  <si>
    <t>218;14208;1</t>
  </si>
  <si>
    <t>216;2432;1</t>
  </si>
  <si>
    <t>216;55616;1</t>
  </si>
  <si>
    <t>217;4608;1</t>
  </si>
  <si>
    <t>215;39744;1</t>
  </si>
  <si>
    <t>215;61184;1</t>
  </si>
  <si>
    <t>221;14720;1</t>
  </si>
  <si>
    <t>227;30976;1</t>
  </si>
  <si>
    <t>234;37888;1</t>
  </si>
  <si>
    <t>234;8960;1</t>
  </si>
  <si>
    <t>234;42240;1</t>
  </si>
  <si>
    <t>234;17152;1</t>
  </si>
  <si>
    <t>232;6400;1</t>
  </si>
  <si>
    <t>229;7680;1</t>
  </si>
  <si>
    <t>227;9472;1</t>
  </si>
  <si>
    <t>225;20096;1</t>
  </si>
  <si>
    <t>226;1792;1</t>
  </si>
  <si>
    <t>229;43520;1</t>
  </si>
  <si>
    <t>231;51456;1</t>
  </si>
  <si>
    <t>237;32768;1</t>
  </si>
  <si>
    <t>237;1792;1</t>
  </si>
  <si>
    <t>236;2560;1</t>
  </si>
  <si>
    <t>239;15872;1</t>
  </si>
  <si>
    <t>231;19456;1</t>
  </si>
  <si>
    <t>220;50432;1</t>
  </si>
  <si>
    <t>219;26496;1</t>
  </si>
  <si>
    <t>216;13952;1</t>
  </si>
  <si>
    <t>219;3712;1</t>
  </si>
  <si>
    <t>219;51840;1</t>
  </si>
  <si>
    <t>225;41088;1</t>
  </si>
  <si>
    <t>226;15360;1</t>
  </si>
  <si>
    <t>224;32256;1</t>
  </si>
  <si>
    <t>222;42240;1</t>
  </si>
  <si>
    <t>217;25216;1</t>
  </si>
  <si>
    <t>214;40128;1</t>
  </si>
  <si>
    <t>214;46720;1</t>
  </si>
  <si>
    <t>214;60608;1</t>
  </si>
  <si>
    <t>206;46336;1</t>
  </si>
  <si>
    <t>207;4864;1</t>
  </si>
  <si>
    <t>215;3456;1</t>
  </si>
  <si>
    <t>211;43520;1</t>
  </si>
  <si>
    <t>209;9600;1</t>
  </si>
  <si>
    <t>220;53760;1</t>
  </si>
  <si>
    <t>215;58944;1</t>
  </si>
  <si>
    <t>208;48064;1</t>
  </si>
  <si>
    <t>208;38976;1</t>
  </si>
  <si>
    <t>209;39680;1</t>
  </si>
  <si>
    <t>209;38848;1</t>
  </si>
  <si>
    <t>210;49536;1</t>
  </si>
  <si>
    <t>211;15808;1</t>
  </si>
  <si>
    <t>209;44800;1</t>
  </si>
  <si>
    <t>219;49920;1</t>
  </si>
  <si>
    <t>213;7168;1</t>
  </si>
  <si>
    <t>213;51520;1</t>
  </si>
  <si>
    <t>212;29248;1</t>
  </si>
  <si>
    <t>209;54528;1</t>
  </si>
  <si>
    <t>209;26304;1</t>
  </si>
  <si>
    <t>200;47712;1</t>
  </si>
  <si>
    <t>197;48352;1</t>
  </si>
  <si>
    <t>201;41568;1</t>
  </si>
  <si>
    <t>196;44480;1</t>
  </si>
  <si>
    <t>195;19232;1</t>
  </si>
  <si>
    <t>195;10304;1</t>
  </si>
  <si>
    <t>191;57264;1</t>
  </si>
  <si>
    <t>196;14784;1</t>
  </si>
  <si>
    <t>192;64128;1</t>
  </si>
  <si>
    <t>196;11936;1</t>
  </si>
  <si>
    <t>189;53904;1</t>
  </si>
  <si>
    <t>189;60352;0</t>
  </si>
  <si>
    <t>189;59904;0</t>
  </si>
  <si>
    <t>171;59904;1</t>
  </si>
  <si>
    <t>167;15476;1</t>
  </si>
  <si>
    <t>164;12940;1</t>
  </si>
  <si>
    <t>160;10284;1</t>
  </si>
  <si>
    <t>157;8532;1</t>
  </si>
  <si>
    <t>150;6038;1</t>
  </si>
  <si>
    <t>143;4025;1</t>
  </si>
  <si>
    <t>135;2708;1</t>
  </si>
  <si>
    <t>125;1457;1</t>
  </si>
  <si>
    <t>112;687;1</t>
  </si>
  <si>
    <t>97;279;1</t>
  </si>
  <si>
    <t>80;107;1</t>
  </si>
  <si>
    <t>52;58;1</t>
  </si>
  <si>
    <t>26;30;1</t>
  </si>
  <si>
    <t>11;13;1</t>
  </si>
  <si>
    <t>6;5;1</t>
  </si>
  <si>
    <t>3;2;1</t>
  </si>
  <si>
    <t>5;5;1</t>
  </si>
  <si>
    <t>5;13;1</t>
  </si>
  <si>
    <t>15;19;1</t>
  </si>
  <si>
    <t>32;48;1</t>
  </si>
  <si>
    <t>77;148;1</t>
  </si>
  <si>
    <t>94;348;1</t>
  </si>
  <si>
    <t>109;638;1</t>
  </si>
  <si>
    <t>124;1544;1</t>
  </si>
  <si>
    <t>134;2209;1</t>
  </si>
  <si>
    <t>139;3178;1</t>
  </si>
  <si>
    <t>149;5718;1</t>
  </si>
  <si>
    <t>149;6432;1</t>
  </si>
  <si>
    <t>153;6968;1</t>
  </si>
  <si>
    <t>160;27648;1</t>
  </si>
  <si>
    <t>172;21800;1</t>
  </si>
  <si>
    <t>175;18792;1</t>
  </si>
  <si>
    <t>170;16696;1</t>
  </si>
  <si>
    <t>179;30288;1</t>
  </si>
  <si>
    <t>177;37696;1</t>
  </si>
  <si>
    <t>184;53216;1</t>
  </si>
  <si>
    <t>187;49280;1</t>
  </si>
  <si>
    <t>191;60880;1</t>
  </si>
  <si>
    <t>189;55328;1</t>
  </si>
  <si>
    <t>195;14304;1</t>
  </si>
  <si>
    <t>195;44992;1</t>
  </si>
  <si>
    <t>200;26400;1</t>
  </si>
  <si>
    <t>199;37856;1</t>
  </si>
  <si>
    <t>199;60512;1</t>
  </si>
  <si>
    <t>202;47712;1</t>
  </si>
  <si>
    <t>202;65088;1</t>
  </si>
  <si>
    <t>199;52000;1</t>
  </si>
  <si>
    <t>204;18432;1</t>
  </si>
  <si>
    <t>200;46208;1</t>
  </si>
  <si>
    <t>199;49504;1</t>
  </si>
  <si>
    <t>201;59648;1</t>
  </si>
  <si>
    <t>212;19072;1</t>
  </si>
  <si>
    <t>205;10880;1</t>
  </si>
  <si>
    <t>211;20736;1</t>
  </si>
  <si>
    <t>212;42624;1</t>
  </si>
  <si>
    <t>216;58560;1</t>
  </si>
  <si>
    <t>216;53248;1</t>
  </si>
  <si>
    <t>215;11520;1</t>
  </si>
  <si>
    <t>212;41408;1</t>
  </si>
  <si>
    <t>219;2432;1</t>
  </si>
  <si>
    <t>219;9088;1</t>
  </si>
  <si>
    <t>216;2560;1</t>
  </si>
  <si>
    <t>216;49536;1</t>
  </si>
  <si>
    <t>221;8064;1</t>
  </si>
  <si>
    <t>219;22144;1</t>
  </si>
  <si>
    <t>220;56320;1</t>
  </si>
  <si>
    <t>220;60416;1</t>
  </si>
  <si>
    <t>225;23552;1</t>
  </si>
  <si>
    <t>223;56960;1</t>
  </si>
  <si>
    <t>223;38400;1</t>
  </si>
  <si>
    <t>219;59008;1</t>
  </si>
  <si>
    <t>226;6400;1</t>
  </si>
  <si>
    <t>222;20992;1</t>
  </si>
  <si>
    <t>222;45568;1</t>
  </si>
  <si>
    <t>222;18432;1</t>
  </si>
  <si>
    <t>224;18944;1</t>
  </si>
  <si>
    <t>226;62848;1</t>
  </si>
  <si>
    <t>225;35840;1</t>
  </si>
  <si>
    <t>225;15360;1</t>
  </si>
  <si>
    <t>225;37760;1</t>
  </si>
  <si>
    <t>223;31360;1</t>
  </si>
  <si>
    <t>222;36096;1</t>
  </si>
  <si>
    <t>223;20864;1</t>
  </si>
  <si>
    <t>221;64256;1</t>
  </si>
  <si>
    <t>219;50944;1</t>
  </si>
  <si>
    <t>215;44608;1</t>
  </si>
  <si>
    <t>215;42816;1</t>
  </si>
  <si>
    <t>const uint8_t lkpTbl1[] PROGMEM = { 0, 1, 2, 3, 4, 5, 6, 7, 8, 9, 10, 11, 12, 13, 14, 15, 16, 17, 18, 19, 20, 21, 22, 23, 24, 25, 26, 27, 28, 29, 30, 31, 32, 33, 34, 35, 36, 37, 38, 39, 40, 41, 42, 43, 44, 45, 46, 47, 48, 49, 50, 51, 52, 53, 54, 55, 56, 57, 58, 59, 60, 61, 62, 63, 65, 67, 69, 71, 73, 75, 77, 79, 81, 83, 86, 89, 92, 95, 99, 103, 107, 112, 117, 123, 129, 136, 143, 151, 159, 168, 177, 187, 197, 207, 222, 237, 252,  };</t>
  </si>
  <si>
    <t>const uint8_t lkpTbl5[] PROGMEM = { 28, 34, 42, 52, 64, 80, 100, 130, 180, 250,  };</t>
  </si>
  <si>
    <t>const uint8_t lkpTbl6[] PROGMEM = { 37, 55, 83,  };</t>
  </si>
  <si>
    <t>const uint8_t lkpTbl2[] PROGMEM = { 27, 29, 31, 33, 36, 38, 41, 44, 47, 51, 54, 58, 62, 66, 71, 75, 80, 85, 90, 96, 101, 107, 113, 119, 126, 132, 139, 146, 153, 161, 169, 177, 185, 195, 206, 218, 231, 245,  };</t>
  </si>
  <si>
    <t>const uint8_t lkpTbl3[] PROGMEM = { 26, 28, 29, 31, 33, 35, 37, 40, 42, 44, 47, 50, 53, 55, 58, 62, 65, 68, 71, 75, 79, 82, 86, 90, 94, 98, 102, 107, 111, 115, 120, 125, 130, 134, 139, 145, 150, 156, 161, 167, 173, 180, 186, 193, 199, 206, 213, 221, 228, 235, 242, 249,  };</t>
  </si>
  <si>
    <t>const uint8_t lkpTbl4[] PROGMEM = { 26, 26, 27, 28, 29, 29, 30, 31, 32, 32, 33, 34, 35, 36, 36, 37, 38, 39, 39, 40, 41, 42, 43, 43, 44, 45, 46, 47, 47, 48, 49, 50, 51, 51, 52, 53, 54, 55, 55, 56, 57, 58, 59, 60, 61, 63, 66, 70, 76, 85, 97, 112, 132, 157, 187, 227,  };</t>
  </si>
  <si>
    <t>const LookupMaster luM[6] = { { 97, lkpTbl1}, { 38, lkpTbl2}, { 52, lkpTbl3}, { 56, lkpTbl4}, { 10, lkpTbl5}, { 3, lkpTbl6},  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</si>
</sst>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horizontal="right"/>
    </xf>
    <xf numFmtId="20" fontId="0" fillId="0" borderId="0" xfId="0" applyNumberFormat="1"/>
    <xf numFmtId="0" fontId="0" fillId="0" borderId="0" xfId="0" applyFill="1"/>
    <xf numFmtId="0" fontId="0" fillId="33" borderId="0" xfId="0" applyFill="1"/>
    <xf numFmtId="3" fontId="0" fillId="0" borderId="0" xfId="0" applyNumberFormat="1"/>
    <xf numFmtId="4" fontId="0" fillId="0" borderId="0" xfId="0" applyNumberFormat="1"/>
    <xf numFmtId="0" fontId="0" fillId="34" borderId="0" xfId="0" applyFill="1"/>
    <xf numFmtId="0" fontId="0" fillId="35" borderId="0" xfId="0" applyFill="1"/>
    <xf numFmtId="0" fontId="0" fillId="36" borderId="0" xfId="0" applyFill="1"/>
    <xf numFmtId="2" fontId="0" fillId="0" borderId="0" xfId="0" applyNumberFormat="1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1" fontId="0" fillId="0" borderId="0" xfId="0" applyNumberFormat="1" applyAlignment="1">
      <alignment horizontal="center"/>
    </xf>
    <xf numFmtId="1" fontId="0" fillId="0" borderId="0" xfId="0" quotePrefix="1" applyNumberFormat="1" applyAlignment="1">
      <alignment horizont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Fill="1" applyAlignment="1">
      <alignment horizontal="right" vertical="center"/>
    </xf>
    <xf numFmtId="2" fontId="0" fillId="0" borderId="0" xfId="0" applyNumberFormat="1" applyFill="1" applyAlignment="1">
      <alignment horizontal="right" vertical="center"/>
    </xf>
    <xf numFmtId="165" fontId="0" fillId="0" borderId="0" xfId="0" applyNumberFormat="1" applyFill="1"/>
    <xf numFmtId="1" fontId="0" fillId="0" borderId="0" xfId="0" applyNumberFormat="1" applyFill="1"/>
    <xf numFmtId="0" fontId="18" fillId="0" borderId="0" xfId="0" applyFont="1"/>
    <xf numFmtId="0" fontId="0" fillId="0" borderId="0" xfId="0" applyAlignment="1">
      <alignment horizontal="right" wrapText="1"/>
    </xf>
    <xf numFmtId="2" fontId="0" fillId="0" borderId="0" xfId="0" applyNumberFormat="1" applyFill="1" applyAlignment="1">
      <alignment horizontal="right"/>
    </xf>
    <xf numFmtId="2" fontId="0" fillId="35" borderId="0" xfId="0" applyNumberFormat="1" applyFill="1" applyAlignment="1">
      <alignment horizontal="right"/>
    </xf>
    <xf numFmtId="2" fontId="0" fillId="34" borderId="0" xfId="0" applyNumberFormat="1" applyFill="1" applyAlignment="1">
      <alignment horizontal="right"/>
    </xf>
    <xf numFmtId="2" fontId="0" fillId="36" borderId="0" xfId="0" applyNumberFormat="1" applyFill="1" applyAlignment="1">
      <alignment horizontal="right"/>
    </xf>
    <xf numFmtId="2" fontId="0" fillId="0" borderId="0" xfId="0" applyNumberFormat="1" applyAlignment="1">
      <alignment horizontal="right" vertical="center" wrapText="1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MDIR vs LUX</a:t>
            </a:r>
          </a:p>
        </c:rich>
      </c:tx>
      <c:layout>
        <c:manualLayout>
          <c:xMode val="edge"/>
          <c:yMode val="edge"/>
          <c:x val="0.37320822397200348"/>
          <c:y val="0.152777777777777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4286564533244855E-2"/>
          <c:y val="1.749425885683047E-2"/>
          <c:w val="0.89019685039370078"/>
          <c:h val="0.79541602502639197"/>
        </c:manualLayout>
      </c:layout>
      <c:lineChart>
        <c:grouping val="standard"/>
        <c:varyColors val="0"/>
        <c:ser>
          <c:idx val="0"/>
          <c:order val="0"/>
          <c:tx>
            <c:v>MDIR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Overview!$B$4:$B$259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7A-4E76-B434-DB4098049B8E}"/>
            </c:ext>
          </c:extLst>
        </c:ser>
        <c:ser>
          <c:idx val="1"/>
          <c:order val="1"/>
          <c:tx>
            <c:v>LUX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Overview!$C$4:$C$259</c:f>
              <c:numCache>
                <c:formatCode>0.00</c:formatCode>
                <c:ptCount val="256"/>
                <c:pt idx="0">
                  <c:v>4.8611111111111112E-3</c:v>
                </c:pt>
                <c:pt idx="1">
                  <c:v>8.4536082474226792E-3</c:v>
                </c:pt>
                <c:pt idx="2">
                  <c:v>1.8571428571428572E-2</c:v>
                </c:pt>
                <c:pt idx="3">
                  <c:v>1.5555555555555557E-2</c:v>
                </c:pt>
                <c:pt idx="4">
                  <c:v>2.4210526315789471E-2</c:v>
                </c:pt>
                <c:pt idx="5">
                  <c:v>0.28589743589743577</c:v>
                </c:pt>
                <c:pt idx="6">
                  <c:v>4.7500000000000001E-2</c:v>
                </c:pt>
                <c:pt idx="7">
                  <c:v>6.5000000000000016E-2</c:v>
                </c:pt>
                <c:pt idx="8">
                  <c:v>5.1428571428571428E-2</c:v>
                </c:pt>
                <c:pt idx="9">
                  <c:v>7.7499999999999999E-2</c:v>
                </c:pt>
                <c:pt idx="10">
                  <c:v>6.25E-2</c:v>
                </c:pt>
                <c:pt idx="11">
                  <c:v>0.1125</c:v>
                </c:pt>
                <c:pt idx="12">
                  <c:v>8.9000000000000037E-2</c:v>
                </c:pt>
                <c:pt idx="13">
                  <c:v>9.5000000000000001E-2</c:v>
                </c:pt>
                <c:pt idx="14">
                  <c:v>0.11000000000000001</c:v>
                </c:pt>
                <c:pt idx="15">
                  <c:v>0.19</c:v>
                </c:pt>
                <c:pt idx="16">
                  <c:v>0.16</c:v>
                </c:pt>
                <c:pt idx="17">
                  <c:v>0.1</c:v>
                </c:pt>
                <c:pt idx="18">
                  <c:v>0.18333333333333332</c:v>
                </c:pt>
                <c:pt idx="19">
                  <c:v>9.2499999999999999E-2</c:v>
                </c:pt>
                <c:pt idx="20">
                  <c:v>0.1</c:v>
                </c:pt>
                <c:pt idx="21">
                  <c:v>0</c:v>
                </c:pt>
                <c:pt idx="22">
                  <c:v>0.15000000000000002</c:v>
                </c:pt>
                <c:pt idx="23">
                  <c:v>0</c:v>
                </c:pt>
                <c:pt idx="24">
                  <c:v>0.12</c:v>
                </c:pt>
                <c:pt idx="25">
                  <c:v>0.14000000000000001</c:v>
                </c:pt>
                <c:pt idx="26">
                  <c:v>0.19500000000000001</c:v>
                </c:pt>
                <c:pt idx="27">
                  <c:v>0.31</c:v>
                </c:pt>
                <c:pt idx="28">
                  <c:v>0.32</c:v>
                </c:pt>
                <c:pt idx="29">
                  <c:v>0.34</c:v>
                </c:pt>
                <c:pt idx="30">
                  <c:v>0</c:v>
                </c:pt>
                <c:pt idx="31">
                  <c:v>0.34499999999999997</c:v>
                </c:pt>
                <c:pt idx="32">
                  <c:v>0</c:v>
                </c:pt>
                <c:pt idx="33">
                  <c:v>0.39</c:v>
                </c:pt>
                <c:pt idx="34">
                  <c:v>0</c:v>
                </c:pt>
                <c:pt idx="35">
                  <c:v>0.18999999999999997</c:v>
                </c:pt>
                <c:pt idx="36">
                  <c:v>0.25230769230769229</c:v>
                </c:pt>
                <c:pt idx="37">
                  <c:v>0.20666666666666667</c:v>
                </c:pt>
                <c:pt idx="38">
                  <c:v>0.51333333333333331</c:v>
                </c:pt>
                <c:pt idx="39">
                  <c:v>0.49</c:v>
                </c:pt>
                <c:pt idx="40">
                  <c:v>0</c:v>
                </c:pt>
                <c:pt idx="41">
                  <c:v>0</c:v>
                </c:pt>
                <c:pt idx="42">
                  <c:v>0.5</c:v>
                </c:pt>
                <c:pt idx="43">
                  <c:v>0.52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0.26</c:v>
                </c:pt>
                <c:pt idx="49">
                  <c:v>0.42499999999999999</c:v>
                </c:pt>
                <c:pt idx="50">
                  <c:v>0.52</c:v>
                </c:pt>
                <c:pt idx="51">
                  <c:v>0.27</c:v>
                </c:pt>
                <c:pt idx="52">
                  <c:v>0.33399999999999996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0.7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0.57000000000000006</c:v>
                </c:pt>
                <c:pt idx="64">
                  <c:v>0.36</c:v>
                </c:pt>
                <c:pt idx="65">
                  <c:v>0.67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0.4</c:v>
                </c:pt>
                <c:pt idx="72">
                  <c:v>0.39200000000000002</c:v>
                </c:pt>
                <c:pt idx="73">
                  <c:v>0.59599999999999997</c:v>
                </c:pt>
                <c:pt idx="74">
                  <c:v>0</c:v>
                </c:pt>
                <c:pt idx="75">
                  <c:v>0.91</c:v>
                </c:pt>
                <c:pt idx="76">
                  <c:v>0.84285714285714264</c:v>
                </c:pt>
                <c:pt idx="77">
                  <c:v>0.98</c:v>
                </c:pt>
                <c:pt idx="78">
                  <c:v>0.50749999999999995</c:v>
                </c:pt>
                <c:pt idx="79">
                  <c:v>0.84499999999999997</c:v>
                </c:pt>
                <c:pt idx="80">
                  <c:v>0.60133333333333339</c:v>
                </c:pt>
                <c:pt idx="81">
                  <c:v>1.24</c:v>
                </c:pt>
                <c:pt idx="82">
                  <c:v>1.2949999999999999</c:v>
                </c:pt>
                <c:pt idx="83">
                  <c:v>0.63444444444444459</c:v>
                </c:pt>
                <c:pt idx="84">
                  <c:v>0.70400000000000007</c:v>
                </c:pt>
                <c:pt idx="85">
                  <c:v>1.5125000000000002</c:v>
                </c:pt>
                <c:pt idx="86">
                  <c:v>0.82611111111111102</c:v>
                </c:pt>
                <c:pt idx="87">
                  <c:v>1.88</c:v>
                </c:pt>
                <c:pt idx="88">
                  <c:v>0.9107142857142857</c:v>
                </c:pt>
                <c:pt idx="89">
                  <c:v>0.91</c:v>
                </c:pt>
                <c:pt idx="90">
                  <c:v>1.578888888888889</c:v>
                </c:pt>
                <c:pt idx="91">
                  <c:v>1.0580000000000003</c:v>
                </c:pt>
                <c:pt idx="92">
                  <c:v>2.9866666666666664</c:v>
                </c:pt>
                <c:pt idx="93">
                  <c:v>1.1916666666666664</c:v>
                </c:pt>
                <c:pt idx="94">
                  <c:v>2.8388888888888886</c:v>
                </c:pt>
                <c:pt idx="95">
                  <c:v>2.97</c:v>
                </c:pt>
                <c:pt idx="96">
                  <c:v>2.6283333333333334</c:v>
                </c:pt>
                <c:pt idx="97">
                  <c:v>2.6150000000000002</c:v>
                </c:pt>
                <c:pt idx="98">
                  <c:v>3.42</c:v>
                </c:pt>
                <c:pt idx="99">
                  <c:v>2.1500000000000004</c:v>
                </c:pt>
                <c:pt idx="100">
                  <c:v>3.7149999999999999</c:v>
                </c:pt>
                <c:pt idx="101">
                  <c:v>4.0233333333333334</c:v>
                </c:pt>
                <c:pt idx="102">
                  <c:v>1.99</c:v>
                </c:pt>
                <c:pt idx="103">
                  <c:v>4.66</c:v>
                </c:pt>
                <c:pt idx="104">
                  <c:v>0</c:v>
                </c:pt>
                <c:pt idx="105">
                  <c:v>4.76</c:v>
                </c:pt>
                <c:pt idx="106">
                  <c:v>0</c:v>
                </c:pt>
                <c:pt idx="107">
                  <c:v>0</c:v>
                </c:pt>
                <c:pt idx="108">
                  <c:v>6.57</c:v>
                </c:pt>
                <c:pt idx="109">
                  <c:v>7.3040000000000003</c:v>
                </c:pt>
                <c:pt idx="110">
                  <c:v>7.47</c:v>
                </c:pt>
                <c:pt idx="111">
                  <c:v>4.99</c:v>
                </c:pt>
                <c:pt idx="112">
                  <c:v>7.68</c:v>
                </c:pt>
                <c:pt idx="113">
                  <c:v>8.02</c:v>
                </c:pt>
                <c:pt idx="114">
                  <c:v>8.3666666666666671</c:v>
                </c:pt>
                <c:pt idx="115">
                  <c:v>4.2850000000000001</c:v>
                </c:pt>
                <c:pt idx="116">
                  <c:v>0</c:v>
                </c:pt>
                <c:pt idx="117">
                  <c:v>4.8100000000000005</c:v>
                </c:pt>
                <c:pt idx="118">
                  <c:v>5.12</c:v>
                </c:pt>
                <c:pt idx="119">
                  <c:v>0</c:v>
                </c:pt>
                <c:pt idx="120">
                  <c:v>9.94</c:v>
                </c:pt>
                <c:pt idx="121">
                  <c:v>16.79</c:v>
                </c:pt>
                <c:pt idx="122">
                  <c:v>9.7439999999999998</c:v>
                </c:pt>
                <c:pt idx="123">
                  <c:v>10.129999999999999</c:v>
                </c:pt>
                <c:pt idx="124">
                  <c:v>13.159999999999998</c:v>
                </c:pt>
                <c:pt idx="125">
                  <c:v>12.793333333333331</c:v>
                </c:pt>
                <c:pt idx="126">
                  <c:v>12.783333333333333</c:v>
                </c:pt>
                <c:pt idx="127">
                  <c:v>12.272500000000001</c:v>
                </c:pt>
                <c:pt idx="128">
                  <c:v>20.102499999999999</c:v>
                </c:pt>
                <c:pt idx="129">
                  <c:v>20.76</c:v>
                </c:pt>
                <c:pt idx="130">
                  <c:v>58.573999999999991</c:v>
                </c:pt>
                <c:pt idx="131">
                  <c:v>22.314</c:v>
                </c:pt>
                <c:pt idx="132">
                  <c:v>18.690000000000001</c:v>
                </c:pt>
                <c:pt idx="133">
                  <c:v>0</c:v>
                </c:pt>
                <c:pt idx="134">
                  <c:v>30.938333333333336</c:v>
                </c:pt>
                <c:pt idx="135">
                  <c:v>28.279999999999998</c:v>
                </c:pt>
                <c:pt idx="136">
                  <c:v>24.38</c:v>
                </c:pt>
                <c:pt idx="137">
                  <c:v>23.846666666666668</c:v>
                </c:pt>
                <c:pt idx="138">
                  <c:v>29.2925</c:v>
                </c:pt>
                <c:pt idx="139">
                  <c:v>32.021428571428565</c:v>
                </c:pt>
                <c:pt idx="140">
                  <c:v>44.640000000000008</c:v>
                </c:pt>
                <c:pt idx="141">
                  <c:v>35.633333333333333</c:v>
                </c:pt>
                <c:pt idx="142">
                  <c:v>35.792500000000004</c:v>
                </c:pt>
                <c:pt idx="143">
                  <c:v>51.061428571428571</c:v>
                </c:pt>
                <c:pt idx="144">
                  <c:v>30.96</c:v>
                </c:pt>
                <c:pt idx="145">
                  <c:v>35.313333333333333</c:v>
                </c:pt>
                <c:pt idx="146">
                  <c:v>35.937142857142859</c:v>
                </c:pt>
                <c:pt idx="147">
                  <c:v>42.932499999999997</c:v>
                </c:pt>
                <c:pt idx="148">
                  <c:v>43.751428571428569</c:v>
                </c:pt>
                <c:pt idx="149">
                  <c:v>62.613333333333337</c:v>
                </c:pt>
                <c:pt idx="150">
                  <c:v>43.427777777777777</c:v>
                </c:pt>
                <c:pt idx="151">
                  <c:v>46.225000000000009</c:v>
                </c:pt>
                <c:pt idx="152">
                  <c:v>55.722857142857144</c:v>
                </c:pt>
                <c:pt idx="153">
                  <c:v>61.07</c:v>
                </c:pt>
                <c:pt idx="154">
                  <c:v>72.474000000000004</c:v>
                </c:pt>
                <c:pt idx="155">
                  <c:v>74.17</c:v>
                </c:pt>
                <c:pt idx="156">
                  <c:v>85.289999999999992</c:v>
                </c:pt>
                <c:pt idx="157">
                  <c:v>88.344999999999999</c:v>
                </c:pt>
                <c:pt idx="158">
                  <c:v>67.617999999999995</c:v>
                </c:pt>
                <c:pt idx="159">
                  <c:v>91.296000000000006</c:v>
                </c:pt>
                <c:pt idx="160">
                  <c:v>111.82000000000001</c:v>
                </c:pt>
                <c:pt idx="161">
                  <c:v>96.467272727272714</c:v>
                </c:pt>
                <c:pt idx="162">
                  <c:v>139.42200000000003</c:v>
                </c:pt>
                <c:pt idx="163">
                  <c:v>134.33375000000001</c:v>
                </c:pt>
                <c:pt idx="164">
                  <c:v>98.086666666666659</c:v>
                </c:pt>
                <c:pt idx="165">
                  <c:v>167.28800000000001</c:v>
                </c:pt>
                <c:pt idx="166">
                  <c:v>146.94714285714284</c:v>
                </c:pt>
                <c:pt idx="167">
                  <c:v>155.54500000000002</c:v>
                </c:pt>
                <c:pt idx="168">
                  <c:v>155.97333333333333</c:v>
                </c:pt>
                <c:pt idx="169">
                  <c:v>193.68363636363637</c:v>
                </c:pt>
                <c:pt idx="170">
                  <c:v>157.05666666666667</c:v>
                </c:pt>
                <c:pt idx="171">
                  <c:v>208.96923076923076</c:v>
                </c:pt>
                <c:pt idx="172">
                  <c:v>150.48333333333335</c:v>
                </c:pt>
                <c:pt idx="173">
                  <c:v>226.29684210526312</c:v>
                </c:pt>
                <c:pt idx="174">
                  <c:v>164.43333333333331</c:v>
                </c:pt>
                <c:pt idx="175">
                  <c:v>246.67199999999997</c:v>
                </c:pt>
                <c:pt idx="176">
                  <c:v>270.85454545454547</c:v>
                </c:pt>
                <c:pt idx="177">
                  <c:v>191.70666666666668</c:v>
                </c:pt>
                <c:pt idx="178">
                  <c:v>214.36923076923074</c:v>
                </c:pt>
                <c:pt idx="179">
                  <c:v>248.08727272727276</c:v>
                </c:pt>
                <c:pt idx="180">
                  <c:v>227.53500000000003</c:v>
                </c:pt>
                <c:pt idx="181">
                  <c:v>271.05714285714288</c:v>
                </c:pt>
                <c:pt idx="182">
                  <c:v>270.11692307692306</c:v>
                </c:pt>
                <c:pt idx="183">
                  <c:v>338.69411764705882</c:v>
                </c:pt>
                <c:pt idx="184">
                  <c:v>295.34909090909082</c:v>
                </c:pt>
                <c:pt idx="185">
                  <c:v>346.32000000000005</c:v>
                </c:pt>
                <c:pt idx="186">
                  <c:v>380.6</c:v>
                </c:pt>
                <c:pt idx="187">
                  <c:v>300.90285714285716</c:v>
                </c:pt>
                <c:pt idx="188">
                  <c:v>423.02</c:v>
                </c:pt>
                <c:pt idx="189">
                  <c:v>488.68571428571431</c:v>
                </c:pt>
                <c:pt idx="190">
                  <c:v>160.97599999999997</c:v>
                </c:pt>
                <c:pt idx="191">
                  <c:v>391.38352941176475</c:v>
                </c:pt>
                <c:pt idx="192">
                  <c:v>432.79200000000003</c:v>
                </c:pt>
                <c:pt idx="193">
                  <c:v>345.66999999999996</c:v>
                </c:pt>
                <c:pt idx="194">
                  <c:v>290.56</c:v>
                </c:pt>
                <c:pt idx="195">
                  <c:v>263.64</c:v>
                </c:pt>
                <c:pt idx="196">
                  <c:v>172.01066666666668</c:v>
                </c:pt>
                <c:pt idx="197">
                  <c:v>333.85599999999999</c:v>
                </c:pt>
                <c:pt idx="198">
                  <c:v>345.6094117647059</c:v>
                </c:pt>
                <c:pt idx="199">
                  <c:v>412.77272727272737</c:v>
                </c:pt>
                <c:pt idx="200">
                  <c:v>433.78666666666663</c:v>
                </c:pt>
                <c:pt idx="201">
                  <c:v>349.40000000000003</c:v>
                </c:pt>
                <c:pt idx="202">
                  <c:v>409.66588235294125</c:v>
                </c:pt>
                <c:pt idx="203">
                  <c:v>452.22400000000005</c:v>
                </c:pt>
                <c:pt idx="204">
                  <c:v>418.58909090909088</c:v>
                </c:pt>
                <c:pt idx="205">
                  <c:v>230.03076923076924</c:v>
                </c:pt>
                <c:pt idx="206">
                  <c:v>452.25</c:v>
                </c:pt>
                <c:pt idx="207">
                  <c:v>331.95555555555558</c:v>
                </c:pt>
                <c:pt idx="208">
                  <c:v>273.24000000000007</c:v>
                </c:pt>
                <c:pt idx="209">
                  <c:v>321.36</c:v>
                </c:pt>
                <c:pt idx="210">
                  <c:v>206.66181818181821</c:v>
                </c:pt>
                <c:pt idx="211">
                  <c:v>277.68888888888887</c:v>
                </c:pt>
                <c:pt idx="212">
                  <c:v>349.2</c:v>
                </c:pt>
                <c:pt idx="213">
                  <c:v>371.56000000000006</c:v>
                </c:pt>
                <c:pt idx="214">
                  <c:v>279.92888888888888</c:v>
                </c:pt>
                <c:pt idx="215">
                  <c:v>355.02545454545452</c:v>
                </c:pt>
                <c:pt idx="216">
                  <c:v>345.29882352941183</c:v>
                </c:pt>
                <c:pt idx="217">
                  <c:v>234.60571428571424</c:v>
                </c:pt>
                <c:pt idx="218">
                  <c:v>418.85538461538459</c:v>
                </c:pt>
                <c:pt idx="219">
                  <c:v>334.52799999999991</c:v>
                </c:pt>
                <c:pt idx="220">
                  <c:v>422.92363636363638</c:v>
                </c:pt>
                <c:pt idx="221">
                  <c:v>385.4628571428571</c:v>
                </c:pt>
                <c:pt idx="222">
                  <c:v>297.57439999999997</c:v>
                </c:pt>
                <c:pt idx="223">
                  <c:v>336.55172413793105</c:v>
                </c:pt>
                <c:pt idx="224">
                  <c:v>375.55200000000002</c:v>
                </c:pt>
                <c:pt idx="225">
                  <c:v>255.02476190476196</c:v>
                </c:pt>
                <c:pt idx="226">
                  <c:v>341.71259259259256</c:v>
                </c:pt>
                <c:pt idx="227">
                  <c:v>301.78461538461534</c:v>
                </c:pt>
                <c:pt idx="228">
                  <c:v>242.34666666666666</c:v>
                </c:pt>
                <c:pt idx="229">
                  <c:v>272.32</c:v>
                </c:pt>
                <c:pt idx="230">
                  <c:v>429.26545454545447</c:v>
                </c:pt>
                <c:pt idx="231">
                  <c:v>312.95999999999998</c:v>
                </c:pt>
                <c:pt idx="232">
                  <c:v>313.14823529411768</c:v>
                </c:pt>
                <c:pt idx="233">
                  <c:v>375.29599999999999</c:v>
                </c:pt>
                <c:pt idx="234">
                  <c:v>324.38857142857142</c:v>
                </c:pt>
                <c:pt idx="235">
                  <c:v>193.92000000000002</c:v>
                </c:pt>
                <c:pt idx="236">
                  <c:v>49.493333333333332</c:v>
                </c:pt>
                <c:pt idx="237">
                  <c:v>260.48</c:v>
                </c:pt>
                <c:pt idx="238">
                  <c:v>465.92</c:v>
                </c:pt>
                <c:pt idx="239">
                  <c:v>158.72</c:v>
                </c:pt>
                <c:pt idx="240">
                  <c:v>0</c:v>
                </c:pt>
                <c:pt idx="241">
                  <c:v>634.88</c:v>
                </c:pt>
                <c:pt idx="242">
                  <c:v>0</c:v>
                </c:pt>
                <c:pt idx="243">
                  <c:v>373.95692307692303</c:v>
                </c:pt>
                <c:pt idx="244">
                  <c:v>207.36</c:v>
                </c:pt>
                <c:pt idx="245">
                  <c:v>384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83865.600000000006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7A-4E76-B434-DB4098049B8E}"/>
            </c:ext>
          </c:extLst>
        </c:ser>
        <c:ser>
          <c:idx val="3"/>
          <c:order val="2"/>
          <c:tx>
            <c:v>LookupTbl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Overview!$F$4:$F$259</c:f>
              <c:numCache>
                <c:formatCode>General</c:formatCode>
                <c:ptCount val="25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0.65000000000000036</c:v>
                </c:pt>
                <c:pt idx="65">
                  <c:v>0.67000000000000037</c:v>
                </c:pt>
                <c:pt idx="66">
                  <c:v>0.69000000000000039</c:v>
                </c:pt>
                <c:pt idx="67">
                  <c:v>0.71000000000000041</c:v>
                </c:pt>
                <c:pt idx="68">
                  <c:v>0.73000000000000043</c:v>
                </c:pt>
                <c:pt idx="69">
                  <c:v>0.75000000000000044</c:v>
                </c:pt>
                <c:pt idx="70">
                  <c:v>0.77000000000000046</c:v>
                </c:pt>
                <c:pt idx="71">
                  <c:v>0.79000000000000048</c:v>
                </c:pt>
                <c:pt idx="72">
                  <c:v>0.8100000000000005</c:v>
                </c:pt>
                <c:pt idx="73">
                  <c:v>0.83000000000000052</c:v>
                </c:pt>
                <c:pt idx="74">
                  <c:v>0.86000000000000054</c:v>
                </c:pt>
                <c:pt idx="75">
                  <c:v>0.89000000000000057</c:v>
                </c:pt>
                <c:pt idx="76">
                  <c:v>0.9200000000000006</c:v>
                </c:pt>
                <c:pt idx="77">
                  <c:v>0.95000000000000062</c:v>
                </c:pt>
                <c:pt idx="78">
                  <c:v>0.99000000000000066</c:v>
                </c:pt>
                <c:pt idx="79">
                  <c:v>1.0300000000000007</c:v>
                </c:pt>
                <c:pt idx="80">
                  <c:v>1.0700000000000007</c:v>
                </c:pt>
                <c:pt idx="81">
                  <c:v>1.1200000000000008</c:v>
                </c:pt>
                <c:pt idx="82">
                  <c:v>1.1700000000000008</c:v>
                </c:pt>
                <c:pt idx="83">
                  <c:v>1.2300000000000009</c:v>
                </c:pt>
                <c:pt idx="84">
                  <c:v>1.2900000000000009</c:v>
                </c:pt>
                <c:pt idx="85">
                  <c:v>1.360000000000001</c:v>
                </c:pt>
                <c:pt idx="86">
                  <c:v>1.430000000000001</c:v>
                </c:pt>
                <c:pt idx="87">
                  <c:v>1.5100000000000011</c:v>
                </c:pt>
                <c:pt idx="88">
                  <c:v>1.5900000000000012</c:v>
                </c:pt>
                <c:pt idx="89">
                  <c:v>1.6800000000000013</c:v>
                </c:pt>
                <c:pt idx="90">
                  <c:v>1.7700000000000014</c:v>
                </c:pt>
                <c:pt idx="91">
                  <c:v>1.8700000000000014</c:v>
                </c:pt>
                <c:pt idx="92">
                  <c:v>1.9700000000000015</c:v>
                </c:pt>
                <c:pt idx="93">
                  <c:v>2.0700000000000016</c:v>
                </c:pt>
                <c:pt idx="94">
                  <c:v>2.2200000000000015</c:v>
                </c:pt>
                <c:pt idx="95">
                  <c:v>2.3700000000000014</c:v>
                </c:pt>
                <c:pt idx="96">
                  <c:v>2.5200000000000014</c:v>
                </c:pt>
                <c:pt idx="97">
                  <c:v>2.7200000000000015</c:v>
                </c:pt>
                <c:pt idx="98">
                  <c:v>2.9200000000000017</c:v>
                </c:pt>
                <c:pt idx="99">
                  <c:v>3.1200000000000019</c:v>
                </c:pt>
                <c:pt idx="100">
                  <c:v>3.3400000000000021</c:v>
                </c:pt>
                <c:pt idx="101">
                  <c:v>3.5800000000000018</c:v>
                </c:pt>
                <c:pt idx="102">
                  <c:v>3.8400000000000016</c:v>
                </c:pt>
                <c:pt idx="103">
                  <c:v>4.1200000000000019</c:v>
                </c:pt>
                <c:pt idx="104">
                  <c:v>4.4200000000000017</c:v>
                </c:pt>
                <c:pt idx="105">
                  <c:v>4.740000000000002</c:v>
                </c:pt>
                <c:pt idx="106">
                  <c:v>5.0800000000000018</c:v>
                </c:pt>
                <c:pt idx="107">
                  <c:v>5.4400000000000022</c:v>
                </c:pt>
                <c:pt idx="108">
                  <c:v>5.8200000000000021</c:v>
                </c:pt>
                <c:pt idx="109">
                  <c:v>6.2200000000000024</c:v>
                </c:pt>
                <c:pt idx="110">
                  <c:v>6.6400000000000023</c:v>
                </c:pt>
                <c:pt idx="111">
                  <c:v>7.0800000000000027</c:v>
                </c:pt>
                <c:pt idx="112">
                  <c:v>7.5400000000000027</c:v>
                </c:pt>
                <c:pt idx="113">
                  <c:v>8.0200000000000031</c:v>
                </c:pt>
                <c:pt idx="114">
                  <c:v>8.5200000000000031</c:v>
                </c:pt>
                <c:pt idx="115">
                  <c:v>9.0400000000000027</c:v>
                </c:pt>
                <c:pt idx="116">
                  <c:v>9.5800000000000018</c:v>
                </c:pt>
                <c:pt idx="117">
                  <c:v>10.140000000000002</c:v>
                </c:pt>
                <c:pt idx="118">
                  <c:v>10.720000000000002</c:v>
                </c:pt>
                <c:pt idx="119">
                  <c:v>11.320000000000002</c:v>
                </c:pt>
                <c:pt idx="120">
                  <c:v>11.940000000000001</c:v>
                </c:pt>
                <c:pt idx="121">
                  <c:v>12.580000000000002</c:v>
                </c:pt>
                <c:pt idx="122">
                  <c:v>13.240000000000002</c:v>
                </c:pt>
                <c:pt idx="123">
                  <c:v>13.920000000000002</c:v>
                </c:pt>
                <c:pt idx="124">
                  <c:v>14.620000000000001</c:v>
                </c:pt>
                <c:pt idx="125">
                  <c:v>15.340000000000002</c:v>
                </c:pt>
                <c:pt idx="126">
                  <c:v>16.090000000000003</c:v>
                </c:pt>
                <c:pt idx="127">
                  <c:v>16.870000000000005</c:v>
                </c:pt>
                <c:pt idx="128">
                  <c:v>17.680000000000003</c:v>
                </c:pt>
                <c:pt idx="129">
                  <c:v>18.520000000000003</c:v>
                </c:pt>
                <c:pt idx="130">
                  <c:v>19.470000000000002</c:v>
                </c:pt>
                <c:pt idx="131">
                  <c:v>20.570000000000004</c:v>
                </c:pt>
                <c:pt idx="132">
                  <c:v>21.770000000000003</c:v>
                </c:pt>
                <c:pt idx="133">
                  <c:v>23.070000000000004</c:v>
                </c:pt>
                <c:pt idx="134">
                  <c:v>24.470000000000002</c:v>
                </c:pt>
                <c:pt idx="135">
                  <c:v>25.970000000000002</c:v>
                </c:pt>
                <c:pt idx="136">
                  <c:v>27.570000000000004</c:v>
                </c:pt>
                <c:pt idx="137">
                  <c:v>29.270000000000003</c:v>
                </c:pt>
                <c:pt idx="138">
                  <c:v>31.070000000000004</c:v>
                </c:pt>
                <c:pt idx="139">
                  <c:v>32.970000000000006</c:v>
                </c:pt>
                <c:pt idx="140">
                  <c:v>35.070000000000007</c:v>
                </c:pt>
                <c:pt idx="141">
                  <c:v>37.27000000000001</c:v>
                </c:pt>
                <c:pt idx="142">
                  <c:v>39.570000000000007</c:v>
                </c:pt>
                <c:pt idx="143">
                  <c:v>41.970000000000006</c:v>
                </c:pt>
                <c:pt idx="144">
                  <c:v>44.470000000000006</c:v>
                </c:pt>
                <c:pt idx="145">
                  <c:v>47.070000000000007</c:v>
                </c:pt>
                <c:pt idx="146">
                  <c:v>49.77000000000001</c:v>
                </c:pt>
                <c:pt idx="147">
                  <c:v>52.570000000000007</c:v>
                </c:pt>
                <c:pt idx="148">
                  <c:v>55.470000000000006</c:v>
                </c:pt>
                <c:pt idx="149">
                  <c:v>58.470000000000006</c:v>
                </c:pt>
                <c:pt idx="150">
                  <c:v>61.570000000000007</c:v>
                </c:pt>
                <c:pt idx="151">
                  <c:v>64.77000000000001</c:v>
                </c:pt>
                <c:pt idx="152">
                  <c:v>68.070000000000007</c:v>
                </c:pt>
                <c:pt idx="153">
                  <c:v>71.470000000000013</c:v>
                </c:pt>
                <c:pt idx="154">
                  <c:v>74.970000000000013</c:v>
                </c:pt>
                <c:pt idx="155">
                  <c:v>78.570000000000007</c:v>
                </c:pt>
                <c:pt idx="156">
                  <c:v>82.27000000000001</c:v>
                </c:pt>
                <c:pt idx="157">
                  <c:v>86.070000000000007</c:v>
                </c:pt>
                <c:pt idx="158">
                  <c:v>89.970000000000013</c:v>
                </c:pt>
                <c:pt idx="159">
                  <c:v>93.970000000000013</c:v>
                </c:pt>
                <c:pt idx="160">
                  <c:v>98.070000000000007</c:v>
                </c:pt>
                <c:pt idx="161">
                  <c:v>102.27000000000001</c:v>
                </c:pt>
                <c:pt idx="162">
                  <c:v>106.57000000000001</c:v>
                </c:pt>
                <c:pt idx="163">
                  <c:v>110.97000000000001</c:v>
                </c:pt>
                <c:pt idx="164">
                  <c:v>115.47000000000001</c:v>
                </c:pt>
                <c:pt idx="165">
                  <c:v>120.07000000000001</c:v>
                </c:pt>
                <c:pt idx="166">
                  <c:v>124.77000000000001</c:v>
                </c:pt>
                <c:pt idx="167">
                  <c:v>129.57000000000002</c:v>
                </c:pt>
                <c:pt idx="168">
                  <c:v>134.47000000000003</c:v>
                </c:pt>
                <c:pt idx="169">
                  <c:v>139.47000000000003</c:v>
                </c:pt>
                <c:pt idx="170">
                  <c:v>144.65000000000003</c:v>
                </c:pt>
                <c:pt idx="171">
                  <c:v>150.01000000000005</c:v>
                </c:pt>
                <c:pt idx="172">
                  <c:v>155.55000000000004</c:v>
                </c:pt>
                <c:pt idx="173">
                  <c:v>161.27000000000004</c:v>
                </c:pt>
                <c:pt idx="174">
                  <c:v>167.17000000000004</c:v>
                </c:pt>
                <c:pt idx="175">
                  <c:v>173.25000000000006</c:v>
                </c:pt>
                <c:pt idx="176">
                  <c:v>179.51000000000005</c:v>
                </c:pt>
                <c:pt idx="177">
                  <c:v>185.95000000000005</c:v>
                </c:pt>
                <c:pt idx="178">
                  <c:v>192.57000000000005</c:v>
                </c:pt>
                <c:pt idx="179">
                  <c:v>199.37000000000006</c:v>
                </c:pt>
                <c:pt idx="180">
                  <c:v>206.35000000000005</c:v>
                </c:pt>
                <c:pt idx="181">
                  <c:v>213.40000000000006</c:v>
                </c:pt>
                <c:pt idx="182">
                  <c:v>220.50000000000006</c:v>
                </c:pt>
                <c:pt idx="183">
                  <c:v>227.65000000000006</c:v>
                </c:pt>
                <c:pt idx="184">
                  <c:v>234.85000000000005</c:v>
                </c:pt>
                <c:pt idx="185">
                  <c:v>242.10000000000005</c:v>
                </c:pt>
                <c:pt idx="186">
                  <c:v>249.40000000000006</c:v>
                </c:pt>
                <c:pt idx="187">
                  <c:v>256.75000000000006</c:v>
                </c:pt>
                <c:pt idx="188">
                  <c:v>264.15000000000003</c:v>
                </c:pt>
                <c:pt idx="189">
                  <c:v>271.60000000000002</c:v>
                </c:pt>
                <c:pt idx="190">
                  <c:v>279.10000000000002</c:v>
                </c:pt>
                <c:pt idx="191">
                  <c:v>286.62</c:v>
                </c:pt>
                <c:pt idx="192">
                  <c:v>294.16000000000003</c:v>
                </c:pt>
                <c:pt idx="193">
                  <c:v>301.72000000000003</c:v>
                </c:pt>
                <c:pt idx="194">
                  <c:v>309.3</c:v>
                </c:pt>
                <c:pt idx="195">
                  <c:v>316.90000000000003</c:v>
                </c:pt>
                <c:pt idx="196">
                  <c:v>324.52000000000004</c:v>
                </c:pt>
                <c:pt idx="197">
                  <c:v>332.16</c:v>
                </c:pt>
                <c:pt idx="198">
                  <c:v>339.82000000000005</c:v>
                </c:pt>
                <c:pt idx="199">
                  <c:v>347.50000000000006</c:v>
                </c:pt>
                <c:pt idx="200">
                  <c:v>355.20000000000005</c:v>
                </c:pt>
                <c:pt idx="201">
                  <c:v>362.92000000000007</c:v>
                </c:pt>
                <c:pt idx="202">
                  <c:v>370.66000000000008</c:v>
                </c:pt>
                <c:pt idx="203">
                  <c:v>378.42000000000007</c:v>
                </c:pt>
                <c:pt idx="204">
                  <c:v>386.20000000000005</c:v>
                </c:pt>
                <c:pt idx="205">
                  <c:v>394.00000000000006</c:v>
                </c:pt>
                <c:pt idx="206">
                  <c:v>401.82000000000005</c:v>
                </c:pt>
                <c:pt idx="207">
                  <c:v>409.66</c:v>
                </c:pt>
                <c:pt idx="208">
                  <c:v>417.52000000000004</c:v>
                </c:pt>
                <c:pt idx="209">
                  <c:v>425.40000000000003</c:v>
                </c:pt>
                <c:pt idx="210">
                  <c:v>433.3</c:v>
                </c:pt>
                <c:pt idx="211">
                  <c:v>441.22</c:v>
                </c:pt>
                <c:pt idx="212">
                  <c:v>449.16</c:v>
                </c:pt>
                <c:pt idx="213">
                  <c:v>457.12</c:v>
                </c:pt>
                <c:pt idx="214">
                  <c:v>465.1</c:v>
                </c:pt>
                <c:pt idx="215">
                  <c:v>473.1</c:v>
                </c:pt>
                <c:pt idx="216">
                  <c:v>481.12</c:v>
                </c:pt>
                <c:pt idx="217">
                  <c:v>489.15999999999997</c:v>
                </c:pt>
                <c:pt idx="218">
                  <c:v>497.21999999999997</c:v>
                </c:pt>
                <c:pt idx="219">
                  <c:v>505.29999999999995</c:v>
                </c:pt>
                <c:pt idx="220">
                  <c:v>513.4</c:v>
                </c:pt>
                <c:pt idx="221">
                  <c:v>521.52</c:v>
                </c:pt>
                <c:pt idx="222">
                  <c:v>529.66</c:v>
                </c:pt>
                <c:pt idx="223">
                  <c:v>537.81999999999994</c:v>
                </c:pt>
                <c:pt idx="224">
                  <c:v>545.99999999999989</c:v>
                </c:pt>
                <c:pt idx="225">
                  <c:v>554.19999999999993</c:v>
                </c:pt>
                <c:pt idx="226">
                  <c:v>562.41999999999996</c:v>
                </c:pt>
                <c:pt idx="227">
                  <c:v>570.66</c:v>
                </c:pt>
                <c:pt idx="228">
                  <c:v>578.91999999999996</c:v>
                </c:pt>
                <c:pt idx="229">
                  <c:v>587.19999999999993</c:v>
                </c:pt>
                <c:pt idx="230">
                  <c:v>595.49999999999989</c:v>
                </c:pt>
                <c:pt idx="231">
                  <c:v>605.49999999999989</c:v>
                </c:pt>
                <c:pt idx="232">
                  <c:v>625.49999999999989</c:v>
                </c:pt>
                <c:pt idx="233">
                  <c:v>655.49999999999989</c:v>
                </c:pt>
                <c:pt idx="234">
                  <c:v>695.49999999999989</c:v>
                </c:pt>
                <c:pt idx="235">
                  <c:v>755.49999999999989</c:v>
                </c:pt>
                <c:pt idx="236">
                  <c:v>845.49999999999989</c:v>
                </c:pt>
                <c:pt idx="237">
                  <c:v>965.49999999999989</c:v>
                </c:pt>
                <c:pt idx="238">
                  <c:v>1115.5</c:v>
                </c:pt>
                <c:pt idx="239">
                  <c:v>1315.5</c:v>
                </c:pt>
                <c:pt idx="240">
                  <c:v>1565.5</c:v>
                </c:pt>
                <c:pt idx="241">
                  <c:v>1865.5</c:v>
                </c:pt>
                <c:pt idx="242">
                  <c:v>2265.5</c:v>
                </c:pt>
                <c:pt idx="243">
                  <c:v>2765.5</c:v>
                </c:pt>
                <c:pt idx="244">
                  <c:v>3365.5</c:v>
                </c:pt>
                <c:pt idx="245">
                  <c:v>4165.5</c:v>
                </c:pt>
                <c:pt idx="246">
                  <c:v>5165.5</c:v>
                </c:pt>
                <c:pt idx="247">
                  <c:v>6365.5</c:v>
                </c:pt>
                <c:pt idx="248">
                  <c:v>7965.5</c:v>
                </c:pt>
                <c:pt idx="249">
                  <c:v>9965.5</c:v>
                </c:pt>
                <c:pt idx="250">
                  <c:v>12965.5</c:v>
                </c:pt>
                <c:pt idx="251">
                  <c:v>17965.5</c:v>
                </c:pt>
                <c:pt idx="252">
                  <c:v>24965.5</c:v>
                </c:pt>
                <c:pt idx="253">
                  <c:v>36965.5</c:v>
                </c:pt>
                <c:pt idx="254">
                  <c:v>54965.5</c:v>
                </c:pt>
                <c:pt idx="255">
                  <c:v>82965.5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D-4E61-B104-A59593D0B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04192"/>
        <c:axId val="425708784"/>
      </c:lineChart>
      <c:catAx>
        <c:axId val="425704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5708784"/>
        <c:crosses val="autoZero"/>
        <c:auto val="1"/>
        <c:lblAlgn val="ctr"/>
        <c:lblOffset val="100"/>
        <c:noMultiLvlLbl val="0"/>
      </c:catAx>
      <c:valAx>
        <c:axId val="425708784"/>
        <c:scaling>
          <c:logBase val="10"/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5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2</xdr:row>
      <xdr:rowOff>156210</xdr:rowOff>
    </xdr:from>
    <xdr:to>
      <xdr:col>21</xdr:col>
      <xdr:colOff>213360</xdr:colOff>
      <xdr:row>55</xdr:row>
      <xdr:rowOff>30480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0</xdr:row>
          <xdr:rowOff>76200</xdr:rowOff>
        </xdr:from>
        <xdr:to>
          <xdr:col>7</xdr:col>
          <xdr:colOff>182880</xdr:colOff>
          <xdr:row>2</xdr:row>
          <xdr:rowOff>137160</xdr:rowOff>
        </xdr:to>
        <xdr:sp macro="" textlink="">
          <xdr:nvSpPr>
            <xdr:cNvPr id="3073" name="Analyz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784860</xdr:colOff>
          <xdr:row>0</xdr:row>
          <xdr:rowOff>129540</xdr:rowOff>
        </xdr:from>
        <xdr:to>
          <xdr:col>15</xdr:col>
          <xdr:colOff>160020</xdr:colOff>
          <xdr:row>1</xdr:row>
          <xdr:rowOff>243840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2:R259"/>
  <sheetViews>
    <sheetView tabSelected="1" workbookViewId="0">
      <selection activeCell="W25" sqref="W25"/>
    </sheetView>
  </sheetViews>
  <sheetFormatPr baseColWidth="10" defaultRowHeight="14.4" x14ac:dyDescent="0.3"/>
  <cols>
    <col min="1" max="1" width="6.88671875" customWidth="1"/>
    <col min="2" max="2" width="5.88671875" customWidth="1"/>
    <col min="3" max="3" width="10.33203125" style="4" customWidth="1"/>
    <col min="4" max="4" width="5.88671875" customWidth="1"/>
    <col min="5" max="5" width="7.44140625" style="6" customWidth="1"/>
    <col min="6" max="6" width="10.21875" customWidth="1"/>
    <col min="7" max="7" width="13.6640625" customWidth="1"/>
    <col min="10" max="10" width="11.5546875" style="3"/>
    <col min="14" max="16" width="11.33203125" customWidth="1"/>
    <col min="17" max="17" width="4.77734375" customWidth="1"/>
    <col min="18" max="18" width="14" customWidth="1"/>
  </cols>
  <sheetData>
    <row r="2" spans="2:6" ht="28.8" x14ac:dyDescent="0.3">
      <c r="B2" s="21" t="s">
        <v>8</v>
      </c>
      <c r="C2" s="39" t="s">
        <v>1089</v>
      </c>
      <c r="D2" s="24"/>
      <c r="E2" s="23" t="s">
        <v>1090</v>
      </c>
      <c r="F2" s="28" t="s">
        <v>1088</v>
      </c>
    </row>
    <row r="4" spans="2:6" x14ac:dyDescent="0.3">
      <c r="B4" s="6">
        <v>0</v>
      </c>
      <c r="C4" s="35">
        <f>Input!I4</f>
        <v>4.8611111111111112E-3</v>
      </c>
      <c r="E4" s="6">
        <v>0.01</v>
      </c>
      <c r="F4" s="6">
        <v>0</v>
      </c>
    </row>
    <row r="5" spans="2:6" x14ac:dyDescent="0.3">
      <c r="B5" s="6">
        <v>1</v>
      </c>
      <c r="C5" s="35">
        <f>Input!I5</f>
        <v>8.4536082474226792E-3</v>
      </c>
      <c r="E5" s="6">
        <v>0.01</v>
      </c>
      <c r="F5" s="6">
        <f>F4+E5</f>
        <v>0.01</v>
      </c>
    </row>
    <row r="6" spans="2:6" x14ac:dyDescent="0.3">
      <c r="B6" s="6">
        <v>2</v>
      </c>
      <c r="C6" s="35">
        <f>Input!I6</f>
        <v>1.8571428571428572E-2</v>
      </c>
      <c r="E6" s="6">
        <v>0.01</v>
      </c>
      <c r="F6" s="6">
        <f>F5+E6</f>
        <v>0.02</v>
      </c>
    </row>
    <row r="7" spans="2:6" x14ac:dyDescent="0.3">
      <c r="B7" s="6">
        <v>3</v>
      </c>
      <c r="C7" s="35">
        <f>Input!I7</f>
        <v>1.5555555555555557E-2</v>
      </c>
      <c r="E7" s="6">
        <v>0.01</v>
      </c>
      <c r="F7" s="6">
        <f>F6+E7</f>
        <v>0.03</v>
      </c>
    </row>
    <row r="8" spans="2:6" x14ac:dyDescent="0.3">
      <c r="B8" s="6">
        <v>4</v>
      </c>
      <c r="C8" s="35">
        <f>Input!I8</f>
        <v>2.4210526315789471E-2</v>
      </c>
      <c r="E8" s="6">
        <v>0.01</v>
      </c>
      <c r="F8" s="6">
        <f>F7+E8</f>
        <v>0.04</v>
      </c>
    </row>
    <row r="9" spans="2:6" x14ac:dyDescent="0.3">
      <c r="B9" s="6">
        <v>5</v>
      </c>
      <c r="C9" s="35">
        <f>Input!I9</f>
        <v>0.28589743589743577</v>
      </c>
      <c r="E9" s="6">
        <v>0.01</v>
      </c>
      <c r="F9" s="6">
        <f>F8+E9</f>
        <v>0.05</v>
      </c>
    </row>
    <row r="10" spans="2:6" x14ac:dyDescent="0.3">
      <c r="B10" s="6">
        <v>6</v>
      </c>
      <c r="C10" s="35">
        <f>Input!I10</f>
        <v>4.7500000000000001E-2</v>
      </c>
      <c r="E10" s="6">
        <v>0.01</v>
      </c>
      <c r="F10" s="6">
        <f>F9+E10</f>
        <v>6.0000000000000005E-2</v>
      </c>
    </row>
    <row r="11" spans="2:6" x14ac:dyDescent="0.3">
      <c r="B11" s="6">
        <v>7</v>
      </c>
      <c r="C11" s="35">
        <f>Input!I11</f>
        <v>6.5000000000000016E-2</v>
      </c>
      <c r="E11" s="6">
        <v>0.01</v>
      </c>
      <c r="F11" s="6">
        <f>F10+E11</f>
        <v>7.0000000000000007E-2</v>
      </c>
    </row>
    <row r="12" spans="2:6" x14ac:dyDescent="0.3">
      <c r="B12" s="6">
        <v>8</v>
      </c>
      <c r="C12" s="35">
        <f>Input!I12</f>
        <v>5.1428571428571428E-2</v>
      </c>
      <c r="E12" s="6">
        <v>0.01</v>
      </c>
      <c r="F12" s="6">
        <f>F11+E12</f>
        <v>0.08</v>
      </c>
    </row>
    <row r="13" spans="2:6" x14ac:dyDescent="0.3">
      <c r="B13" s="6">
        <v>9</v>
      </c>
      <c r="C13" s="35">
        <f>Input!I13</f>
        <v>7.7499999999999999E-2</v>
      </c>
      <c r="E13" s="6">
        <v>0.01</v>
      </c>
      <c r="F13" s="6">
        <f>F12+E13</f>
        <v>0.09</v>
      </c>
    </row>
    <row r="14" spans="2:6" x14ac:dyDescent="0.3">
      <c r="B14" s="6">
        <v>10</v>
      </c>
      <c r="C14" s="35">
        <f>Input!I14</f>
        <v>6.25E-2</v>
      </c>
      <c r="E14" s="6">
        <v>0.01</v>
      </c>
      <c r="F14" s="6">
        <f>F13+E14</f>
        <v>9.9999999999999992E-2</v>
      </c>
    </row>
    <row r="15" spans="2:6" x14ac:dyDescent="0.3">
      <c r="B15" s="6">
        <v>11</v>
      </c>
      <c r="C15" s="35">
        <f>Input!I15</f>
        <v>0.1125</v>
      </c>
      <c r="E15" s="6">
        <v>0.01</v>
      </c>
      <c r="F15" s="6">
        <f>F14+E15</f>
        <v>0.10999999999999999</v>
      </c>
    </row>
    <row r="16" spans="2:6" x14ac:dyDescent="0.3">
      <c r="B16" s="6">
        <v>12</v>
      </c>
      <c r="C16" s="35">
        <f>Input!I16</f>
        <v>8.9000000000000037E-2</v>
      </c>
      <c r="E16" s="6">
        <v>0.01</v>
      </c>
      <c r="F16" s="6">
        <f>F15+E16</f>
        <v>0.11999999999999998</v>
      </c>
    </row>
    <row r="17" spans="2:6" x14ac:dyDescent="0.3">
      <c r="B17" s="6">
        <v>13</v>
      </c>
      <c r="C17" s="35">
        <f>Input!I17</f>
        <v>9.5000000000000001E-2</v>
      </c>
      <c r="E17" s="6">
        <v>0.01</v>
      </c>
      <c r="F17" s="6">
        <f>F16+E17</f>
        <v>0.12999999999999998</v>
      </c>
    </row>
    <row r="18" spans="2:6" x14ac:dyDescent="0.3">
      <c r="B18" s="6">
        <v>14</v>
      </c>
      <c r="C18" s="35">
        <f>Input!I18</f>
        <v>0.11000000000000001</v>
      </c>
      <c r="E18" s="6">
        <v>0.01</v>
      </c>
      <c r="F18" s="6">
        <f>F17+E18</f>
        <v>0.13999999999999999</v>
      </c>
    </row>
    <row r="19" spans="2:6" x14ac:dyDescent="0.3">
      <c r="B19" s="6">
        <v>15</v>
      </c>
      <c r="C19" s="35">
        <f>Input!I19</f>
        <v>0.19</v>
      </c>
      <c r="E19" s="6">
        <v>0.01</v>
      </c>
      <c r="F19" s="6">
        <f>F18+E19</f>
        <v>0.15</v>
      </c>
    </row>
    <row r="20" spans="2:6" x14ac:dyDescent="0.3">
      <c r="B20" s="6">
        <v>16</v>
      </c>
      <c r="C20" s="35">
        <f>Input!I20</f>
        <v>0.16</v>
      </c>
      <c r="E20" s="6">
        <v>0.01</v>
      </c>
      <c r="F20" s="6">
        <f>F19+E20</f>
        <v>0.16</v>
      </c>
    </row>
    <row r="21" spans="2:6" x14ac:dyDescent="0.3">
      <c r="B21" s="6">
        <v>17</v>
      </c>
      <c r="C21" s="35">
        <f>Input!I21</f>
        <v>0.1</v>
      </c>
      <c r="E21" s="6">
        <v>0.01</v>
      </c>
      <c r="F21" s="6">
        <f>F20+E21</f>
        <v>0.17</v>
      </c>
    </row>
    <row r="22" spans="2:6" x14ac:dyDescent="0.3">
      <c r="B22" s="6">
        <v>18</v>
      </c>
      <c r="C22" s="35">
        <f>Input!I22</f>
        <v>0.18333333333333332</v>
      </c>
      <c r="E22" s="6">
        <v>0.01</v>
      </c>
      <c r="F22" s="6">
        <f>F21+E22</f>
        <v>0.18000000000000002</v>
      </c>
    </row>
    <row r="23" spans="2:6" x14ac:dyDescent="0.3">
      <c r="B23" s="6">
        <v>19</v>
      </c>
      <c r="C23" s="35">
        <f>Input!I23</f>
        <v>9.2499999999999999E-2</v>
      </c>
      <c r="E23" s="6">
        <v>0.01</v>
      </c>
      <c r="F23" s="6">
        <f>F22+E23</f>
        <v>0.19000000000000003</v>
      </c>
    </row>
    <row r="24" spans="2:6" x14ac:dyDescent="0.3">
      <c r="B24" s="6">
        <v>20</v>
      </c>
      <c r="C24" s="35">
        <f>Input!I24</f>
        <v>0.1</v>
      </c>
      <c r="E24" s="6">
        <v>0.01</v>
      </c>
      <c r="F24" s="6">
        <f>F23+E24</f>
        <v>0.20000000000000004</v>
      </c>
    </row>
    <row r="25" spans="2:6" x14ac:dyDescent="0.3">
      <c r="B25" s="6">
        <v>21</v>
      </c>
      <c r="C25" s="35" t="e">
        <f>Input!I25</f>
        <v>#DIV/0!</v>
      </c>
      <c r="E25" s="6">
        <v>0.01</v>
      </c>
      <c r="F25" s="6">
        <f>F24+E25</f>
        <v>0.21000000000000005</v>
      </c>
    </row>
    <row r="26" spans="2:6" x14ac:dyDescent="0.3">
      <c r="B26" s="6">
        <v>22</v>
      </c>
      <c r="C26" s="35">
        <f>Input!I26</f>
        <v>0.15000000000000002</v>
      </c>
      <c r="E26" s="6">
        <v>0.01</v>
      </c>
      <c r="F26" s="6">
        <f>F25+E26</f>
        <v>0.22000000000000006</v>
      </c>
    </row>
    <row r="27" spans="2:6" x14ac:dyDescent="0.3">
      <c r="B27" s="6">
        <v>23</v>
      </c>
      <c r="C27" s="35" t="e">
        <f>Input!I27</f>
        <v>#DIV/0!</v>
      </c>
      <c r="E27" s="6">
        <v>0.01</v>
      </c>
      <c r="F27" s="6">
        <f>F26+E27</f>
        <v>0.23000000000000007</v>
      </c>
    </row>
    <row r="28" spans="2:6" x14ac:dyDescent="0.3">
      <c r="B28" s="6">
        <v>24</v>
      </c>
      <c r="C28" s="35">
        <f>Input!I28</f>
        <v>0.12</v>
      </c>
      <c r="E28" s="6">
        <v>0.01</v>
      </c>
      <c r="F28" s="6">
        <f>F27+E28</f>
        <v>0.24000000000000007</v>
      </c>
    </row>
    <row r="29" spans="2:6" x14ac:dyDescent="0.3">
      <c r="B29" s="6">
        <v>25</v>
      </c>
      <c r="C29" s="35">
        <f>Input!I29</f>
        <v>0.14000000000000001</v>
      </c>
      <c r="E29" s="6">
        <v>0.01</v>
      </c>
      <c r="F29" s="6">
        <f>F28+E29</f>
        <v>0.25000000000000006</v>
      </c>
    </row>
    <row r="30" spans="2:6" x14ac:dyDescent="0.3">
      <c r="B30" s="6">
        <v>26</v>
      </c>
      <c r="C30" s="35">
        <f>Input!I30</f>
        <v>0.19500000000000001</v>
      </c>
      <c r="E30" s="6">
        <v>0.01</v>
      </c>
      <c r="F30" s="6">
        <f>F29+E30</f>
        <v>0.26000000000000006</v>
      </c>
    </row>
    <row r="31" spans="2:6" x14ac:dyDescent="0.3">
      <c r="B31" s="6">
        <v>27</v>
      </c>
      <c r="C31" s="35">
        <f>Input!I31</f>
        <v>0.31</v>
      </c>
      <c r="E31" s="6">
        <v>0.01</v>
      </c>
      <c r="F31" s="6">
        <f>F30+E31</f>
        <v>0.27000000000000007</v>
      </c>
    </row>
    <row r="32" spans="2:6" x14ac:dyDescent="0.3">
      <c r="B32" s="6">
        <v>28</v>
      </c>
      <c r="C32" s="35">
        <f>Input!I32</f>
        <v>0.32</v>
      </c>
      <c r="E32" s="6">
        <v>0.01</v>
      </c>
      <c r="F32" s="6">
        <f>F31+E32</f>
        <v>0.28000000000000008</v>
      </c>
    </row>
    <row r="33" spans="2:18" x14ac:dyDescent="0.3">
      <c r="B33" s="6">
        <v>29</v>
      </c>
      <c r="C33" s="35">
        <f>Input!I33</f>
        <v>0.34</v>
      </c>
      <c r="E33" s="6">
        <v>0.01</v>
      </c>
      <c r="F33" s="6">
        <f>F32+E33</f>
        <v>0.29000000000000009</v>
      </c>
    </row>
    <row r="34" spans="2:18" x14ac:dyDescent="0.3">
      <c r="B34" s="6">
        <v>30</v>
      </c>
      <c r="C34" s="35" t="e">
        <f>Input!I34</f>
        <v>#DIV/0!</v>
      </c>
      <c r="E34" s="6">
        <v>0.01</v>
      </c>
      <c r="F34" s="6">
        <f>F33+E34</f>
        <v>0.3000000000000001</v>
      </c>
    </row>
    <row r="35" spans="2:18" x14ac:dyDescent="0.3">
      <c r="B35" s="6">
        <v>31</v>
      </c>
      <c r="C35" s="35">
        <f>Input!I35</f>
        <v>0.34499999999999997</v>
      </c>
      <c r="E35" s="6">
        <v>0.01</v>
      </c>
      <c r="F35" s="6">
        <f>F34+E35</f>
        <v>0.31000000000000011</v>
      </c>
      <c r="O35" s="5"/>
    </row>
    <row r="36" spans="2:18" x14ac:dyDescent="0.3">
      <c r="B36" s="6">
        <v>32</v>
      </c>
      <c r="C36" s="35" t="e">
        <f>Input!I36</f>
        <v>#DIV/0!</v>
      </c>
      <c r="E36" s="6">
        <v>0.01</v>
      </c>
      <c r="F36" s="6">
        <f>F35+E36</f>
        <v>0.32000000000000012</v>
      </c>
      <c r="O36" s="5"/>
    </row>
    <row r="37" spans="2:18" x14ac:dyDescent="0.3">
      <c r="B37" s="6">
        <v>33</v>
      </c>
      <c r="C37" s="35">
        <f>Input!I37</f>
        <v>0.39</v>
      </c>
      <c r="E37" s="6">
        <v>0.01</v>
      </c>
      <c r="F37" s="6">
        <f>F36+E37</f>
        <v>0.33000000000000013</v>
      </c>
    </row>
    <row r="38" spans="2:18" x14ac:dyDescent="0.3">
      <c r="B38" s="6">
        <v>34</v>
      </c>
      <c r="C38" s="35" t="e">
        <f>Input!I38</f>
        <v>#DIV/0!</v>
      </c>
      <c r="E38" s="6">
        <v>0.01</v>
      </c>
      <c r="F38" s="6">
        <f>F37+E38</f>
        <v>0.34000000000000014</v>
      </c>
      <c r="O38" s="5"/>
    </row>
    <row r="39" spans="2:18" x14ac:dyDescent="0.3">
      <c r="B39" s="6">
        <v>35</v>
      </c>
      <c r="C39" s="35">
        <f>Input!I39</f>
        <v>0.18999999999999997</v>
      </c>
      <c r="E39" s="6">
        <v>0.01</v>
      </c>
      <c r="F39" s="6">
        <f>F38+E39</f>
        <v>0.35000000000000014</v>
      </c>
      <c r="O39" s="5"/>
    </row>
    <row r="40" spans="2:18" x14ac:dyDescent="0.3">
      <c r="B40" s="6">
        <v>36</v>
      </c>
      <c r="C40" s="35">
        <f>Input!I40</f>
        <v>0.25230769230769229</v>
      </c>
      <c r="E40" s="6">
        <v>0.01</v>
      </c>
      <c r="F40" s="6">
        <f>F39+E40</f>
        <v>0.36000000000000015</v>
      </c>
      <c r="O40" s="5"/>
    </row>
    <row r="41" spans="2:18" x14ac:dyDescent="0.3">
      <c r="B41" s="6">
        <v>37</v>
      </c>
      <c r="C41" s="35">
        <f>Input!I41</f>
        <v>0.20666666666666667</v>
      </c>
      <c r="E41" s="6">
        <v>0.01</v>
      </c>
      <c r="F41" s="6">
        <f>F40+E41</f>
        <v>0.37000000000000016</v>
      </c>
      <c r="O41" s="5"/>
      <c r="P41" s="8"/>
    </row>
    <row r="42" spans="2:18" x14ac:dyDescent="0.3">
      <c r="B42" s="6">
        <v>38</v>
      </c>
      <c r="C42" s="35">
        <f>Input!I42</f>
        <v>0.51333333333333331</v>
      </c>
      <c r="E42" s="6">
        <v>0.01</v>
      </c>
      <c r="F42" s="6">
        <f>F41+E42</f>
        <v>0.38000000000000017</v>
      </c>
      <c r="O42" s="5"/>
      <c r="P42" s="8"/>
      <c r="R42" s="9"/>
    </row>
    <row r="43" spans="2:18" x14ac:dyDescent="0.3">
      <c r="B43" s="6">
        <v>39</v>
      </c>
      <c r="C43" s="35">
        <f>Input!I43</f>
        <v>0.49</v>
      </c>
      <c r="E43" s="6">
        <v>0.01</v>
      </c>
      <c r="F43" s="6">
        <f>F42+E43</f>
        <v>0.39000000000000018</v>
      </c>
      <c r="O43" s="5"/>
    </row>
    <row r="44" spans="2:18" x14ac:dyDescent="0.3">
      <c r="B44" s="6">
        <v>40</v>
      </c>
      <c r="C44" s="35" t="e">
        <f>Input!I44</f>
        <v>#DIV/0!</v>
      </c>
      <c r="E44" s="6">
        <v>0.01</v>
      </c>
      <c r="F44" s="6">
        <f>F43+E44</f>
        <v>0.40000000000000019</v>
      </c>
      <c r="O44" s="5"/>
    </row>
    <row r="45" spans="2:18" x14ac:dyDescent="0.3">
      <c r="B45" s="6">
        <v>41</v>
      </c>
      <c r="C45" s="35" t="e">
        <f>Input!I45</f>
        <v>#DIV/0!</v>
      </c>
      <c r="E45" s="6">
        <v>0.01</v>
      </c>
      <c r="F45" s="6">
        <f>F44+E45</f>
        <v>0.4100000000000002</v>
      </c>
      <c r="O45" s="5"/>
    </row>
    <row r="46" spans="2:18" x14ac:dyDescent="0.3">
      <c r="B46" s="6">
        <v>42</v>
      </c>
      <c r="C46" s="35">
        <f>Input!I46</f>
        <v>0.5</v>
      </c>
      <c r="E46" s="6">
        <v>0.01</v>
      </c>
      <c r="F46" s="6">
        <f>F45+E46</f>
        <v>0.42000000000000021</v>
      </c>
      <c r="O46" s="5"/>
    </row>
    <row r="47" spans="2:18" x14ac:dyDescent="0.3">
      <c r="B47" s="6">
        <v>43</v>
      </c>
      <c r="C47" s="35">
        <f>Input!I47</f>
        <v>0.52</v>
      </c>
      <c r="E47" s="6">
        <v>0.01</v>
      </c>
      <c r="F47" s="6">
        <f>F46+E47</f>
        <v>0.43000000000000022</v>
      </c>
    </row>
    <row r="48" spans="2:18" x14ac:dyDescent="0.3">
      <c r="B48" s="6">
        <v>44</v>
      </c>
      <c r="C48" s="35" t="e">
        <f>Input!I48</f>
        <v>#DIV/0!</v>
      </c>
      <c r="E48" s="6">
        <v>0.01</v>
      </c>
      <c r="F48" s="6">
        <f>F47+E48</f>
        <v>0.44000000000000022</v>
      </c>
    </row>
    <row r="49" spans="2:6" x14ac:dyDescent="0.3">
      <c r="B49" s="6">
        <v>45</v>
      </c>
      <c r="C49" s="35" t="e">
        <f>Input!I49</f>
        <v>#DIV/0!</v>
      </c>
      <c r="E49" s="6">
        <v>0.01</v>
      </c>
      <c r="F49" s="6">
        <f>F48+E49</f>
        <v>0.45000000000000023</v>
      </c>
    </row>
    <row r="50" spans="2:6" x14ac:dyDescent="0.3">
      <c r="B50" s="6">
        <v>46</v>
      </c>
      <c r="C50" s="35" t="e">
        <f>Input!I50</f>
        <v>#DIV/0!</v>
      </c>
      <c r="E50" s="6">
        <v>0.01</v>
      </c>
      <c r="F50" s="6">
        <f>F49+E50</f>
        <v>0.46000000000000024</v>
      </c>
    </row>
    <row r="51" spans="2:6" x14ac:dyDescent="0.3">
      <c r="B51" s="6">
        <v>47</v>
      </c>
      <c r="C51" s="35" t="e">
        <f>Input!I51</f>
        <v>#DIV/0!</v>
      </c>
      <c r="E51" s="6">
        <v>0.01</v>
      </c>
      <c r="F51" s="6">
        <f>F50+E51</f>
        <v>0.47000000000000025</v>
      </c>
    </row>
    <row r="52" spans="2:6" x14ac:dyDescent="0.3">
      <c r="B52" s="6">
        <v>48</v>
      </c>
      <c r="C52" s="35">
        <f>Input!I52</f>
        <v>0.26</v>
      </c>
      <c r="E52" s="6">
        <v>0.01</v>
      </c>
      <c r="F52" s="6">
        <f>F51+E52</f>
        <v>0.48000000000000026</v>
      </c>
    </row>
    <row r="53" spans="2:6" x14ac:dyDescent="0.3">
      <c r="B53" s="6">
        <v>49</v>
      </c>
      <c r="C53" s="35">
        <f>Input!I53</f>
        <v>0.42499999999999999</v>
      </c>
      <c r="E53" s="6">
        <v>0.01</v>
      </c>
      <c r="F53" s="6">
        <f>F52+E53</f>
        <v>0.49000000000000027</v>
      </c>
    </row>
    <row r="54" spans="2:6" x14ac:dyDescent="0.3">
      <c r="B54" s="6">
        <v>50</v>
      </c>
      <c r="C54" s="35">
        <f>Input!I54</f>
        <v>0.52</v>
      </c>
      <c r="E54" s="6">
        <v>0.01</v>
      </c>
      <c r="F54" s="6">
        <f>F53+E54</f>
        <v>0.50000000000000022</v>
      </c>
    </row>
    <row r="55" spans="2:6" x14ac:dyDescent="0.3">
      <c r="B55" s="6">
        <v>51</v>
      </c>
      <c r="C55" s="35">
        <f>Input!I55</f>
        <v>0.27</v>
      </c>
      <c r="E55" s="6">
        <v>0.01</v>
      </c>
      <c r="F55" s="6">
        <f>F54+E55</f>
        <v>0.51000000000000023</v>
      </c>
    </row>
    <row r="56" spans="2:6" x14ac:dyDescent="0.3">
      <c r="B56" s="6">
        <v>52</v>
      </c>
      <c r="C56" s="35">
        <f>Input!I56</f>
        <v>0.33399999999999996</v>
      </c>
      <c r="E56" s="6">
        <v>0.01</v>
      </c>
      <c r="F56" s="6">
        <f>F55+E56</f>
        <v>0.52000000000000024</v>
      </c>
    </row>
    <row r="57" spans="2:6" x14ac:dyDescent="0.3">
      <c r="B57" s="6">
        <v>53</v>
      </c>
      <c r="C57" s="35" t="e">
        <f>Input!I57</f>
        <v>#DIV/0!</v>
      </c>
      <c r="E57" s="6">
        <v>0.01</v>
      </c>
      <c r="F57" s="6">
        <f>F56+E57</f>
        <v>0.53000000000000025</v>
      </c>
    </row>
    <row r="58" spans="2:6" x14ac:dyDescent="0.3">
      <c r="B58" s="6">
        <v>54</v>
      </c>
      <c r="C58" s="35" t="e">
        <f>Input!I58</f>
        <v>#DIV/0!</v>
      </c>
      <c r="E58" s="6">
        <v>0.01</v>
      </c>
      <c r="F58" s="6">
        <f>F57+E58</f>
        <v>0.54000000000000026</v>
      </c>
    </row>
    <row r="59" spans="2:6" x14ac:dyDescent="0.3">
      <c r="B59" s="6">
        <v>55</v>
      </c>
      <c r="C59" s="35" t="e">
        <f>Input!I59</f>
        <v>#DIV/0!</v>
      </c>
      <c r="E59" s="6">
        <v>0.01</v>
      </c>
      <c r="F59" s="6">
        <f>F58+E59</f>
        <v>0.55000000000000027</v>
      </c>
    </row>
    <row r="60" spans="2:6" x14ac:dyDescent="0.3">
      <c r="B60" s="6">
        <v>56</v>
      </c>
      <c r="C60" s="35" t="e">
        <f>Input!I60</f>
        <v>#DIV/0!</v>
      </c>
      <c r="E60" s="6">
        <v>0.01</v>
      </c>
      <c r="F60" s="6">
        <f>F59+E60</f>
        <v>0.56000000000000028</v>
      </c>
    </row>
    <row r="61" spans="2:6" x14ac:dyDescent="0.3">
      <c r="B61" s="6">
        <v>57</v>
      </c>
      <c r="C61" s="35">
        <f>Input!I61</f>
        <v>0.7</v>
      </c>
      <c r="E61" s="6">
        <v>0.01</v>
      </c>
      <c r="F61" s="6">
        <f>F60+E61</f>
        <v>0.57000000000000028</v>
      </c>
    </row>
    <row r="62" spans="2:6" x14ac:dyDescent="0.3">
      <c r="B62" s="6">
        <v>58</v>
      </c>
      <c r="C62" s="35" t="e">
        <f>Input!I62</f>
        <v>#DIV/0!</v>
      </c>
      <c r="E62" s="6">
        <v>0.01</v>
      </c>
      <c r="F62" s="6">
        <f>F61+E62</f>
        <v>0.58000000000000029</v>
      </c>
    </row>
    <row r="63" spans="2:6" x14ac:dyDescent="0.3">
      <c r="B63" s="6">
        <v>59</v>
      </c>
      <c r="C63" s="35" t="e">
        <f>Input!I63</f>
        <v>#DIV/0!</v>
      </c>
      <c r="E63" s="6">
        <v>0.01</v>
      </c>
      <c r="F63" s="6">
        <f>F62+E63</f>
        <v>0.5900000000000003</v>
      </c>
    </row>
    <row r="64" spans="2:6" x14ac:dyDescent="0.3">
      <c r="B64" s="6">
        <v>60</v>
      </c>
      <c r="C64" s="35" t="e">
        <f>Input!I64</f>
        <v>#DIV/0!</v>
      </c>
      <c r="E64" s="6">
        <v>0.01</v>
      </c>
      <c r="F64" s="6">
        <f>F63+E64</f>
        <v>0.60000000000000031</v>
      </c>
    </row>
    <row r="65" spans="2:6" x14ac:dyDescent="0.3">
      <c r="B65" s="6">
        <v>61</v>
      </c>
      <c r="C65" s="35" t="e">
        <f>Input!I65</f>
        <v>#DIV/0!</v>
      </c>
      <c r="E65" s="6">
        <v>0.01</v>
      </c>
      <c r="F65" s="6">
        <f>F64+E65</f>
        <v>0.61000000000000032</v>
      </c>
    </row>
    <row r="66" spans="2:6" x14ac:dyDescent="0.3">
      <c r="B66" s="6">
        <v>62</v>
      </c>
      <c r="C66" s="35" t="e">
        <f>Input!I66</f>
        <v>#DIV/0!</v>
      </c>
      <c r="E66" s="6">
        <v>0.01</v>
      </c>
      <c r="F66" s="6">
        <f>F65+E66</f>
        <v>0.62000000000000033</v>
      </c>
    </row>
    <row r="67" spans="2:6" x14ac:dyDescent="0.3">
      <c r="B67" s="6">
        <v>63</v>
      </c>
      <c r="C67" s="35">
        <f>Input!I67</f>
        <v>0.57000000000000006</v>
      </c>
      <c r="E67" s="6">
        <v>0.01</v>
      </c>
      <c r="F67" s="6">
        <f>F66+E67</f>
        <v>0.63000000000000034</v>
      </c>
    </row>
    <row r="68" spans="2:6" x14ac:dyDescent="0.3">
      <c r="B68" s="6">
        <v>64</v>
      </c>
      <c r="C68" s="35">
        <f>Input!I68</f>
        <v>0.36</v>
      </c>
      <c r="D68" s="10"/>
      <c r="E68" s="6">
        <v>0.02</v>
      </c>
      <c r="F68" s="6">
        <f>F67+E68</f>
        <v>0.65000000000000036</v>
      </c>
    </row>
    <row r="69" spans="2:6" x14ac:dyDescent="0.3">
      <c r="B69" s="6">
        <v>65</v>
      </c>
      <c r="C69" s="35">
        <f>Input!I69</f>
        <v>0.67</v>
      </c>
      <c r="E69" s="6">
        <v>0.02</v>
      </c>
      <c r="F69" s="6">
        <f>F68+E69</f>
        <v>0.67000000000000037</v>
      </c>
    </row>
    <row r="70" spans="2:6" x14ac:dyDescent="0.3">
      <c r="B70" s="6">
        <v>66</v>
      </c>
      <c r="C70" s="35" t="e">
        <f>Input!I70</f>
        <v>#DIV/0!</v>
      </c>
      <c r="E70" s="6">
        <v>0.02</v>
      </c>
      <c r="F70" s="6">
        <f>F69+E70</f>
        <v>0.69000000000000039</v>
      </c>
    </row>
    <row r="71" spans="2:6" x14ac:dyDescent="0.3">
      <c r="B71" s="6">
        <v>67</v>
      </c>
      <c r="C71" s="35" t="e">
        <f>Input!I71</f>
        <v>#DIV/0!</v>
      </c>
      <c r="E71" s="6">
        <v>0.02</v>
      </c>
      <c r="F71" s="6">
        <f>F70+E71</f>
        <v>0.71000000000000041</v>
      </c>
    </row>
    <row r="72" spans="2:6" x14ac:dyDescent="0.3">
      <c r="B72" s="6">
        <v>68</v>
      </c>
      <c r="C72" s="35" t="e">
        <f>Input!I72</f>
        <v>#DIV/0!</v>
      </c>
      <c r="E72" s="6">
        <v>0.02</v>
      </c>
      <c r="F72" s="6">
        <f>F71+E72</f>
        <v>0.73000000000000043</v>
      </c>
    </row>
    <row r="73" spans="2:6" x14ac:dyDescent="0.3">
      <c r="B73" s="6">
        <v>69</v>
      </c>
      <c r="C73" s="35" t="e">
        <f>Input!I73</f>
        <v>#DIV/0!</v>
      </c>
      <c r="E73" s="6">
        <v>0.02</v>
      </c>
      <c r="F73" s="6">
        <f>F72+E73</f>
        <v>0.75000000000000044</v>
      </c>
    </row>
    <row r="74" spans="2:6" x14ac:dyDescent="0.3">
      <c r="B74" s="6">
        <v>70</v>
      </c>
      <c r="C74" s="35" t="e">
        <f>Input!I74</f>
        <v>#DIV/0!</v>
      </c>
      <c r="E74" s="6">
        <v>0.02</v>
      </c>
      <c r="F74" s="6">
        <f>F73+E74</f>
        <v>0.77000000000000046</v>
      </c>
    </row>
    <row r="75" spans="2:6" x14ac:dyDescent="0.3">
      <c r="B75" s="6">
        <v>71</v>
      </c>
      <c r="C75" s="35">
        <f>Input!I75</f>
        <v>0.4</v>
      </c>
      <c r="E75" s="6">
        <v>0.02</v>
      </c>
      <c r="F75" s="6">
        <f>F74+E75</f>
        <v>0.79000000000000048</v>
      </c>
    </row>
    <row r="76" spans="2:6" x14ac:dyDescent="0.3">
      <c r="B76" s="6">
        <v>72</v>
      </c>
      <c r="C76" s="35">
        <f>Input!I76</f>
        <v>0.39200000000000002</v>
      </c>
      <c r="E76" s="6">
        <v>0.02</v>
      </c>
      <c r="F76" s="6">
        <f>F75+E76</f>
        <v>0.8100000000000005</v>
      </c>
    </row>
    <row r="77" spans="2:6" x14ac:dyDescent="0.3">
      <c r="B77" s="6">
        <v>73</v>
      </c>
      <c r="C77" s="35">
        <f>Input!I77</f>
        <v>0.59599999999999997</v>
      </c>
      <c r="E77" s="6">
        <v>0.02</v>
      </c>
      <c r="F77" s="6">
        <f>F76+E77</f>
        <v>0.83000000000000052</v>
      </c>
    </row>
    <row r="78" spans="2:6" x14ac:dyDescent="0.3">
      <c r="B78" s="6">
        <v>74</v>
      </c>
      <c r="C78" s="35" t="e">
        <f>Input!I78</f>
        <v>#DIV/0!</v>
      </c>
      <c r="E78" s="6">
        <v>0.03</v>
      </c>
      <c r="F78" s="6">
        <f>F77+E78</f>
        <v>0.86000000000000054</v>
      </c>
    </row>
    <row r="79" spans="2:6" x14ac:dyDescent="0.3">
      <c r="B79" s="6">
        <v>75</v>
      </c>
      <c r="C79" s="35">
        <f>Input!I79</f>
        <v>0.91</v>
      </c>
      <c r="E79" s="6">
        <v>0.03</v>
      </c>
      <c r="F79" s="6">
        <f>F78+E79</f>
        <v>0.89000000000000057</v>
      </c>
    </row>
    <row r="80" spans="2:6" x14ac:dyDescent="0.3">
      <c r="B80" s="6">
        <v>76</v>
      </c>
      <c r="C80" s="35">
        <f>Input!I80</f>
        <v>0.84285714285714264</v>
      </c>
      <c r="E80" s="6">
        <v>0.03</v>
      </c>
      <c r="F80" s="6">
        <f>F79+E80</f>
        <v>0.9200000000000006</v>
      </c>
    </row>
    <row r="81" spans="2:6" x14ac:dyDescent="0.3">
      <c r="B81" s="6">
        <v>77</v>
      </c>
      <c r="C81" s="35">
        <f>Input!I81</f>
        <v>0.98</v>
      </c>
      <c r="E81" s="6">
        <v>0.03</v>
      </c>
      <c r="F81" s="6">
        <f>F80+E81</f>
        <v>0.95000000000000062</v>
      </c>
    </row>
    <row r="82" spans="2:6" x14ac:dyDescent="0.3">
      <c r="B82" s="6">
        <v>78</v>
      </c>
      <c r="C82" s="35">
        <f>Input!I82</f>
        <v>0.50749999999999995</v>
      </c>
      <c r="E82" s="6">
        <v>0.04</v>
      </c>
      <c r="F82" s="6">
        <f>F81+E82</f>
        <v>0.99000000000000066</v>
      </c>
    </row>
    <row r="83" spans="2:6" x14ac:dyDescent="0.3">
      <c r="B83" s="6">
        <v>79</v>
      </c>
      <c r="C83" s="35">
        <f>Input!I83</f>
        <v>0.84499999999999997</v>
      </c>
      <c r="E83" s="6">
        <v>0.04</v>
      </c>
      <c r="F83" s="6">
        <f>F82+E83</f>
        <v>1.0300000000000007</v>
      </c>
    </row>
    <row r="84" spans="2:6" x14ac:dyDescent="0.3">
      <c r="B84" s="6">
        <v>80</v>
      </c>
      <c r="C84" s="35">
        <f>Input!I84</f>
        <v>0.60133333333333339</v>
      </c>
      <c r="E84" s="6">
        <v>0.04</v>
      </c>
      <c r="F84" s="6">
        <f>F83+E84</f>
        <v>1.0700000000000007</v>
      </c>
    </row>
    <row r="85" spans="2:6" x14ac:dyDescent="0.3">
      <c r="B85" s="6">
        <v>81</v>
      </c>
      <c r="C85" s="35">
        <f>Input!I85</f>
        <v>1.24</v>
      </c>
      <c r="E85" s="6">
        <v>0.05</v>
      </c>
      <c r="F85" s="6">
        <f>F84+E85</f>
        <v>1.1200000000000008</v>
      </c>
    </row>
    <row r="86" spans="2:6" x14ac:dyDescent="0.3">
      <c r="B86" s="6">
        <v>82</v>
      </c>
      <c r="C86" s="35">
        <f>Input!I86</f>
        <v>1.2949999999999999</v>
      </c>
      <c r="D86" s="10"/>
      <c r="E86" s="6">
        <v>0.05</v>
      </c>
      <c r="F86" s="6">
        <f>F85+E86</f>
        <v>1.1700000000000008</v>
      </c>
    </row>
    <row r="87" spans="2:6" x14ac:dyDescent="0.3">
      <c r="B87" s="6">
        <v>83</v>
      </c>
      <c r="C87" s="35">
        <f>Input!I87</f>
        <v>0.63444444444444459</v>
      </c>
      <c r="E87" s="6">
        <v>0.06</v>
      </c>
      <c r="F87" s="6">
        <f>F86+E87</f>
        <v>1.2300000000000009</v>
      </c>
    </row>
    <row r="88" spans="2:6" x14ac:dyDescent="0.3">
      <c r="B88" s="6">
        <v>84</v>
      </c>
      <c r="C88" s="35">
        <f>Input!I88</f>
        <v>0.70400000000000007</v>
      </c>
      <c r="E88" s="6">
        <v>0.06</v>
      </c>
      <c r="F88" s="6">
        <f>F87+E88</f>
        <v>1.2900000000000009</v>
      </c>
    </row>
    <row r="89" spans="2:6" x14ac:dyDescent="0.3">
      <c r="B89" s="6">
        <v>85</v>
      </c>
      <c r="C89" s="35">
        <f>Input!I89</f>
        <v>1.5125000000000002</v>
      </c>
      <c r="E89" s="6">
        <v>7.0000000000000007E-2</v>
      </c>
      <c r="F89" s="6">
        <f>F88+E89</f>
        <v>1.360000000000001</v>
      </c>
    </row>
    <row r="90" spans="2:6" x14ac:dyDescent="0.3">
      <c r="B90" s="6">
        <v>86</v>
      </c>
      <c r="C90" s="35">
        <f>Input!I90</f>
        <v>0.82611111111111102</v>
      </c>
      <c r="E90" s="6">
        <v>7.0000000000000007E-2</v>
      </c>
      <c r="F90" s="6">
        <f>F89+E90</f>
        <v>1.430000000000001</v>
      </c>
    </row>
    <row r="91" spans="2:6" x14ac:dyDescent="0.3">
      <c r="B91" s="6">
        <v>87</v>
      </c>
      <c r="C91" s="35">
        <f>Input!I91</f>
        <v>1.88</v>
      </c>
      <c r="D91" s="10"/>
      <c r="E91" s="6">
        <v>0.08</v>
      </c>
      <c r="F91" s="6">
        <f>F90+E91</f>
        <v>1.5100000000000011</v>
      </c>
    </row>
    <row r="92" spans="2:6" x14ac:dyDescent="0.3">
      <c r="B92" s="6">
        <v>88</v>
      </c>
      <c r="C92" s="35">
        <f>Input!I92</f>
        <v>0.9107142857142857</v>
      </c>
      <c r="E92" s="6">
        <v>0.08</v>
      </c>
      <c r="F92" s="6">
        <f>F91+E92</f>
        <v>1.5900000000000012</v>
      </c>
    </row>
    <row r="93" spans="2:6" x14ac:dyDescent="0.3">
      <c r="B93" s="6">
        <v>89</v>
      </c>
      <c r="C93" s="35">
        <f>Input!I93</f>
        <v>0.91</v>
      </c>
      <c r="E93" s="6">
        <v>0.09</v>
      </c>
      <c r="F93" s="6">
        <f>F92+E93</f>
        <v>1.6800000000000013</v>
      </c>
    </row>
    <row r="94" spans="2:6" x14ac:dyDescent="0.3">
      <c r="B94" s="6">
        <v>90</v>
      </c>
      <c r="C94" s="35">
        <f>Input!I94</f>
        <v>1.578888888888889</v>
      </c>
      <c r="E94" s="6">
        <v>0.09</v>
      </c>
      <c r="F94" s="6">
        <f>F93+E94</f>
        <v>1.7700000000000014</v>
      </c>
    </row>
    <row r="95" spans="2:6" x14ac:dyDescent="0.3">
      <c r="B95" s="6">
        <v>91</v>
      </c>
      <c r="C95" s="35">
        <f>Input!I95</f>
        <v>1.0580000000000003</v>
      </c>
      <c r="D95" s="10"/>
      <c r="E95" s="6">
        <v>0.1</v>
      </c>
      <c r="F95" s="6">
        <f>F94+E95</f>
        <v>1.8700000000000014</v>
      </c>
    </row>
    <row r="96" spans="2:6" x14ac:dyDescent="0.3">
      <c r="B96" s="6">
        <v>92</v>
      </c>
      <c r="C96" s="35">
        <f>Input!I96</f>
        <v>2.9866666666666664</v>
      </c>
      <c r="E96" s="6">
        <v>0.1</v>
      </c>
      <c r="F96" s="6">
        <f>F95+E96</f>
        <v>1.9700000000000015</v>
      </c>
    </row>
    <row r="97" spans="2:6" x14ac:dyDescent="0.3">
      <c r="B97" s="6">
        <v>93</v>
      </c>
      <c r="C97" s="35">
        <f>Input!I97</f>
        <v>1.1916666666666664</v>
      </c>
      <c r="E97" s="6">
        <v>0.1</v>
      </c>
      <c r="F97" s="6">
        <f>F96+E97</f>
        <v>2.0700000000000016</v>
      </c>
    </row>
    <row r="98" spans="2:6" x14ac:dyDescent="0.3">
      <c r="B98" s="6">
        <v>94</v>
      </c>
      <c r="C98" s="35">
        <f>Input!I98</f>
        <v>2.8388888888888886</v>
      </c>
      <c r="E98" s="6">
        <v>0.15</v>
      </c>
      <c r="F98" s="6">
        <f>F97+E98</f>
        <v>2.2200000000000015</v>
      </c>
    </row>
    <row r="99" spans="2:6" x14ac:dyDescent="0.3">
      <c r="B99" s="6">
        <v>95</v>
      </c>
      <c r="C99" s="35">
        <f>Input!I99</f>
        <v>2.97</v>
      </c>
      <c r="E99" s="6">
        <v>0.15</v>
      </c>
      <c r="F99" s="6">
        <f>F98+E99</f>
        <v>2.3700000000000014</v>
      </c>
    </row>
    <row r="100" spans="2:6" x14ac:dyDescent="0.3">
      <c r="B100" s="6">
        <v>96</v>
      </c>
      <c r="C100" s="35">
        <f>Input!I100</f>
        <v>2.6283333333333334</v>
      </c>
      <c r="E100" s="6">
        <v>0.15</v>
      </c>
      <c r="F100" s="6">
        <f>F99+E100</f>
        <v>2.5200000000000014</v>
      </c>
    </row>
    <row r="101" spans="2:6" x14ac:dyDescent="0.3">
      <c r="B101" s="6">
        <v>97</v>
      </c>
      <c r="C101" s="35">
        <f>Input!I101</f>
        <v>2.6150000000000002</v>
      </c>
      <c r="E101" s="6">
        <v>0.2</v>
      </c>
      <c r="F101" s="6">
        <f>F100+E101</f>
        <v>2.7200000000000015</v>
      </c>
    </row>
    <row r="102" spans="2:6" x14ac:dyDescent="0.3">
      <c r="B102" s="6">
        <v>98</v>
      </c>
      <c r="C102" s="35">
        <f>Input!I102</f>
        <v>3.42</v>
      </c>
      <c r="E102" s="6">
        <v>0.2</v>
      </c>
      <c r="F102" s="6">
        <f>F101+E102</f>
        <v>2.9200000000000017</v>
      </c>
    </row>
    <row r="103" spans="2:6" x14ac:dyDescent="0.3">
      <c r="B103" s="6">
        <v>99</v>
      </c>
      <c r="C103" s="35">
        <f>Input!I103</f>
        <v>2.1500000000000004</v>
      </c>
      <c r="E103" s="6">
        <v>0.2</v>
      </c>
      <c r="F103" s="6">
        <f>F102+E103</f>
        <v>3.1200000000000019</v>
      </c>
    </row>
    <row r="104" spans="2:6" x14ac:dyDescent="0.3">
      <c r="B104" s="6">
        <v>100</v>
      </c>
      <c r="C104" s="35">
        <f>Input!I104</f>
        <v>3.7149999999999999</v>
      </c>
      <c r="E104" s="6">
        <v>0.22</v>
      </c>
      <c r="F104" s="6">
        <f>F103+E104</f>
        <v>3.3400000000000021</v>
      </c>
    </row>
    <row r="105" spans="2:6" x14ac:dyDescent="0.3">
      <c r="B105" s="6">
        <v>101</v>
      </c>
      <c r="C105" s="35">
        <f>Input!I105</f>
        <v>4.0233333333333334</v>
      </c>
      <c r="E105" s="6">
        <v>0.24</v>
      </c>
      <c r="F105" s="6">
        <f>F104+E105</f>
        <v>3.5800000000000018</v>
      </c>
    </row>
    <row r="106" spans="2:6" x14ac:dyDescent="0.3">
      <c r="B106" s="6">
        <v>102</v>
      </c>
      <c r="C106" s="35">
        <f>Input!I106</f>
        <v>1.99</v>
      </c>
      <c r="E106" s="6">
        <v>0.26</v>
      </c>
      <c r="F106" s="6">
        <f>F105+E106</f>
        <v>3.8400000000000016</v>
      </c>
    </row>
    <row r="107" spans="2:6" x14ac:dyDescent="0.3">
      <c r="B107" s="6">
        <v>103</v>
      </c>
      <c r="C107" s="35">
        <f>Input!I107</f>
        <v>4.66</v>
      </c>
      <c r="E107" s="6">
        <v>0.28000000000000003</v>
      </c>
      <c r="F107" s="6">
        <f>F106+E107</f>
        <v>4.1200000000000019</v>
      </c>
    </row>
    <row r="108" spans="2:6" x14ac:dyDescent="0.3">
      <c r="B108" s="6">
        <v>104</v>
      </c>
      <c r="C108" s="35" t="e">
        <f>Input!I108</f>
        <v>#DIV/0!</v>
      </c>
      <c r="E108" s="6">
        <v>0.3</v>
      </c>
      <c r="F108" s="6">
        <f>F107+E108</f>
        <v>4.4200000000000017</v>
      </c>
    </row>
    <row r="109" spans="2:6" x14ac:dyDescent="0.3">
      <c r="B109" s="6">
        <v>105</v>
      </c>
      <c r="C109" s="35">
        <f>Input!I109</f>
        <v>4.76</v>
      </c>
      <c r="E109" s="6">
        <v>0.32</v>
      </c>
      <c r="F109" s="6">
        <f>F108+E109</f>
        <v>4.740000000000002</v>
      </c>
    </row>
    <row r="110" spans="2:6" x14ac:dyDescent="0.3">
      <c r="B110" s="6">
        <v>106</v>
      </c>
      <c r="C110" s="35" t="e">
        <f>Input!I110</f>
        <v>#DIV/0!</v>
      </c>
      <c r="E110" s="6">
        <v>0.34</v>
      </c>
      <c r="F110" s="6">
        <f>F109+E110</f>
        <v>5.0800000000000018</v>
      </c>
    </row>
    <row r="111" spans="2:6" x14ac:dyDescent="0.3">
      <c r="B111" s="6">
        <v>107</v>
      </c>
      <c r="C111" s="35" t="e">
        <f>Input!I111</f>
        <v>#DIV/0!</v>
      </c>
      <c r="E111" s="6">
        <v>0.36</v>
      </c>
      <c r="F111" s="6">
        <f>F110+E111</f>
        <v>5.4400000000000022</v>
      </c>
    </row>
    <row r="112" spans="2:6" x14ac:dyDescent="0.3">
      <c r="B112" s="6">
        <v>108</v>
      </c>
      <c r="C112" s="35">
        <f>Input!I112</f>
        <v>6.57</v>
      </c>
      <c r="E112" s="6">
        <v>0.38</v>
      </c>
      <c r="F112" s="6">
        <f>F111+E112</f>
        <v>5.8200000000000021</v>
      </c>
    </row>
    <row r="113" spans="2:6" x14ac:dyDescent="0.3">
      <c r="B113" s="6">
        <v>109</v>
      </c>
      <c r="C113" s="35">
        <f>Input!I113</f>
        <v>7.3040000000000003</v>
      </c>
      <c r="E113" s="6">
        <v>0.4</v>
      </c>
      <c r="F113" s="6">
        <f>F112+E113</f>
        <v>6.2200000000000024</v>
      </c>
    </row>
    <row r="114" spans="2:6" x14ac:dyDescent="0.3">
      <c r="B114" s="6">
        <v>110</v>
      </c>
      <c r="C114" s="35">
        <f>Input!I114</f>
        <v>7.47</v>
      </c>
      <c r="E114" s="6">
        <v>0.42</v>
      </c>
      <c r="F114" s="6">
        <f>F113+E114</f>
        <v>6.6400000000000023</v>
      </c>
    </row>
    <row r="115" spans="2:6" x14ac:dyDescent="0.3">
      <c r="B115" s="6">
        <v>111</v>
      </c>
      <c r="C115" s="35">
        <f>Input!I115</f>
        <v>4.99</v>
      </c>
      <c r="E115" s="6">
        <v>0.44</v>
      </c>
      <c r="F115" s="6">
        <f>F114+E115</f>
        <v>7.0800000000000027</v>
      </c>
    </row>
    <row r="116" spans="2:6" x14ac:dyDescent="0.3">
      <c r="B116" s="6">
        <v>112</v>
      </c>
      <c r="C116" s="35">
        <f>Input!I116</f>
        <v>7.68</v>
      </c>
      <c r="E116" s="6">
        <v>0.46</v>
      </c>
      <c r="F116" s="6">
        <f>F115+E116</f>
        <v>7.5400000000000027</v>
      </c>
    </row>
    <row r="117" spans="2:6" x14ac:dyDescent="0.3">
      <c r="B117" s="6">
        <v>113</v>
      </c>
      <c r="C117" s="35">
        <f>Input!I117</f>
        <v>8.02</v>
      </c>
      <c r="E117" s="6">
        <v>0.48</v>
      </c>
      <c r="F117" s="6">
        <f>F116+E117</f>
        <v>8.0200000000000031</v>
      </c>
    </row>
    <row r="118" spans="2:6" x14ac:dyDescent="0.3">
      <c r="B118" s="6">
        <v>114</v>
      </c>
      <c r="C118" s="35">
        <f>Input!I118</f>
        <v>8.3666666666666671</v>
      </c>
      <c r="E118" s="6">
        <v>0.5</v>
      </c>
      <c r="F118" s="6">
        <f>F117+E118</f>
        <v>8.5200000000000031</v>
      </c>
    </row>
    <row r="119" spans="2:6" x14ac:dyDescent="0.3">
      <c r="B119" s="6">
        <v>115</v>
      </c>
      <c r="C119" s="35">
        <f>Input!I119</f>
        <v>4.2850000000000001</v>
      </c>
      <c r="E119" s="6">
        <v>0.52</v>
      </c>
      <c r="F119" s="6">
        <f>F118+E119</f>
        <v>9.0400000000000027</v>
      </c>
    </row>
    <row r="120" spans="2:6" x14ac:dyDescent="0.3">
      <c r="B120" s="6">
        <v>116</v>
      </c>
      <c r="C120" s="35" t="e">
        <f>Input!I120</f>
        <v>#DIV/0!</v>
      </c>
      <c r="E120" s="6">
        <v>0.54</v>
      </c>
      <c r="F120" s="6">
        <f>F119+E120</f>
        <v>9.5800000000000018</v>
      </c>
    </row>
    <row r="121" spans="2:6" x14ac:dyDescent="0.3">
      <c r="B121" s="6">
        <v>117</v>
      </c>
      <c r="C121" s="35">
        <f>Input!I121</f>
        <v>4.8100000000000005</v>
      </c>
      <c r="E121" s="6">
        <v>0.56000000000000005</v>
      </c>
      <c r="F121" s="6">
        <f>F120+E121</f>
        <v>10.140000000000002</v>
      </c>
    </row>
    <row r="122" spans="2:6" x14ac:dyDescent="0.3">
      <c r="B122" s="6">
        <v>118</v>
      </c>
      <c r="C122" s="35">
        <f>Input!I122</f>
        <v>5.12</v>
      </c>
      <c r="E122" s="6">
        <v>0.57999999999999996</v>
      </c>
      <c r="F122" s="6">
        <f>F121+E122</f>
        <v>10.720000000000002</v>
      </c>
    </row>
    <row r="123" spans="2:6" x14ac:dyDescent="0.3">
      <c r="B123" s="6">
        <v>119</v>
      </c>
      <c r="C123" s="35" t="e">
        <f>Input!I123</f>
        <v>#DIV/0!</v>
      </c>
      <c r="E123" s="6">
        <v>0.6</v>
      </c>
      <c r="F123" s="6">
        <f>F122+E123</f>
        <v>11.320000000000002</v>
      </c>
    </row>
    <row r="124" spans="2:6" x14ac:dyDescent="0.3">
      <c r="B124" s="6">
        <v>120</v>
      </c>
      <c r="C124" s="35">
        <f>Input!I124</f>
        <v>9.94</v>
      </c>
      <c r="E124" s="6">
        <v>0.62</v>
      </c>
      <c r="F124" s="6">
        <f>F123+E124</f>
        <v>11.940000000000001</v>
      </c>
    </row>
    <row r="125" spans="2:6" x14ac:dyDescent="0.3">
      <c r="B125" s="6">
        <v>121</v>
      </c>
      <c r="C125" s="35">
        <f>Input!I125</f>
        <v>16.79</v>
      </c>
      <c r="E125" s="6">
        <v>0.64</v>
      </c>
      <c r="F125" s="6">
        <f>F124+E125</f>
        <v>12.580000000000002</v>
      </c>
    </row>
    <row r="126" spans="2:6" x14ac:dyDescent="0.3">
      <c r="B126" s="6">
        <v>122</v>
      </c>
      <c r="C126" s="35">
        <f>Input!I126</f>
        <v>9.7439999999999998</v>
      </c>
      <c r="E126" s="6">
        <v>0.66</v>
      </c>
      <c r="F126" s="6">
        <f>F125+E126</f>
        <v>13.240000000000002</v>
      </c>
    </row>
    <row r="127" spans="2:6" x14ac:dyDescent="0.3">
      <c r="B127" s="6">
        <v>123</v>
      </c>
      <c r="C127" s="35">
        <f>Input!I127</f>
        <v>10.129999999999999</v>
      </c>
      <c r="E127" s="6">
        <v>0.68</v>
      </c>
      <c r="F127" s="6">
        <f>F126+E127</f>
        <v>13.920000000000002</v>
      </c>
    </row>
    <row r="128" spans="2:6" x14ac:dyDescent="0.3">
      <c r="B128" s="6">
        <v>124</v>
      </c>
      <c r="C128" s="35">
        <f>Input!I128</f>
        <v>13.159999999999998</v>
      </c>
      <c r="E128" s="6">
        <v>0.7</v>
      </c>
      <c r="F128" s="6">
        <f>F127+E128</f>
        <v>14.620000000000001</v>
      </c>
    </row>
    <row r="129" spans="2:6" x14ac:dyDescent="0.3">
      <c r="B129" s="6">
        <v>125</v>
      </c>
      <c r="C129" s="35">
        <f>Input!I129</f>
        <v>12.793333333333331</v>
      </c>
      <c r="E129" s="6">
        <v>0.72</v>
      </c>
      <c r="F129" s="6">
        <f>F128+E129</f>
        <v>15.340000000000002</v>
      </c>
    </row>
    <row r="130" spans="2:6" x14ac:dyDescent="0.3">
      <c r="B130" s="6">
        <v>126</v>
      </c>
      <c r="C130" s="35">
        <f>Input!I130</f>
        <v>12.783333333333333</v>
      </c>
      <c r="E130" s="6">
        <v>0.75</v>
      </c>
      <c r="F130" s="6">
        <f>F129+E130</f>
        <v>16.090000000000003</v>
      </c>
    </row>
    <row r="131" spans="2:6" x14ac:dyDescent="0.3">
      <c r="B131" s="6">
        <v>127</v>
      </c>
      <c r="C131" s="35">
        <f>Input!I131</f>
        <v>12.272500000000001</v>
      </c>
      <c r="E131" s="6">
        <v>0.78</v>
      </c>
      <c r="F131" s="6">
        <f>F130+E131</f>
        <v>16.870000000000005</v>
      </c>
    </row>
    <row r="132" spans="2:6" x14ac:dyDescent="0.3">
      <c r="B132" s="6">
        <v>128</v>
      </c>
      <c r="C132" s="35">
        <f>Input!I132</f>
        <v>20.102499999999999</v>
      </c>
      <c r="E132" s="6">
        <v>0.81</v>
      </c>
      <c r="F132" s="6">
        <f>F131+E132</f>
        <v>17.680000000000003</v>
      </c>
    </row>
    <row r="133" spans="2:6" x14ac:dyDescent="0.3">
      <c r="B133" s="6">
        <v>129</v>
      </c>
      <c r="C133" s="35">
        <f>Input!I133</f>
        <v>20.76</v>
      </c>
      <c r="E133" s="6">
        <v>0.84</v>
      </c>
      <c r="F133" s="6">
        <f>F132+E133</f>
        <v>18.520000000000003</v>
      </c>
    </row>
    <row r="134" spans="2:6" x14ac:dyDescent="0.3">
      <c r="B134" s="6">
        <v>130</v>
      </c>
      <c r="C134" s="35">
        <f>Input!I134</f>
        <v>58.573999999999991</v>
      </c>
      <c r="E134" s="6">
        <v>0.95</v>
      </c>
      <c r="F134" s="6">
        <f>F133+E134</f>
        <v>19.470000000000002</v>
      </c>
    </row>
    <row r="135" spans="2:6" x14ac:dyDescent="0.3">
      <c r="B135" s="6">
        <v>131</v>
      </c>
      <c r="C135" s="35">
        <f>Input!I135</f>
        <v>22.314</v>
      </c>
      <c r="E135" s="6">
        <v>1.1000000000000001</v>
      </c>
      <c r="F135" s="6">
        <f>F134+E135</f>
        <v>20.570000000000004</v>
      </c>
    </row>
    <row r="136" spans="2:6" x14ac:dyDescent="0.3">
      <c r="B136" s="6">
        <v>132</v>
      </c>
      <c r="C136" s="35">
        <f>Input!I136</f>
        <v>18.690000000000001</v>
      </c>
      <c r="E136" s="6">
        <v>1.2</v>
      </c>
      <c r="F136" s="6">
        <f>F135+E136</f>
        <v>21.770000000000003</v>
      </c>
    </row>
    <row r="137" spans="2:6" x14ac:dyDescent="0.3">
      <c r="B137" s="6">
        <v>133</v>
      </c>
      <c r="C137" s="35" t="e">
        <f>Input!I137</f>
        <v>#DIV/0!</v>
      </c>
      <c r="E137" s="6">
        <v>1.3</v>
      </c>
      <c r="F137" s="6">
        <f>F136+E137</f>
        <v>23.070000000000004</v>
      </c>
    </row>
    <row r="138" spans="2:6" x14ac:dyDescent="0.3">
      <c r="B138" s="6">
        <v>134</v>
      </c>
      <c r="C138" s="35">
        <f>Input!I138</f>
        <v>30.938333333333336</v>
      </c>
      <c r="E138" s="6">
        <v>1.4</v>
      </c>
      <c r="F138" s="6">
        <f>F137+E138</f>
        <v>24.470000000000002</v>
      </c>
    </row>
    <row r="139" spans="2:6" x14ac:dyDescent="0.3">
      <c r="B139" s="6">
        <v>135</v>
      </c>
      <c r="C139" s="35">
        <f>Input!I139</f>
        <v>28.279999999999998</v>
      </c>
      <c r="E139" s="6">
        <v>1.5</v>
      </c>
      <c r="F139" s="6">
        <f>F138+E139</f>
        <v>25.970000000000002</v>
      </c>
    </row>
    <row r="140" spans="2:6" x14ac:dyDescent="0.3">
      <c r="B140" s="6">
        <v>136</v>
      </c>
      <c r="C140" s="35">
        <f>Input!I140</f>
        <v>24.38</v>
      </c>
      <c r="E140" s="6">
        <v>1.6</v>
      </c>
      <c r="F140" s="6">
        <f>F139+E140</f>
        <v>27.570000000000004</v>
      </c>
    </row>
    <row r="141" spans="2:6" x14ac:dyDescent="0.3">
      <c r="B141" s="6">
        <v>137</v>
      </c>
      <c r="C141" s="35">
        <f>Input!I141</f>
        <v>23.846666666666668</v>
      </c>
      <c r="E141" s="6">
        <v>1.7</v>
      </c>
      <c r="F141" s="6">
        <f>F140+E141</f>
        <v>29.270000000000003</v>
      </c>
    </row>
    <row r="142" spans="2:6" x14ac:dyDescent="0.3">
      <c r="B142" s="6">
        <v>138</v>
      </c>
      <c r="C142" s="35">
        <f>Input!I142</f>
        <v>29.2925</v>
      </c>
      <c r="E142" s="6">
        <v>1.8</v>
      </c>
      <c r="F142" s="6">
        <f>F141+E142</f>
        <v>31.070000000000004</v>
      </c>
    </row>
    <row r="143" spans="2:6" x14ac:dyDescent="0.3">
      <c r="B143" s="6">
        <v>139</v>
      </c>
      <c r="C143" s="35">
        <f>Input!I143</f>
        <v>32.021428571428565</v>
      </c>
      <c r="E143" s="6">
        <v>1.9</v>
      </c>
      <c r="F143" s="6">
        <f>F142+E143</f>
        <v>32.970000000000006</v>
      </c>
    </row>
    <row r="144" spans="2:6" x14ac:dyDescent="0.3">
      <c r="B144" s="6">
        <v>140</v>
      </c>
      <c r="C144" s="35">
        <f>Input!I144</f>
        <v>44.640000000000008</v>
      </c>
      <c r="E144" s="6">
        <v>2.1</v>
      </c>
      <c r="F144" s="6">
        <f>F143+E144</f>
        <v>35.070000000000007</v>
      </c>
    </row>
    <row r="145" spans="1:6" x14ac:dyDescent="0.3">
      <c r="B145" s="6">
        <v>141</v>
      </c>
      <c r="C145" s="35">
        <f>Input!I145</f>
        <v>35.633333333333333</v>
      </c>
      <c r="E145" s="6">
        <v>2.2000000000000002</v>
      </c>
      <c r="F145" s="6">
        <f>F144+E145</f>
        <v>37.27000000000001</v>
      </c>
    </row>
    <row r="146" spans="1:6" x14ac:dyDescent="0.3">
      <c r="B146" s="6">
        <v>142</v>
      </c>
      <c r="C146" s="35">
        <f>Input!I146</f>
        <v>35.792500000000004</v>
      </c>
      <c r="E146" s="6">
        <v>2.2999999999999998</v>
      </c>
      <c r="F146" s="6">
        <f>F145+E146</f>
        <v>39.570000000000007</v>
      </c>
    </row>
    <row r="147" spans="1:6" x14ac:dyDescent="0.3">
      <c r="A147" s="11"/>
      <c r="B147" s="11">
        <v>143</v>
      </c>
      <c r="C147" s="36">
        <f>Input!I147</f>
        <v>51.061428571428571</v>
      </c>
      <c r="D147" s="11"/>
      <c r="E147" s="6">
        <v>2.4</v>
      </c>
      <c r="F147" s="11">
        <f>F146+E147</f>
        <v>41.970000000000006</v>
      </c>
    </row>
    <row r="148" spans="1:6" x14ac:dyDescent="0.3">
      <c r="B148" s="6">
        <v>144</v>
      </c>
      <c r="C148" s="35">
        <f>Input!I148</f>
        <v>30.96</v>
      </c>
      <c r="E148" s="6">
        <v>2.5</v>
      </c>
      <c r="F148" s="6">
        <f>F147+E148</f>
        <v>44.470000000000006</v>
      </c>
    </row>
    <row r="149" spans="1:6" x14ac:dyDescent="0.3">
      <c r="B149" s="6">
        <v>145</v>
      </c>
      <c r="C149" s="35">
        <f>Input!I149</f>
        <v>35.313333333333333</v>
      </c>
      <c r="E149" s="6">
        <v>2.6</v>
      </c>
      <c r="F149" s="6">
        <f>F148+E149</f>
        <v>47.070000000000007</v>
      </c>
    </row>
    <row r="150" spans="1:6" x14ac:dyDescent="0.3">
      <c r="B150" s="6">
        <v>146</v>
      </c>
      <c r="C150" s="35">
        <f>Input!I150</f>
        <v>35.937142857142859</v>
      </c>
      <c r="E150" s="6">
        <v>2.7</v>
      </c>
      <c r="F150" s="6">
        <f>F149+E150</f>
        <v>49.77000000000001</v>
      </c>
    </row>
    <row r="151" spans="1:6" x14ac:dyDescent="0.3">
      <c r="B151" s="6">
        <v>147</v>
      </c>
      <c r="C151" s="35">
        <f>Input!I151</f>
        <v>42.932499999999997</v>
      </c>
      <c r="E151" s="6">
        <v>2.8</v>
      </c>
      <c r="F151" s="6">
        <f>F150+E151</f>
        <v>52.570000000000007</v>
      </c>
    </row>
    <row r="152" spans="1:6" x14ac:dyDescent="0.3">
      <c r="B152" s="6">
        <v>148</v>
      </c>
      <c r="C152" s="35">
        <f>Input!I152</f>
        <v>43.751428571428569</v>
      </c>
      <c r="E152" s="6">
        <v>2.9</v>
      </c>
      <c r="F152" s="6">
        <f>F151+E152</f>
        <v>55.470000000000006</v>
      </c>
    </row>
    <row r="153" spans="1:6" x14ac:dyDescent="0.3">
      <c r="B153" s="6">
        <v>149</v>
      </c>
      <c r="C153" s="35">
        <f>Input!I153</f>
        <v>62.613333333333337</v>
      </c>
      <c r="E153" s="6">
        <v>3</v>
      </c>
      <c r="F153" s="6">
        <f>F152+E153</f>
        <v>58.470000000000006</v>
      </c>
    </row>
    <row r="154" spans="1:6" x14ac:dyDescent="0.3">
      <c r="B154" s="6">
        <v>150</v>
      </c>
      <c r="C154" s="35">
        <f>Input!I154</f>
        <v>43.427777777777777</v>
      </c>
      <c r="E154" s="6">
        <v>3.1</v>
      </c>
      <c r="F154" s="6">
        <f>F153+E154</f>
        <v>61.570000000000007</v>
      </c>
    </row>
    <row r="155" spans="1:6" x14ac:dyDescent="0.3">
      <c r="B155" s="6">
        <v>151</v>
      </c>
      <c r="C155" s="35">
        <f>Input!I155</f>
        <v>46.225000000000009</v>
      </c>
      <c r="E155" s="6">
        <v>3.2</v>
      </c>
      <c r="F155" s="6">
        <f>F154+E155</f>
        <v>64.77000000000001</v>
      </c>
    </row>
    <row r="156" spans="1:6" x14ac:dyDescent="0.3">
      <c r="B156" s="6">
        <v>152</v>
      </c>
      <c r="C156" s="35">
        <f>Input!I156</f>
        <v>55.722857142857144</v>
      </c>
      <c r="E156" s="6">
        <v>3.3</v>
      </c>
      <c r="F156" s="6">
        <f>F155+E156</f>
        <v>68.070000000000007</v>
      </c>
    </row>
    <row r="157" spans="1:6" x14ac:dyDescent="0.3">
      <c r="B157" s="6">
        <v>153</v>
      </c>
      <c r="C157" s="35">
        <f>Input!I157</f>
        <v>61.07</v>
      </c>
      <c r="E157" s="6">
        <v>3.4</v>
      </c>
      <c r="F157" s="6">
        <f>F156+E157</f>
        <v>71.470000000000013</v>
      </c>
    </row>
    <row r="158" spans="1:6" x14ac:dyDescent="0.3">
      <c r="B158" s="6">
        <v>154</v>
      </c>
      <c r="C158" s="35">
        <f>Input!I158</f>
        <v>72.474000000000004</v>
      </c>
      <c r="E158" s="6">
        <v>3.5</v>
      </c>
      <c r="F158" s="6">
        <f>F157+E158</f>
        <v>74.970000000000013</v>
      </c>
    </row>
    <row r="159" spans="1:6" x14ac:dyDescent="0.3">
      <c r="B159" s="6">
        <v>155</v>
      </c>
      <c r="C159" s="35">
        <f>Input!I159</f>
        <v>74.17</v>
      </c>
      <c r="E159" s="6">
        <v>3.6</v>
      </c>
      <c r="F159" s="6">
        <f>F158+E159</f>
        <v>78.570000000000007</v>
      </c>
    </row>
    <row r="160" spans="1:6" x14ac:dyDescent="0.3">
      <c r="B160" s="6">
        <v>156</v>
      </c>
      <c r="C160" s="35">
        <f>Input!I160</f>
        <v>85.289999999999992</v>
      </c>
      <c r="E160" s="6">
        <v>3.7</v>
      </c>
      <c r="F160" s="6">
        <f>F159+E160</f>
        <v>82.27000000000001</v>
      </c>
    </row>
    <row r="161" spans="1:6" x14ac:dyDescent="0.3">
      <c r="B161" s="6">
        <v>157</v>
      </c>
      <c r="C161" s="35">
        <f>Input!I161</f>
        <v>88.344999999999999</v>
      </c>
      <c r="E161" s="6">
        <v>3.8</v>
      </c>
      <c r="F161" s="6">
        <f>F160+E161</f>
        <v>86.070000000000007</v>
      </c>
    </row>
    <row r="162" spans="1:6" x14ac:dyDescent="0.3">
      <c r="B162" s="6">
        <v>158</v>
      </c>
      <c r="C162" s="35">
        <f>Input!I162</f>
        <v>67.617999999999995</v>
      </c>
      <c r="E162" s="6">
        <v>3.9</v>
      </c>
      <c r="F162" s="6">
        <f>F161+E162</f>
        <v>89.970000000000013</v>
      </c>
    </row>
    <row r="163" spans="1:6" x14ac:dyDescent="0.3">
      <c r="B163" s="6">
        <v>159</v>
      </c>
      <c r="C163" s="35">
        <f>Input!I163</f>
        <v>91.296000000000006</v>
      </c>
      <c r="E163" s="6">
        <v>4</v>
      </c>
      <c r="F163" s="6">
        <f>F162+E163</f>
        <v>93.970000000000013</v>
      </c>
    </row>
    <row r="164" spans="1:6" x14ac:dyDescent="0.3">
      <c r="B164" s="6">
        <v>160</v>
      </c>
      <c r="C164" s="35">
        <f>Input!I164</f>
        <v>111.82000000000001</v>
      </c>
      <c r="E164" s="6">
        <v>4.0999999999999996</v>
      </c>
      <c r="F164" s="6">
        <f>F163+E164</f>
        <v>98.070000000000007</v>
      </c>
    </row>
    <row r="165" spans="1:6" x14ac:dyDescent="0.3">
      <c r="B165" s="6">
        <v>161</v>
      </c>
      <c r="C165" s="35">
        <f>Input!I165</f>
        <v>96.467272727272714</v>
      </c>
      <c r="E165" s="6">
        <v>4.2</v>
      </c>
      <c r="F165" s="6">
        <f>F164+E165</f>
        <v>102.27000000000001</v>
      </c>
    </row>
    <row r="166" spans="1:6" x14ac:dyDescent="0.3">
      <c r="B166" s="6">
        <v>162</v>
      </c>
      <c r="C166" s="35">
        <f>Input!I166</f>
        <v>139.42200000000003</v>
      </c>
      <c r="E166" s="6">
        <v>4.3</v>
      </c>
      <c r="F166" s="6">
        <f>F165+E166</f>
        <v>106.57000000000001</v>
      </c>
    </row>
    <row r="167" spans="1:6" x14ac:dyDescent="0.3">
      <c r="B167" s="6">
        <v>163</v>
      </c>
      <c r="C167" s="35">
        <f>Input!I167</f>
        <v>134.33375000000001</v>
      </c>
      <c r="E167" s="6">
        <v>4.4000000000000004</v>
      </c>
      <c r="F167" s="6">
        <f>F166+E167</f>
        <v>110.97000000000001</v>
      </c>
    </row>
    <row r="168" spans="1:6" x14ac:dyDescent="0.3">
      <c r="B168" s="6">
        <v>164</v>
      </c>
      <c r="C168" s="35">
        <f>Input!I168</f>
        <v>98.086666666666659</v>
      </c>
      <c r="E168" s="6">
        <v>4.5</v>
      </c>
      <c r="F168" s="6">
        <f>F167+E168</f>
        <v>115.47000000000001</v>
      </c>
    </row>
    <row r="169" spans="1:6" x14ac:dyDescent="0.3">
      <c r="B169" s="6">
        <v>165</v>
      </c>
      <c r="C169" s="35">
        <f>Input!I169</f>
        <v>167.28800000000001</v>
      </c>
      <c r="E169" s="6">
        <v>4.5999999999999996</v>
      </c>
      <c r="F169" s="6">
        <f>F168+E169</f>
        <v>120.07000000000001</v>
      </c>
    </row>
    <row r="170" spans="1:6" x14ac:dyDescent="0.3">
      <c r="B170" s="6">
        <v>166</v>
      </c>
      <c r="C170" s="35">
        <f>Input!I170</f>
        <v>146.94714285714284</v>
      </c>
      <c r="E170" s="6">
        <v>4.7</v>
      </c>
      <c r="F170" s="6">
        <f>F169+E170</f>
        <v>124.77000000000001</v>
      </c>
    </row>
    <row r="171" spans="1:6" x14ac:dyDescent="0.3">
      <c r="B171" s="6">
        <v>167</v>
      </c>
      <c r="C171" s="35">
        <f>Input!I171</f>
        <v>155.54500000000002</v>
      </c>
      <c r="E171" s="6">
        <v>4.8</v>
      </c>
      <c r="F171" s="6">
        <f>F170+E171</f>
        <v>129.57000000000002</v>
      </c>
    </row>
    <row r="172" spans="1:6" x14ac:dyDescent="0.3">
      <c r="B172" s="6">
        <v>168</v>
      </c>
      <c r="C172" s="35">
        <f>Input!I172</f>
        <v>155.97333333333333</v>
      </c>
      <c r="E172" s="6">
        <v>4.9000000000000004</v>
      </c>
      <c r="F172" s="6">
        <f>F171+E172</f>
        <v>134.47000000000003</v>
      </c>
    </row>
    <row r="173" spans="1:6" x14ac:dyDescent="0.3">
      <c r="B173" s="6">
        <v>169</v>
      </c>
      <c r="C173" s="35">
        <f>Input!I173</f>
        <v>193.68363636363637</v>
      </c>
      <c r="E173" s="6">
        <v>5</v>
      </c>
      <c r="F173" s="6">
        <f>F172+E173</f>
        <v>139.47000000000003</v>
      </c>
    </row>
    <row r="174" spans="1:6" x14ac:dyDescent="0.3">
      <c r="B174" s="6">
        <v>170</v>
      </c>
      <c r="C174" s="35">
        <f>Input!I174</f>
        <v>157.05666666666667</v>
      </c>
      <c r="E174" s="6">
        <v>5.18</v>
      </c>
      <c r="F174" s="6">
        <f>F173+E174</f>
        <v>144.65000000000003</v>
      </c>
    </row>
    <row r="175" spans="1:6" x14ac:dyDescent="0.3">
      <c r="A175" s="10"/>
      <c r="B175" s="10">
        <v>171</v>
      </c>
      <c r="C175" s="37">
        <f>Input!I175</f>
        <v>208.96923076923076</v>
      </c>
      <c r="E175" s="6">
        <v>5.36</v>
      </c>
      <c r="F175" s="6">
        <f>F174+E175</f>
        <v>150.01000000000005</v>
      </c>
    </row>
    <row r="176" spans="1:6" x14ac:dyDescent="0.3">
      <c r="A176" s="10"/>
      <c r="B176" s="10">
        <v>172</v>
      </c>
      <c r="C176" s="37">
        <f>Input!I176</f>
        <v>150.48333333333335</v>
      </c>
      <c r="E176" s="6">
        <v>5.54</v>
      </c>
      <c r="F176" s="6">
        <f>F175+E176</f>
        <v>155.55000000000004</v>
      </c>
    </row>
    <row r="177" spans="1:6" x14ac:dyDescent="0.3">
      <c r="B177" s="6">
        <v>173</v>
      </c>
      <c r="C177" s="35">
        <f>Input!I177</f>
        <v>226.29684210526312</v>
      </c>
      <c r="E177" s="6">
        <v>5.72</v>
      </c>
      <c r="F177" s="6">
        <f>F176+E177</f>
        <v>161.27000000000004</v>
      </c>
    </row>
    <row r="178" spans="1:6" x14ac:dyDescent="0.3">
      <c r="B178" s="6">
        <v>174</v>
      </c>
      <c r="C178" s="35">
        <f>Input!I178</f>
        <v>164.43333333333331</v>
      </c>
      <c r="E178" s="6">
        <v>5.9</v>
      </c>
      <c r="F178" s="6">
        <f>F177+E178</f>
        <v>167.17000000000004</v>
      </c>
    </row>
    <row r="179" spans="1:6" x14ac:dyDescent="0.3">
      <c r="B179" s="6">
        <v>175</v>
      </c>
      <c r="C179" s="35">
        <f>Input!I179</f>
        <v>246.67199999999997</v>
      </c>
      <c r="E179" s="6">
        <v>6.08</v>
      </c>
      <c r="F179" s="6">
        <f>F178+E179</f>
        <v>173.25000000000006</v>
      </c>
    </row>
    <row r="180" spans="1:6" x14ac:dyDescent="0.3">
      <c r="B180" s="6">
        <v>176</v>
      </c>
      <c r="C180" s="35">
        <f>Input!I180</f>
        <v>270.85454545454547</v>
      </c>
      <c r="E180" s="6">
        <v>6.26</v>
      </c>
      <c r="F180" s="6">
        <f>F179+E180</f>
        <v>179.51000000000005</v>
      </c>
    </row>
    <row r="181" spans="1:6" x14ac:dyDescent="0.3">
      <c r="B181" s="6">
        <v>177</v>
      </c>
      <c r="C181" s="35">
        <f>Input!I181</f>
        <v>191.70666666666668</v>
      </c>
      <c r="E181" s="6">
        <v>6.44</v>
      </c>
      <c r="F181" s="6">
        <f>F180+E181</f>
        <v>185.95000000000005</v>
      </c>
    </row>
    <row r="182" spans="1:6" x14ac:dyDescent="0.3">
      <c r="B182" s="6">
        <v>178</v>
      </c>
      <c r="C182" s="35">
        <f>Input!I182</f>
        <v>214.36923076923074</v>
      </c>
      <c r="E182" s="6">
        <v>6.62</v>
      </c>
      <c r="F182" s="6">
        <f>F181+E182</f>
        <v>192.57000000000005</v>
      </c>
    </row>
    <row r="183" spans="1:6" x14ac:dyDescent="0.3">
      <c r="B183" s="6">
        <v>179</v>
      </c>
      <c r="C183" s="35">
        <f>Input!I183</f>
        <v>248.08727272727276</v>
      </c>
      <c r="E183" s="6">
        <v>6.8</v>
      </c>
      <c r="F183" s="6">
        <f>F182+E183</f>
        <v>199.37000000000006</v>
      </c>
    </row>
    <row r="184" spans="1:6" x14ac:dyDescent="0.3">
      <c r="B184" s="6">
        <v>180</v>
      </c>
      <c r="C184" s="35">
        <f>Input!I184</f>
        <v>227.53500000000003</v>
      </c>
      <c r="E184" s="6">
        <v>6.98</v>
      </c>
      <c r="F184" s="6">
        <f>F183+E184</f>
        <v>206.35000000000005</v>
      </c>
    </row>
    <row r="185" spans="1:6" x14ac:dyDescent="0.3">
      <c r="B185" s="6">
        <v>181</v>
      </c>
      <c r="C185" s="35">
        <f>Input!I185</f>
        <v>271.05714285714288</v>
      </c>
      <c r="E185" s="6">
        <v>7.05</v>
      </c>
      <c r="F185" s="6">
        <f>F184+E185</f>
        <v>213.40000000000006</v>
      </c>
    </row>
    <row r="186" spans="1:6" x14ac:dyDescent="0.3">
      <c r="B186" s="6">
        <v>182</v>
      </c>
      <c r="C186" s="35">
        <f>Input!I186</f>
        <v>270.11692307692306</v>
      </c>
      <c r="E186" s="6">
        <v>7.1</v>
      </c>
      <c r="F186" s="6">
        <f>F185+E186</f>
        <v>220.50000000000006</v>
      </c>
    </row>
    <row r="187" spans="1:6" x14ac:dyDescent="0.3">
      <c r="A187" s="12"/>
      <c r="B187" s="12">
        <v>183</v>
      </c>
      <c r="C187" s="38">
        <f>Input!I187</f>
        <v>338.69411764705882</v>
      </c>
      <c r="D187" s="12"/>
      <c r="E187" s="12">
        <v>7.15</v>
      </c>
      <c r="F187" s="12">
        <f>F186+E187</f>
        <v>227.65000000000006</v>
      </c>
    </row>
    <row r="188" spans="1:6" x14ac:dyDescent="0.3">
      <c r="B188" s="6">
        <v>184</v>
      </c>
      <c r="C188" s="35">
        <f>Input!I188</f>
        <v>295.34909090909082</v>
      </c>
      <c r="E188" s="6">
        <v>7.2</v>
      </c>
      <c r="F188" s="6">
        <f>F187+E188</f>
        <v>234.85000000000005</v>
      </c>
    </row>
    <row r="189" spans="1:6" x14ac:dyDescent="0.3">
      <c r="B189" s="6">
        <v>185</v>
      </c>
      <c r="C189" s="35">
        <f>Input!I189</f>
        <v>346.32000000000005</v>
      </c>
      <c r="E189" s="6">
        <v>7.25</v>
      </c>
      <c r="F189" s="6">
        <f>F188+E189</f>
        <v>242.10000000000005</v>
      </c>
    </row>
    <row r="190" spans="1:6" x14ac:dyDescent="0.3">
      <c r="B190" s="6">
        <v>186</v>
      </c>
      <c r="C190" s="35">
        <f>Input!I190</f>
        <v>380.6</v>
      </c>
      <c r="E190" s="6">
        <v>7.3</v>
      </c>
      <c r="F190" s="6">
        <f>F189+E190</f>
        <v>249.40000000000006</v>
      </c>
    </row>
    <row r="191" spans="1:6" x14ac:dyDescent="0.3">
      <c r="B191" s="6">
        <v>187</v>
      </c>
      <c r="C191" s="35">
        <f>Input!I191</f>
        <v>300.90285714285716</v>
      </c>
      <c r="E191" s="6">
        <v>7.35</v>
      </c>
      <c r="F191" s="6">
        <f>F190+E191</f>
        <v>256.75000000000006</v>
      </c>
    </row>
    <row r="192" spans="1:6" x14ac:dyDescent="0.3">
      <c r="B192" s="6">
        <v>188</v>
      </c>
      <c r="C192" s="35">
        <f>Input!I192</f>
        <v>423.02</v>
      </c>
      <c r="E192" s="6">
        <v>7.4</v>
      </c>
      <c r="F192" s="6">
        <f>F191+E192</f>
        <v>264.15000000000003</v>
      </c>
    </row>
    <row r="193" spans="2:6" x14ac:dyDescent="0.3">
      <c r="B193" s="6">
        <v>189</v>
      </c>
      <c r="C193" s="35">
        <f>Input!I193</f>
        <v>488.68571428571431</v>
      </c>
      <c r="E193" s="6">
        <v>7.45</v>
      </c>
      <c r="F193" s="6">
        <f>F192+E193</f>
        <v>271.60000000000002</v>
      </c>
    </row>
    <row r="194" spans="2:6" x14ac:dyDescent="0.3">
      <c r="B194" s="6">
        <v>190</v>
      </c>
      <c r="C194" s="35">
        <f>Input!I194</f>
        <v>160.97599999999997</v>
      </c>
      <c r="E194" s="6">
        <v>7.5</v>
      </c>
      <c r="F194" s="6">
        <f>F193+E194</f>
        <v>279.10000000000002</v>
      </c>
    </row>
    <row r="195" spans="2:6" x14ac:dyDescent="0.3">
      <c r="B195" s="6">
        <v>191</v>
      </c>
      <c r="C195" s="35">
        <f>Input!I195</f>
        <v>391.38352941176475</v>
      </c>
      <c r="E195" s="6">
        <v>7.52</v>
      </c>
      <c r="F195" s="6">
        <f>F194+E195</f>
        <v>286.62</v>
      </c>
    </row>
    <row r="196" spans="2:6" x14ac:dyDescent="0.3">
      <c r="B196" s="6">
        <v>192</v>
      </c>
      <c r="C196" s="35">
        <f>Input!I196</f>
        <v>432.79200000000003</v>
      </c>
      <c r="E196" s="6">
        <v>7.54</v>
      </c>
      <c r="F196" s="6">
        <f>F195+E196</f>
        <v>294.16000000000003</v>
      </c>
    </row>
    <row r="197" spans="2:6" x14ac:dyDescent="0.3">
      <c r="B197" s="6">
        <v>193</v>
      </c>
      <c r="C197" s="35">
        <f>Input!I197</f>
        <v>345.66999999999996</v>
      </c>
      <c r="E197" s="6">
        <v>7.56</v>
      </c>
      <c r="F197" s="6">
        <f>F196+E197</f>
        <v>301.72000000000003</v>
      </c>
    </row>
    <row r="198" spans="2:6" x14ac:dyDescent="0.3">
      <c r="B198" s="6">
        <v>194</v>
      </c>
      <c r="C198" s="35">
        <f>Input!I198</f>
        <v>290.56</v>
      </c>
      <c r="E198" s="6">
        <v>7.58</v>
      </c>
      <c r="F198" s="6">
        <f>F197+E198</f>
        <v>309.3</v>
      </c>
    </row>
    <row r="199" spans="2:6" x14ac:dyDescent="0.3">
      <c r="B199" s="6">
        <v>195</v>
      </c>
      <c r="C199" s="35">
        <f>Input!I199</f>
        <v>263.64</v>
      </c>
      <c r="E199" s="6">
        <v>7.6</v>
      </c>
      <c r="F199" s="6">
        <f>F198+E199</f>
        <v>316.90000000000003</v>
      </c>
    </row>
    <row r="200" spans="2:6" x14ac:dyDescent="0.3">
      <c r="B200" s="6">
        <v>196</v>
      </c>
      <c r="C200" s="35">
        <f>Input!I200</f>
        <v>172.01066666666668</v>
      </c>
      <c r="E200" s="6">
        <v>7.62</v>
      </c>
      <c r="F200" s="6">
        <f>F199+E200</f>
        <v>324.52000000000004</v>
      </c>
    </row>
    <row r="201" spans="2:6" x14ac:dyDescent="0.3">
      <c r="B201" s="6">
        <v>197</v>
      </c>
      <c r="C201" s="35">
        <f>Input!I201</f>
        <v>333.85599999999999</v>
      </c>
      <c r="E201" s="6">
        <v>7.64</v>
      </c>
      <c r="F201" s="6">
        <f>F200+E201</f>
        <v>332.16</v>
      </c>
    </row>
    <row r="202" spans="2:6" x14ac:dyDescent="0.3">
      <c r="B202" s="6">
        <v>198</v>
      </c>
      <c r="C202" s="35">
        <f>Input!I202</f>
        <v>345.6094117647059</v>
      </c>
      <c r="E202" s="6">
        <v>7.66</v>
      </c>
      <c r="F202" s="6">
        <f>F201+E202</f>
        <v>339.82000000000005</v>
      </c>
    </row>
    <row r="203" spans="2:6" x14ac:dyDescent="0.3">
      <c r="B203" s="6">
        <v>199</v>
      </c>
      <c r="C203" s="35">
        <f>Input!I203</f>
        <v>412.77272727272737</v>
      </c>
      <c r="E203" s="6">
        <v>7.68</v>
      </c>
      <c r="F203" s="6">
        <f>F202+E203</f>
        <v>347.50000000000006</v>
      </c>
    </row>
    <row r="204" spans="2:6" x14ac:dyDescent="0.3">
      <c r="B204" s="6">
        <v>200</v>
      </c>
      <c r="C204" s="35">
        <f>Input!I204</f>
        <v>433.78666666666663</v>
      </c>
      <c r="E204" s="6">
        <v>7.7</v>
      </c>
      <c r="F204" s="6">
        <f>F203+E204</f>
        <v>355.20000000000005</v>
      </c>
    </row>
    <row r="205" spans="2:6" x14ac:dyDescent="0.3">
      <c r="B205" s="6">
        <v>201</v>
      </c>
      <c r="C205" s="35">
        <f>Input!I205</f>
        <v>349.40000000000003</v>
      </c>
      <c r="E205" s="6">
        <v>7.72</v>
      </c>
      <c r="F205" s="6">
        <f>F204+E205</f>
        <v>362.92000000000007</v>
      </c>
    </row>
    <row r="206" spans="2:6" x14ac:dyDescent="0.3">
      <c r="B206" s="6">
        <v>202</v>
      </c>
      <c r="C206" s="35">
        <f>Input!I206</f>
        <v>409.66588235294125</v>
      </c>
      <c r="E206" s="6">
        <v>7.7399999999999904</v>
      </c>
      <c r="F206" s="6">
        <f>F205+E206</f>
        <v>370.66000000000008</v>
      </c>
    </row>
    <row r="207" spans="2:6" x14ac:dyDescent="0.3">
      <c r="B207" s="6">
        <v>203</v>
      </c>
      <c r="C207" s="35">
        <f>Input!I207</f>
        <v>452.22400000000005</v>
      </c>
      <c r="E207" s="6">
        <v>7.75999999999999</v>
      </c>
      <c r="F207" s="6">
        <f>F206+E207</f>
        <v>378.42000000000007</v>
      </c>
    </row>
    <row r="208" spans="2:6" x14ac:dyDescent="0.3">
      <c r="B208" s="6">
        <v>204</v>
      </c>
      <c r="C208" s="35">
        <f>Input!I208</f>
        <v>418.58909090909088</v>
      </c>
      <c r="E208" s="6">
        <v>7.7799999999999896</v>
      </c>
      <c r="F208" s="6">
        <f>F207+E208</f>
        <v>386.20000000000005</v>
      </c>
    </row>
    <row r="209" spans="2:6" x14ac:dyDescent="0.3">
      <c r="B209" s="6">
        <v>205</v>
      </c>
      <c r="C209" s="35">
        <f>Input!I209</f>
        <v>230.03076923076924</v>
      </c>
      <c r="E209" s="6">
        <v>7.7999999999999901</v>
      </c>
      <c r="F209" s="6">
        <f>F208+E209</f>
        <v>394.00000000000006</v>
      </c>
    </row>
    <row r="210" spans="2:6" x14ac:dyDescent="0.3">
      <c r="B210" s="6">
        <v>206</v>
      </c>
      <c r="C210" s="35">
        <f>Input!I210</f>
        <v>452.25</v>
      </c>
      <c r="E210" s="6">
        <v>7.8199999999999896</v>
      </c>
      <c r="F210" s="6">
        <f>F209+E210</f>
        <v>401.82000000000005</v>
      </c>
    </row>
    <row r="211" spans="2:6" x14ac:dyDescent="0.3">
      <c r="B211" s="6">
        <v>207</v>
      </c>
      <c r="C211" s="35">
        <f>Input!I211</f>
        <v>331.95555555555558</v>
      </c>
      <c r="E211" s="6">
        <v>7.8399999999999901</v>
      </c>
      <c r="F211" s="6">
        <f>F210+E211</f>
        <v>409.66</v>
      </c>
    </row>
    <row r="212" spans="2:6" x14ac:dyDescent="0.3">
      <c r="B212" s="6">
        <v>208</v>
      </c>
      <c r="C212" s="35">
        <f>Input!I212</f>
        <v>273.24000000000007</v>
      </c>
      <c r="E212" s="6">
        <v>7.8599999999999897</v>
      </c>
      <c r="F212" s="6">
        <f>F211+E212</f>
        <v>417.52000000000004</v>
      </c>
    </row>
    <row r="213" spans="2:6" x14ac:dyDescent="0.3">
      <c r="B213" s="6">
        <v>209</v>
      </c>
      <c r="C213" s="35">
        <f>Input!I213</f>
        <v>321.36</v>
      </c>
      <c r="E213" s="6">
        <v>7.8799999999999901</v>
      </c>
      <c r="F213" s="6">
        <f>F212+E213</f>
        <v>425.40000000000003</v>
      </c>
    </row>
    <row r="214" spans="2:6" x14ac:dyDescent="0.3">
      <c r="B214" s="6">
        <v>210</v>
      </c>
      <c r="C214" s="35">
        <f>Input!I214</f>
        <v>206.66181818181821</v>
      </c>
      <c r="E214" s="6">
        <v>7.8999999999999897</v>
      </c>
      <c r="F214" s="6">
        <f>F213+E214</f>
        <v>433.3</v>
      </c>
    </row>
    <row r="215" spans="2:6" x14ac:dyDescent="0.3">
      <c r="B215" s="6">
        <v>211</v>
      </c>
      <c r="C215" s="35">
        <f>Input!I215</f>
        <v>277.68888888888887</v>
      </c>
      <c r="E215" s="6">
        <v>7.9199999999999902</v>
      </c>
      <c r="F215" s="6">
        <f>F214+E215</f>
        <v>441.22</v>
      </c>
    </row>
    <row r="216" spans="2:6" x14ac:dyDescent="0.3">
      <c r="B216" s="6">
        <v>212</v>
      </c>
      <c r="C216" s="35">
        <f>Input!I216</f>
        <v>349.2</v>
      </c>
      <c r="E216" s="6">
        <v>7.9399999999999897</v>
      </c>
      <c r="F216" s="6">
        <f>F215+E216</f>
        <v>449.16</v>
      </c>
    </row>
    <row r="217" spans="2:6" x14ac:dyDescent="0.3">
      <c r="B217" s="6">
        <v>213</v>
      </c>
      <c r="C217" s="35">
        <f>Input!I217</f>
        <v>371.56000000000006</v>
      </c>
      <c r="E217" s="6">
        <v>7.9599999999999902</v>
      </c>
      <c r="F217" s="6">
        <f>F216+E217</f>
        <v>457.12</v>
      </c>
    </row>
    <row r="218" spans="2:6" x14ac:dyDescent="0.3">
      <c r="B218" s="6">
        <v>214</v>
      </c>
      <c r="C218" s="35">
        <f>Input!I218</f>
        <v>279.92888888888888</v>
      </c>
      <c r="E218" s="6">
        <v>7.9799999999999898</v>
      </c>
      <c r="F218" s="6">
        <f>F217+E218</f>
        <v>465.1</v>
      </c>
    </row>
    <row r="219" spans="2:6" x14ac:dyDescent="0.3">
      <c r="B219" s="6">
        <v>215</v>
      </c>
      <c r="C219" s="35">
        <f>Input!I219</f>
        <v>355.02545454545452</v>
      </c>
      <c r="E219" s="6">
        <v>7.9999999999999902</v>
      </c>
      <c r="F219" s="6">
        <f>F218+E219</f>
        <v>473.1</v>
      </c>
    </row>
    <row r="220" spans="2:6" x14ac:dyDescent="0.3">
      <c r="B220" s="6">
        <v>216</v>
      </c>
      <c r="C220" s="35">
        <f>Input!I220</f>
        <v>345.29882352941183</v>
      </c>
      <c r="E220" s="6">
        <v>8.0199999999999907</v>
      </c>
      <c r="F220" s="6">
        <f>F219+E220</f>
        <v>481.12</v>
      </c>
    </row>
    <row r="221" spans="2:6" x14ac:dyDescent="0.3">
      <c r="B221" s="6">
        <v>217</v>
      </c>
      <c r="C221" s="35">
        <f>Input!I221</f>
        <v>234.60571428571424</v>
      </c>
      <c r="E221" s="6">
        <v>8.0399999999999903</v>
      </c>
      <c r="F221" s="6">
        <f>F220+E221</f>
        <v>489.15999999999997</v>
      </c>
    </row>
    <row r="222" spans="2:6" x14ac:dyDescent="0.3">
      <c r="B222" s="6">
        <v>218</v>
      </c>
      <c r="C222" s="35">
        <f>Input!I222</f>
        <v>418.85538461538459</v>
      </c>
      <c r="E222" s="6">
        <v>8.0599999999999898</v>
      </c>
      <c r="F222" s="6">
        <f>F221+E222</f>
        <v>497.21999999999997</v>
      </c>
    </row>
    <row r="223" spans="2:6" x14ac:dyDescent="0.3">
      <c r="B223" s="6">
        <v>219</v>
      </c>
      <c r="C223" s="35">
        <f>Input!I223</f>
        <v>334.52799999999991</v>
      </c>
      <c r="E223" s="6">
        <v>8.0799999999999894</v>
      </c>
      <c r="F223" s="6">
        <f>F222+E223</f>
        <v>505.29999999999995</v>
      </c>
    </row>
    <row r="224" spans="2:6" x14ac:dyDescent="0.3">
      <c r="B224" s="6">
        <v>220</v>
      </c>
      <c r="C224" s="35">
        <f>Input!I224</f>
        <v>422.92363636363638</v>
      </c>
      <c r="E224" s="6">
        <v>8.0999999999999908</v>
      </c>
      <c r="F224" s="6">
        <f>F223+E224</f>
        <v>513.4</v>
      </c>
    </row>
    <row r="225" spans="2:6" x14ac:dyDescent="0.3">
      <c r="B225" s="6">
        <v>221</v>
      </c>
      <c r="C225" s="35">
        <f>Input!I225</f>
        <v>385.4628571428571</v>
      </c>
      <c r="E225" s="6">
        <v>8.1199999999999903</v>
      </c>
      <c r="F225" s="6">
        <f>F224+E225</f>
        <v>521.52</v>
      </c>
    </row>
    <row r="226" spans="2:6" x14ac:dyDescent="0.3">
      <c r="B226" s="6">
        <v>222</v>
      </c>
      <c r="C226" s="35">
        <f>Input!I226</f>
        <v>297.57439999999997</v>
      </c>
      <c r="E226" s="6">
        <v>8.1399999999999899</v>
      </c>
      <c r="F226" s="6">
        <f>F225+E226</f>
        <v>529.66</v>
      </c>
    </row>
    <row r="227" spans="2:6" x14ac:dyDescent="0.3">
      <c r="B227" s="6">
        <v>223</v>
      </c>
      <c r="C227" s="35">
        <f>Input!I227</f>
        <v>336.55172413793105</v>
      </c>
      <c r="E227" s="6">
        <v>8.1599999999999895</v>
      </c>
      <c r="F227" s="6">
        <f>F226+E227</f>
        <v>537.81999999999994</v>
      </c>
    </row>
    <row r="228" spans="2:6" x14ac:dyDescent="0.3">
      <c r="B228" s="6">
        <v>224</v>
      </c>
      <c r="C228" s="35">
        <f>Input!I228</f>
        <v>375.55200000000002</v>
      </c>
      <c r="E228" s="6">
        <v>8.18</v>
      </c>
      <c r="F228" s="6">
        <f>F227+E228</f>
        <v>545.99999999999989</v>
      </c>
    </row>
    <row r="229" spans="2:6" x14ac:dyDescent="0.3">
      <c r="B229" s="6">
        <v>225</v>
      </c>
      <c r="C229" s="35">
        <f>Input!I229</f>
        <v>255.02476190476196</v>
      </c>
      <c r="E229" s="6">
        <v>8.1999999999999993</v>
      </c>
      <c r="F229" s="6">
        <f>F228+E229</f>
        <v>554.19999999999993</v>
      </c>
    </row>
    <row r="230" spans="2:6" x14ac:dyDescent="0.3">
      <c r="B230" s="6">
        <v>226</v>
      </c>
      <c r="C230" s="35">
        <f>Input!I230</f>
        <v>341.71259259259256</v>
      </c>
      <c r="E230" s="6">
        <v>8.2200000000000006</v>
      </c>
      <c r="F230" s="6">
        <f>F229+E230</f>
        <v>562.41999999999996</v>
      </c>
    </row>
    <row r="231" spans="2:6" x14ac:dyDescent="0.3">
      <c r="B231" s="6">
        <v>227</v>
      </c>
      <c r="C231" s="35">
        <f>Input!I231</f>
        <v>301.78461538461534</v>
      </c>
      <c r="E231" s="6">
        <v>8.24</v>
      </c>
      <c r="F231" s="6">
        <f>F230+E231</f>
        <v>570.66</v>
      </c>
    </row>
    <row r="232" spans="2:6" x14ac:dyDescent="0.3">
      <c r="B232" s="6">
        <v>228</v>
      </c>
      <c r="C232" s="35">
        <f>Input!I232</f>
        <v>242.34666666666666</v>
      </c>
      <c r="E232" s="6">
        <v>8.26</v>
      </c>
      <c r="F232" s="6">
        <f>F231+E232</f>
        <v>578.91999999999996</v>
      </c>
    </row>
    <row r="233" spans="2:6" x14ac:dyDescent="0.3">
      <c r="B233" s="6">
        <v>229</v>
      </c>
      <c r="C233" s="35">
        <f>Input!I233</f>
        <v>272.32</v>
      </c>
      <c r="E233" s="6">
        <v>8.2799999999999994</v>
      </c>
      <c r="F233" s="6">
        <f>F232+E233</f>
        <v>587.19999999999993</v>
      </c>
    </row>
    <row r="234" spans="2:6" x14ac:dyDescent="0.3">
      <c r="B234" s="6">
        <v>230</v>
      </c>
      <c r="C234" s="35">
        <f>Input!I234</f>
        <v>429.26545454545447</v>
      </c>
      <c r="E234" s="6">
        <v>8.3000000000000007</v>
      </c>
      <c r="F234" s="6">
        <f>F233+E234</f>
        <v>595.49999999999989</v>
      </c>
    </row>
    <row r="235" spans="2:6" x14ac:dyDescent="0.3">
      <c r="B235" s="6">
        <v>231</v>
      </c>
      <c r="C235" s="35">
        <f>Input!I235</f>
        <v>312.95999999999998</v>
      </c>
      <c r="E235" s="6">
        <v>10</v>
      </c>
      <c r="F235" s="6">
        <f>F234+E235</f>
        <v>605.49999999999989</v>
      </c>
    </row>
    <row r="236" spans="2:6" x14ac:dyDescent="0.3">
      <c r="B236" s="6">
        <v>232</v>
      </c>
      <c r="C236" s="35">
        <f>Input!I236</f>
        <v>313.14823529411768</v>
      </c>
      <c r="E236" s="6">
        <v>20</v>
      </c>
      <c r="F236" s="6">
        <f>F235+E236</f>
        <v>625.49999999999989</v>
      </c>
    </row>
    <row r="237" spans="2:6" x14ac:dyDescent="0.3">
      <c r="B237" s="6">
        <v>233</v>
      </c>
      <c r="C237" s="35">
        <f>Input!I237</f>
        <v>375.29599999999999</v>
      </c>
      <c r="E237" s="6">
        <v>30</v>
      </c>
      <c r="F237" s="6">
        <f>F236+E237</f>
        <v>655.49999999999989</v>
      </c>
    </row>
    <row r="238" spans="2:6" x14ac:dyDescent="0.3">
      <c r="B238" s="6">
        <v>234</v>
      </c>
      <c r="C238" s="35">
        <f>Input!I238</f>
        <v>324.38857142857142</v>
      </c>
      <c r="E238" s="6">
        <v>40</v>
      </c>
      <c r="F238" s="6">
        <f>F237+E238</f>
        <v>695.49999999999989</v>
      </c>
    </row>
    <row r="239" spans="2:6" x14ac:dyDescent="0.3">
      <c r="B239" s="6">
        <v>235</v>
      </c>
      <c r="C239" s="35">
        <f>Input!I239</f>
        <v>193.92000000000002</v>
      </c>
      <c r="E239" s="6">
        <v>60</v>
      </c>
      <c r="F239" s="6">
        <f>F238+E239</f>
        <v>755.49999999999989</v>
      </c>
    </row>
    <row r="240" spans="2:6" x14ac:dyDescent="0.3">
      <c r="B240" s="6">
        <v>236</v>
      </c>
      <c r="C240" s="35">
        <f>Input!I240</f>
        <v>49.493333333333332</v>
      </c>
      <c r="E240" s="6">
        <v>90</v>
      </c>
      <c r="F240" s="6">
        <f>F239+E240</f>
        <v>845.49999999999989</v>
      </c>
    </row>
    <row r="241" spans="2:6" x14ac:dyDescent="0.3">
      <c r="B241" s="6">
        <v>237</v>
      </c>
      <c r="C241" s="35">
        <f>Input!I241</f>
        <v>260.48</v>
      </c>
      <c r="E241" s="6">
        <v>120</v>
      </c>
      <c r="F241" s="6">
        <f>F240+E241</f>
        <v>965.49999999999989</v>
      </c>
    </row>
    <row r="242" spans="2:6" x14ac:dyDescent="0.3">
      <c r="B242" s="6">
        <v>238</v>
      </c>
      <c r="C242" s="35">
        <f>Input!I242</f>
        <v>465.92</v>
      </c>
      <c r="E242" s="6">
        <v>150</v>
      </c>
      <c r="F242" s="6">
        <f>F241+E242</f>
        <v>1115.5</v>
      </c>
    </row>
    <row r="243" spans="2:6" x14ac:dyDescent="0.3">
      <c r="B243" s="6">
        <v>239</v>
      </c>
      <c r="C243" s="35">
        <f>Input!I243</f>
        <v>158.72</v>
      </c>
      <c r="E243" s="6">
        <v>200</v>
      </c>
      <c r="F243" s="6">
        <f>F242+E243</f>
        <v>1315.5</v>
      </c>
    </row>
    <row r="244" spans="2:6" x14ac:dyDescent="0.3">
      <c r="B244" s="6">
        <v>240</v>
      </c>
      <c r="C244" s="35" t="e">
        <f>Input!I244</f>
        <v>#DIV/0!</v>
      </c>
      <c r="E244" s="6">
        <v>250</v>
      </c>
      <c r="F244" s="6">
        <f>F243+E244</f>
        <v>1565.5</v>
      </c>
    </row>
    <row r="245" spans="2:6" x14ac:dyDescent="0.3">
      <c r="B245" s="6">
        <v>241</v>
      </c>
      <c r="C245" s="35">
        <f>Input!I245</f>
        <v>634.88</v>
      </c>
      <c r="E245" s="6">
        <v>300</v>
      </c>
      <c r="F245" s="6">
        <f>F244+E245</f>
        <v>1865.5</v>
      </c>
    </row>
    <row r="246" spans="2:6" x14ac:dyDescent="0.3">
      <c r="B246" s="6">
        <v>242</v>
      </c>
      <c r="C246" s="35" t="e">
        <f>Input!I246</f>
        <v>#DIV/0!</v>
      </c>
      <c r="E246" s="6">
        <v>400</v>
      </c>
      <c r="F246" s="6">
        <f>F245+E246</f>
        <v>2265.5</v>
      </c>
    </row>
    <row r="247" spans="2:6" x14ac:dyDescent="0.3">
      <c r="B247" s="6">
        <v>243</v>
      </c>
      <c r="C247" s="35">
        <f>Input!I247</f>
        <v>373.95692307692303</v>
      </c>
      <c r="E247" s="6">
        <v>500</v>
      </c>
      <c r="F247" s="6">
        <f>F246+E247</f>
        <v>2765.5</v>
      </c>
    </row>
    <row r="248" spans="2:6" x14ac:dyDescent="0.3">
      <c r="B248" s="6">
        <v>244</v>
      </c>
      <c r="C248" s="35">
        <f>Input!I248</f>
        <v>207.36</v>
      </c>
      <c r="E248" s="6">
        <v>600</v>
      </c>
      <c r="F248" s="6">
        <f>F247+E248</f>
        <v>3365.5</v>
      </c>
    </row>
    <row r="249" spans="2:6" x14ac:dyDescent="0.3">
      <c r="B249" s="6">
        <v>245</v>
      </c>
      <c r="C249" s="35">
        <f>Input!I249</f>
        <v>384</v>
      </c>
      <c r="E249" s="6">
        <v>800</v>
      </c>
      <c r="F249" s="6">
        <f>F248+E249</f>
        <v>4165.5</v>
      </c>
    </row>
    <row r="250" spans="2:6" x14ac:dyDescent="0.3">
      <c r="B250" s="6">
        <v>246</v>
      </c>
      <c r="C250" s="35" t="e">
        <f>Input!I250</f>
        <v>#DIV/0!</v>
      </c>
      <c r="E250" s="6">
        <v>1000</v>
      </c>
      <c r="F250" s="6">
        <f>F249+E250</f>
        <v>5165.5</v>
      </c>
    </row>
    <row r="251" spans="2:6" x14ac:dyDescent="0.3">
      <c r="B251" s="6">
        <v>247</v>
      </c>
      <c r="C251" s="35" t="e">
        <f>Input!I251</f>
        <v>#DIV/0!</v>
      </c>
      <c r="E251" s="6">
        <v>1200</v>
      </c>
      <c r="F251" s="6">
        <f>F250+E251</f>
        <v>6365.5</v>
      </c>
    </row>
    <row r="252" spans="2:6" x14ac:dyDescent="0.3">
      <c r="B252" s="6">
        <v>248</v>
      </c>
      <c r="C252" s="35" t="e">
        <f>Input!I252</f>
        <v>#DIV/0!</v>
      </c>
      <c r="E252" s="6">
        <v>1600</v>
      </c>
      <c r="F252" s="6">
        <f>F251+E252</f>
        <v>7965.5</v>
      </c>
    </row>
    <row r="253" spans="2:6" x14ac:dyDescent="0.3">
      <c r="B253" s="6">
        <v>249</v>
      </c>
      <c r="C253" s="35" t="e">
        <f>Input!I253</f>
        <v>#DIV/0!</v>
      </c>
      <c r="E253" s="6">
        <v>2000</v>
      </c>
      <c r="F253" s="6">
        <f>F252+E253</f>
        <v>9965.5</v>
      </c>
    </row>
    <row r="254" spans="2:6" x14ac:dyDescent="0.3">
      <c r="B254" s="6">
        <v>250</v>
      </c>
      <c r="C254" s="35" t="e">
        <f>Input!I254</f>
        <v>#DIV/0!</v>
      </c>
      <c r="E254" s="6">
        <v>3000</v>
      </c>
      <c r="F254" s="6">
        <f>F253+E254</f>
        <v>12965.5</v>
      </c>
    </row>
    <row r="255" spans="2:6" x14ac:dyDescent="0.3">
      <c r="B255" s="6">
        <v>251</v>
      </c>
      <c r="C255" s="35" t="e">
        <f>Input!I255</f>
        <v>#DIV/0!</v>
      </c>
      <c r="E255" s="6">
        <v>5000</v>
      </c>
      <c r="F255" s="6">
        <f>F254+E255</f>
        <v>17965.5</v>
      </c>
    </row>
    <row r="256" spans="2:6" x14ac:dyDescent="0.3">
      <c r="B256" s="6">
        <v>252</v>
      </c>
      <c r="C256" s="35" t="e">
        <f>Input!I256</f>
        <v>#DIV/0!</v>
      </c>
      <c r="E256" s="6">
        <v>7000</v>
      </c>
      <c r="F256" s="6">
        <f>F255+E256</f>
        <v>24965.5</v>
      </c>
    </row>
    <row r="257" spans="2:6" x14ac:dyDescent="0.3">
      <c r="B257" s="6">
        <v>253</v>
      </c>
      <c r="C257" s="35" t="e">
        <f>Input!I257</f>
        <v>#DIV/0!</v>
      </c>
      <c r="E257" s="6">
        <v>12000</v>
      </c>
      <c r="F257" s="6">
        <f>F256+E257</f>
        <v>36965.5</v>
      </c>
    </row>
    <row r="258" spans="2:6" x14ac:dyDescent="0.3">
      <c r="B258" s="6">
        <v>254</v>
      </c>
      <c r="C258" s="35" t="e">
        <f>Input!I258</f>
        <v>#DIV/0!</v>
      </c>
      <c r="E258" s="6">
        <v>18000</v>
      </c>
      <c r="F258" s="6">
        <f>F257+E258</f>
        <v>54965.5</v>
      </c>
    </row>
    <row r="259" spans="2:6" x14ac:dyDescent="0.3">
      <c r="B259" s="6">
        <v>255</v>
      </c>
      <c r="C259" s="4">
        <v>83865.600000000006</v>
      </c>
      <c r="E259" s="6">
        <v>28000</v>
      </c>
      <c r="F259" s="6">
        <f>F258+E259</f>
        <v>82965.5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2:KM2170"/>
  <sheetViews>
    <sheetView topLeftCell="A94" workbookViewId="0">
      <selection activeCell="L124" sqref="L124"/>
    </sheetView>
  </sheetViews>
  <sheetFormatPr baseColWidth="10" defaultRowHeight="14.4" x14ac:dyDescent="0.3"/>
  <cols>
    <col min="1" max="1" width="4.77734375" customWidth="1"/>
    <col min="2" max="2" width="19.109375" customWidth="1"/>
    <col min="3" max="3" width="3.5546875" customWidth="1"/>
    <col min="4" max="6" width="8.109375" customWidth="1"/>
    <col min="9" max="121" width="11.5546875" style="3"/>
  </cols>
  <sheetData>
    <row r="2" spans="1:299" x14ac:dyDescent="0.3">
      <c r="B2" t="s">
        <v>7</v>
      </c>
      <c r="D2" t="s">
        <v>8</v>
      </c>
      <c r="E2" t="s">
        <v>9</v>
      </c>
      <c r="F2" t="s">
        <v>10</v>
      </c>
      <c r="H2">
        <v>2170</v>
      </c>
    </row>
    <row r="3" spans="1:299" x14ac:dyDescent="0.3">
      <c r="A3" s="7"/>
      <c r="B3" s="7"/>
    </row>
    <row r="4" spans="1:299" x14ac:dyDescent="0.3">
      <c r="A4" s="7"/>
      <c r="B4" t="s">
        <v>85</v>
      </c>
      <c r="D4">
        <v>122</v>
      </c>
      <c r="E4">
        <v>559</v>
      </c>
      <c r="F4">
        <v>38</v>
      </c>
      <c r="H4">
        <v>0</v>
      </c>
      <c r="I4" s="3">
        <f>AVERAGE(J4:XX4)</f>
        <v>4.8611111111111112E-3</v>
      </c>
      <c r="J4" s="3">
        <v>0</v>
      </c>
      <c r="K4" s="3">
        <v>0</v>
      </c>
      <c r="L4" s="3">
        <v>0</v>
      </c>
      <c r="M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0.28000000000000003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</v>
      </c>
      <c r="CB4" s="3">
        <v>0</v>
      </c>
      <c r="CC4" s="3">
        <v>0</v>
      </c>
      <c r="CD4" s="3">
        <v>0</v>
      </c>
      <c r="CE4" s="3">
        <v>0</v>
      </c>
      <c r="CF4" s="3">
        <v>0.28000000000000003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0.28000000000000003</v>
      </c>
      <c r="CP4" s="3">
        <v>0</v>
      </c>
      <c r="CQ4" s="3">
        <v>0</v>
      </c>
      <c r="CR4" s="3">
        <v>0</v>
      </c>
      <c r="CS4" s="3">
        <v>0</v>
      </c>
      <c r="CT4" s="3">
        <v>0</v>
      </c>
      <c r="CU4" s="3">
        <v>0</v>
      </c>
      <c r="CV4" s="3">
        <v>0</v>
      </c>
      <c r="CW4" s="3">
        <v>0</v>
      </c>
      <c r="CX4" s="3">
        <v>0</v>
      </c>
      <c r="CY4" s="3">
        <v>0</v>
      </c>
      <c r="CZ4" s="3">
        <v>0</v>
      </c>
      <c r="DA4" s="3">
        <v>0</v>
      </c>
      <c r="DB4" s="3">
        <v>0</v>
      </c>
      <c r="DC4" s="3">
        <v>0</v>
      </c>
      <c r="DD4" s="3">
        <v>0</v>
      </c>
      <c r="DE4" s="3">
        <v>0</v>
      </c>
      <c r="DF4" s="3">
        <v>0</v>
      </c>
      <c r="DG4" s="3">
        <v>0</v>
      </c>
      <c r="DH4" s="3">
        <v>0</v>
      </c>
      <c r="DI4" s="3">
        <v>0</v>
      </c>
      <c r="DJ4" s="3">
        <v>0</v>
      </c>
      <c r="DK4" s="3">
        <v>0</v>
      </c>
      <c r="DL4" s="3">
        <v>0</v>
      </c>
      <c r="DM4" s="3">
        <v>0</v>
      </c>
      <c r="DN4" s="3">
        <v>0</v>
      </c>
      <c r="DO4" s="3">
        <v>0</v>
      </c>
      <c r="DP4" s="3">
        <v>0</v>
      </c>
      <c r="DQ4" s="3">
        <v>0</v>
      </c>
      <c r="DR4">
        <v>0.28000000000000003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0.28000000000000003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</row>
    <row r="5" spans="1:299" x14ac:dyDescent="0.3">
      <c r="B5" t="s">
        <v>86</v>
      </c>
      <c r="D5">
        <v>144</v>
      </c>
      <c r="E5">
        <v>2103</v>
      </c>
      <c r="F5">
        <v>72</v>
      </c>
      <c r="H5">
        <v>1</v>
      </c>
      <c r="I5" s="3">
        <f>AVERAGE(J5:XX5)</f>
        <v>8.4536082474226792E-3</v>
      </c>
      <c r="J5" s="3">
        <v>0.01</v>
      </c>
      <c r="K5" s="3">
        <v>7.0000000000000007E-2</v>
      </c>
      <c r="L5" s="3">
        <v>0.01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0.09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0.49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U5" s="3">
        <v>0</v>
      </c>
      <c r="BV5" s="3">
        <v>0</v>
      </c>
      <c r="BW5" s="3">
        <v>0</v>
      </c>
      <c r="BX5" s="3">
        <v>0</v>
      </c>
      <c r="BY5" s="3">
        <v>0</v>
      </c>
      <c r="BZ5" s="3">
        <v>0</v>
      </c>
      <c r="CA5" s="3">
        <v>0</v>
      </c>
      <c r="CB5" s="3">
        <v>0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0.01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0.13</v>
      </c>
      <c r="CY5" s="3">
        <v>0</v>
      </c>
      <c r="CZ5" s="3">
        <v>0.01</v>
      </c>
      <c r="DA5" s="3">
        <v>0</v>
      </c>
      <c r="DB5" s="3">
        <v>0</v>
      </c>
    </row>
    <row r="6" spans="1:299" x14ac:dyDescent="0.3">
      <c r="B6" t="s">
        <v>87</v>
      </c>
      <c r="D6">
        <v>180</v>
      </c>
      <c r="E6">
        <v>16688</v>
      </c>
      <c r="F6">
        <v>205</v>
      </c>
      <c r="H6">
        <v>2</v>
      </c>
      <c r="I6" s="3">
        <f>AVERAGE(J6:XX6)</f>
        <v>1.8571428571428572E-2</v>
      </c>
      <c r="J6" s="3">
        <v>0.02</v>
      </c>
      <c r="K6" s="3">
        <v>0.02</v>
      </c>
      <c r="L6" s="3">
        <v>0.04</v>
      </c>
      <c r="M6" s="3">
        <v>0.02</v>
      </c>
      <c r="N6" s="3">
        <v>0.02</v>
      </c>
      <c r="O6" s="3">
        <v>0.02</v>
      </c>
      <c r="P6" s="3">
        <v>0.01</v>
      </c>
      <c r="Q6" s="3">
        <v>0.03</v>
      </c>
      <c r="R6" s="3">
        <v>0.01</v>
      </c>
      <c r="S6" s="3">
        <v>0.02</v>
      </c>
      <c r="T6" s="3">
        <v>0.01</v>
      </c>
      <c r="U6" s="3">
        <v>0.02</v>
      </c>
      <c r="V6" s="3">
        <v>0.01</v>
      </c>
      <c r="W6" s="3">
        <v>0.01</v>
      </c>
    </row>
    <row r="7" spans="1:299" x14ac:dyDescent="0.3">
      <c r="B7" t="s">
        <v>88</v>
      </c>
      <c r="D7">
        <v>17</v>
      </c>
      <c r="E7">
        <v>10</v>
      </c>
      <c r="F7">
        <v>6</v>
      </c>
      <c r="H7">
        <v>3</v>
      </c>
      <c r="I7" s="3">
        <f>AVERAGE(J7:XX7)</f>
        <v>1.5555555555555557E-2</v>
      </c>
      <c r="J7" s="3">
        <v>0.02</v>
      </c>
      <c r="K7" s="3">
        <v>0.01</v>
      </c>
      <c r="L7" s="3">
        <v>0.01</v>
      </c>
      <c r="M7" s="3">
        <v>0.01</v>
      </c>
      <c r="N7" s="3">
        <v>0.01</v>
      </c>
      <c r="O7" s="3">
        <v>0.01</v>
      </c>
      <c r="P7" s="3">
        <v>0.04</v>
      </c>
      <c r="Q7" s="3">
        <v>0.02</v>
      </c>
      <c r="R7" s="3">
        <v>0.01</v>
      </c>
    </row>
    <row r="8" spans="1:299" x14ac:dyDescent="0.3">
      <c r="B8" t="s">
        <v>89</v>
      </c>
      <c r="D8">
        <v>158</v>
      </c>
      <c r="E8">
        <v>4728</v>
      </c>
      <c r="F8">
        <v>106</v>
      </c>
      <c r="H8">
        <v>4</v>
      </c>
      <c r="I8" s="3">
        <f>AVERAGE(J8:XX8)</f>
        <v>2.4210526315789471E-2</v>
      </c>
      <c r="J8" s="3">
        <v>0.02</v>
      </c>
      <c r="K8" s="3">
        <v>0.02</v>
      </c>
      <c r="L8" s="3">
        <v>0.02</v>
      </c>
      <c r="M8" s="3">
        <v>0.02</v>
      </c>
      <c r="N8" s="3">
        <v>0.02</v>
      </c>
      <c r="O8" s="3">
        <v>0.02</v>
      </c>
      <c r="P8" s="3">
        <v>0.02</v>
      </c>
      <c r="Q8" s="3">
        <v>0.02</v>
      </c>
      <c r="R8" s="3">
        <v>0.02</v>
      </c>
      <c r="T8" s="3">
        <v>0.02</v>
      </c>
      <c r="U8" s="3">
        <v>0.02</v>
      </c>
      <c r="V8" s="3">
        <v>0.02</v>
      </c>
      <c r="W8" s="3">
        <v>0.02</v>
      </c>
      <c r="X8" s="3">
        <v>0.02</v>
      </c>
      <c r="Y8" s="3">
        <v>0.02</v>
      </c>
      <c r="Z8" s="3">
        <v>0.04</v>
      </c>
      <c r="AA8" s="3">
        <v>0.03</v>
      </c>
      <c r="AB8" s="3">
        <v>0.05</v>
      </c>
      <c r="AC8" s="3">
        <v>0.04</v>
      </c>
    </row>
    <row r="9" spans="1:299" x14ac:dyDescent="0.3">
      <c r="B9" t="s">
        <v>90</v>
      </c>
      <c r="D9">
        <v>178</v>
      </c>
      <c r="E9">
        <v>14956</v>
      </c>
      <c r="F9">
        <v>191</v>
      </c>
      <c r="H9">
        <v>5</v>
      </c>
      <c r="I9" s="3">
        <f>AVERAGE(J9:XX9)</f>
        <v>0.28589743589743577</v>
      </c>
      <c r="J9" s="3">
        <v>0.02</v>
      </c>
      <c r="K9" s="3">
        <v>0.03</v>
      </c>
      <c r="L9" s="3">
        <v>7.81</v>
      </c>
      <c r="M9" s="3">
        <v>0.03</v>
      </c>
      <c r="N9" s="3">
        <v>0.03</v>
      </c>
      <c r="O9" s="3">
        <v>0.04</v>
      </c>
      <c r="P9" s="3">
        <v>0.03</v>
      </c>
      <c r="Q9" s="3">
        <v>0.03</v>
      </c>
      <c r="R9" s="3">
        <v>7.0000000000000007E-2</v>
      </c>
      <c r="S9" s="3">
        <v>0.03</v>
      </c>
      <c r="T9" s="3">
        <v>0.79</v>
      </c>
      <c r="U9" s="3">
        <v>0.03</v>
      </c>
      <c r="V9" s="3">
        <v>0.03</v>
      </c>
      <c r="W9" s="3">
        <v>0.03</v>
      </c>
      <c r="X9" s="3">
        <v>7.0000000000000007E-2</v>
      </c>
      <c r="Y9" s="3">
        <v>0.03</v>
      </c>
      <c r="Z9" s="3">
        <v>0.03</v>
      </c>
      <c r="AA9" s="3">
        <v>0.03</v>
      </c>
      <c r="AB9" s="3">
        <v>0.03</v>
      </c>
      <c r="AC9" s="3">
        <v>0.03</v>
      </c>
      <c r="AD9" s="3">
        <v>1.05</v>
      </c>
      <c r="AE9" s="3">
        <v>0.03</v>
      </c>
      <c r="AF9" s="3">
        <v>0.03</v>
      </c>
      <c r="AG9" s="3">
        <v>0.03</v>
      </c>
      <c r="AH9" s="3">
        <v>0.03</v>
      </c>
      <c r="AI9" s="3">
        <v>0.03</v>
      </c>
      <c r="AJ9" s="3">
        <v>0.03</v>
      </c>
      <c r="AK9" s="3">
        <v>0.03</v>
      </c>
      <c r="AL9" s="3">
        <v>0.03</v>
      </c>
      <c r="AM9" s="3">
        <v>0.03</v>
      </c>
      <c r="AN9" s="3">
        <v>0.06</v>
      </c>
      <c r="AO9" s="3">
        <v>0.05</v>
      </c>
      <c r="AP9" s="3">
        <v>0.06</v>
      </c>
      <c r="AQ9" s="3">
        <v>0.08</v>
      </c>
      <c r="AR9" s="3">
        <v>0.06</v>
      </c>
      <c r="AS9" s="3">
        <v>0.06</v>
      </c>
      <c r="AT9" s="3">
        <v>0.06</v>
      </c>
      <c r="AU9" s="3">
        <v>0.05</v>
      </c>
      <c r="AV9" s="3">
        <v>0.13</v>
      </c>
    </row>
    <row r="10" spans="1:299" x14ac:dyDescent="0.3">
      <c r="B10" t="s">
        <v>91</v>
      </c>
      <c r="D10">
        <v>159</v>
      </c>
      <c r="E10">
        <v>5166</v>
      </c>
      <c r="F10">
        <v>111</v>
      </c>
      <c r="H10">
        <v>6</v>
      </c>
      <c r="I10" s="3">
        <f>AVERAGE(J10:XX10)</f>
        <v>4.7500000000000001E-2</v>
      </c>
      <c r="J10" s="3">
        <v>0.04</v>
      </c>
      <c r="K10" s="3">
        <v>0.04</v>
      </c>
      <c r="L10" s="3">
        <v>0.04</v>
      </c>
      <c r="M10" s="3">
        <v>0.04</v>
      </c>
      <c r="N10" s="3">
        <v>0.04</v>
      </c>
      <c r="O10" s="3">
        <v>7.0000000000000007E-2</v>
      </c>
      <c r="P10" s="3">
        <v>0.06</v>
      </c>
      <c r="Q10" s="3">
        <v>0.05</v>
      </c>
    </row>
    <row r="11" spans="1:299" x14ac:dyDescent="0.3">
      <c r="B11" t="s">
        <v>92</v>
      </c>
      <c r="D11">
        <v>170</v>
      </c>
      <c r="E11">
        <v>9020</v>
      </c>
      <c r="F11">
        <v>147</v>
      </c>
      <c r="H11">
        <v>7</v>
      </c>
      <c r="I11" s="3">
        <f>AVERAGE(J11:XX11)</f>
        <v>6.5000000000000016E-2</v>
      </c>
      <c r="J11" s="3">
        <v>0.04</v>
      </c>
      <c r="K11" s="3">
        <v>0.04</v>
      </c>
      <c r="L11" s="3">
        <v>0.05</v>
      </c>
      <c r="M11" s="3">
        <v>0.04</v>
      </c>
      <c r="O11" s="3">
        <v>0.08</v>
      </c>
      <c r="P11" s="3">
        <v>0.08</v>
      </c>
      <c r="Q11" s="3">
        <v>0.08</v>
      </c>
      <c r="R11" s="3">
        <v>0.08</v>
      </c>
      <c r="S11" s="3">
        <v>0.08</v>
      </c>
      <c r="U11" s="3">
        <v>7.0000000000000007E-2</v>
      </c>
      <c r="V11" s="3">
        <v>7.0000000000000007E-2</v>
      </c>
      <c r="W11" s="3">
        <v>7.0000000000000007E-2</v>
      </c>
    </row>
    <row r="12" spans="1:299" x14ac:dyDescent="0.3">
      <c r="B12" t="s">
        <v>93</v>
      </c>
      <c r="D12">
        <v>170</v>
      </c>
      <c r="E12">
        <v>17280</v>
      </c>
      <c r="F12">
        <v>206</v>
      </c>
      <c r="H12">
        <v>8</v>
      </c>
      <c r="I12" s="3">
        <f>AVERAGE(J12:XX12)</f>
        <v>5.1428571428571428E-2</v>
      </c>
      <c r="J12" s="3">
        <v>0.05</v>
      </c>
      <c r="K12" s="3">
        <v>0.04</v>
      </c>
      <c r="L12" s="3">
        <v>0.04</v>
      </c>
      <c r="M12" s="3">
        <v>0.04</v>
      </c>
      <c r="N12" s="3">
        <v>0.05</v>
      </c>
      <c r="O12" s="3">
        <v>0.05</v>
      </c>
      <c r="P12" s="3">
        <v>0.09</v>
      </c>
    </row>
    <row r="13" spans="1:299" x14ac:dyDescent="0.3">
      <c r="B13" t="s">
        <v>94</v>
      </c>
      <c r="D13">
        <v>172</v>
      </c>
      <c r="E13">
        <v>10384</v>
      </c>
      <c r="F13">
        <v>159</v>
      </c>
      <c r="H13">
        <v>9</v>
      </c>
      <c r="I13" s="3">
        <f>AVERAGE(J13:XX13)</f>
        <v>7.7499999999999999E-2</v>
      </c>
      <c r="J13" s="3">
        <v>0.05</v>
      </c>
      <c r="K13" s="3">
        <v>0.05</v>
      </c>
      <c r="L13" s="3">
        <v>0.1</v>
      </c>
      <c r="M13" s="3">
        <v>0.11</v>
      </c>
    </row>
    <row r="14" spans="1:299" x14ac:dyDescent="0.3">
      <c r="B14" t="s">
        <v>95</v>
      </c>
      <c r="D14">
        <v>130</v>
      </c>
      <c r="E14">
        <v>1007</v>
      </c>
      <c r="F14">
        <v>49</v>
      </c>
      <c r="H14">
        <v>10</v>
      </c>
      <c r="I14" s="3">
        <f>AVERAGE(J14:XX14)</f>
        <v>6.25E-2</v>
      </c>
      <c r="J14" s="3">
        <v>7.0000000000000007E-2</v>
      </c>
      <c r="K14" s="3">
        <v>0.06</v>
      </c>
      <c r="L14" s="3">
        <v>0.06</v>
      </c>
      <c r="M14" s="3">
        <v>7.0000000000000007E-2</v>
      </c>
      <c r="N14" s="3">
        <v>0.06</v>
      </c>
      <c r="O14" s="3">
        <v>0.06</v>
      </c>
      <c r="P14" s="3">
        <v>0.06</v>
      </c>
      <c r="Q14" s="3">
        <v>0.06</v>
      </c>
    </row>
    <row r="15" spans="1:299" x14ac:dyDescent="0.3">
      <c r="B15" t="s">
        <v>96</v>
      </c>
      <c r="D15">
        <v>130</v>
      </c>
      <c r="E15">
        <v>22992</v>
      </c>
      <c r="F15">
        <v>239</v>
      </c>
      <c r="H15">
        <v>11</v>
      </c>
      <c r="I15" s="3">
        <f>AVERAGE(J15:XX15)</f>
        <v>0.1125</v>
      </c>
      <c r="J15" s="3">
        <v>0.06</v>
      </c>
      <c r="K15" s="3">
        <v>7.0000000000000007E-2</v>
      </c>
      <c r="L15" s="3">
        <v>7.0000000000000007E-2</v>
      </c>
      <c r="M15" s="3">
        <v>0.13</v>
      </c>
      <c r="N15" s="3">
        <v>0.12</v>
      </c>
      <c r="O15" s="3">
        <v>0.11</v>
      </c>
      <c r="P15" s="3">
        <v>0.21</v>
      </c>
      <c r="Q15" s="3">
        <v>0.13</v>
      </c>
    </row>
    <row r="16" spans="1:299" x14ac:dyDescent="0.3">
      <c r="B16" t="s">
        <v>97</v>
      </c>
      <c r="D16">
        <v>182</v>
      </c>
      <c r="E16">
        <v>17600</v>
      </c>
      <c r="F16">
        <v>210</v>
      </c>
      <c r="H16">
        <v>12</v>
      </c>
      <c r="I16" s="3">
        <f>AVERAGE(J16:XX16)</f>
        <v>8.9000000000000037E-2</v>
      </c>
      <c r="J16" s="3">
        <v>0.26</v>
      </c>
      <c r="K16" s="3">
        <v>7.0000000000000007E-2</v>
      </c>
      <c r="L16" s="3">
        <v>7.0000000000000007E-2</v>
      </c>
      <c r="M16" s="3">
        <v>7.0000000000000007E-2</v>
      </c>
      <c r="N16" s="3">
        <v>7.0000000000000007E-2</v>
      </c>
      <c r="O16" s="3">
        <v>7.0000000000000007E-2</v>
      </c>
      <c r="P16" s="3">
        <v>7.0000000000000007E-2</v>
      </c>
      <c r="Q16" s="3">
        <v>7.0000000000000007E-2</v>
      </c>
      <c r="R16" s="3">
        <v>7.0000000000000007E-2</v>
      </c>
      <c r="S16" s="3">
        <v>7.0000000000000007E-2</v>
      </c>
    </row>
    <row r="17" spans="2:20" x14ac:dyDescent="0.3">
      <c r="B17" t="s">
        <v>98</v>
      </c>
      <c r="D17">
        <v>183</v>
      </c>
      <c r="E17">
        <v>18840</v>
      </c>
      <c r="F17">
        <v>220</v>
      </c>
      <c r="H17">
        <v>13</v>
      </c>
      <c r="I17" s="3">
        <f>AVERAGE(J17:XX17)</f>
        <v>9.5000000000000001E-2</v>
      </c>
      <c r="J17" s="3">
        <v>7.0000000000000007E-2</v>
      </c>
      <c r="K17" s="3">
        <v>7.0000000000000007E-2</v>
      </c>
      <c r="L17" s="3">
        <v>0.08</v>
      </c>
      <c r="M17" s="3">
        <v>0.16</v>
      </c>
    </row>
    <row r="18" spans="2:20" x14ac:dyDescent="0.3">
      <c r="B18" t="s">
        <v>99</v>
      </c>
      <c r="D18">
        <v>160</v>
      </c>
      <c r="E18">
        <v>5502</v>
      </c>
      <c r="F18">
        <v>116</v>
      </c>
      <c r="H18">
        <v>14</v>
      </c>
      <c r="I18" s="3">
        <f>AVERAGE(J18:XX18)</f>
        <v>0.11000000000000001</v>
      </c>
      <c r="J18" s="3">
        <v>0.08</v>
      </c>
      <c r="K18" s="3">
        <v>0.08</v>
      </c>
      <c r="L18" s="3">
        <v>0.08</v>
      </c>
      <c r="M18" s="3">
        <v>0.14000000000000001</v>
      </c>
      <c r="N18" s="3">
        <v>0.17</v>
      </c>
    </row>
    <row r="19" spans="2:20" x14ac:dyDescent="0.3">
      <c r="B19" t="s">
        <v>100</v>
      </c>
      <c r="D19">
        <v>177</v>
      </c>
      <c r="E19">
        <v>14416</v>
      </c>
      <c r="F19">
        <v>189</v>
      </c>
      <c r="H19">
        <v>15</v>
      </c>
      <c r="I19" s="3">
        <f>AVERAGE(J19:XX19)</f>
        <v>0.19</v>
      </c>
      <c r="J19" s="3">
        <v>0.19</v>
      </c>
    </row>
    <row r="20" spans="2:20" x14ac:dyDescent="0.3">
      <c r="B20" t="s">
        <v>101</v>
      </c>
      <c r="D20">
        <v>150</v>
      </c>
      <c r="E20">
        <v>3153</v>
      </c>
      <c r="F20">
        <v>87</v>
      </c>
      <c r="H20">
        <v>16</v>
      </c>
      <c r="I20" s="3">
        <f>AVERAGE(J20:XX20)</f>
        <v>0.16</v>
      </c>
      <c r="K20" s="3">
        <v>0.16</v>
      </c>
      <c r="L20" s="3">
        <v>0.16</v>
      </c>
    </row>
    <row r="21" spans="2:20" x14ac:dyDescent="0.3">
      <c r="B21" t="s">
        <v>102</v>
      </c>
      <c r="D21">
        <v>181</v>
      </c>
      <c r="E21">
        <v>17256</v>
      </c>
      <c r="F21">
        <v>206</v>
      </c>
      <c r="H21">
        <v>17</v>
      </c>
      <c r="I21" s="3">
        <f>AVERAGE(J21:XX21)</f>
        <v>0.1</v>
      </c>
      <c r="J21" s="3">
        <v>0.1</v>
      </c>
      <c r="K21" s="3">
        <v>0.1</v>
      </c>
    </row>
    <row r="22" spans="2:20" x14ac:dyDescent="0.3">
      <c r="B22" t="s">
        <v>103</v>
      </c>
      <c r="D22">
        <v>169</v>
      </c>
      <c r="E22">
        <v>8916</v>
      </c>
      <c r="F22">
        <v>147</v>
      </c>
      <c r="H22">
        <v>18</v>
      </c>
      <c r="I22" s="3">
        <f>AVERAGE(J22:XX22)</f>
        <v>0.18333333333333332</v>
      </c>
      <c r="J22" s="3">
        <v>0.09</v>
      </c>
      <c r="K22" s="3">
        <v>0.09</v>
      </c>
      <c r="L22" s="3">
        <v>0.45</v>
      </c>
      <c r="M22" s="3">
        <v>0.09</v>
      </c>
      <c r="N22" s="3">
        <v>0.19</v>
      </c>
      <c r="O22" s="3">
        <v>0.19</v>
      </c>
    </row>
    <row r="23" spans="2:20" x14ac:dyDescent="0.3">
      <c r="B23" t="s">
        <v>104</v>
      </c>
      <c r="D23">
        <v>118</v>
      </c>
      <c r="E23">
        <v>512</v>
      </c>
      <c r="F23">
        <v>35</v>
      </c>
      <c r="H23">
        <v>19</v>
      </c>
      <c r="I23" s="3">
        <f>AVERAGE(J23:XX23)</f>
        <v>9.2499999999999999E-2</v>
      </c>
      <c r="J23" s="3">
        <v>0.09</v>
      </c>
      <c r="K23" s="3">
        <v>0.09</v>
      </c>
      <c r="L23" s="3">
        <v>0.09</v>
      </c>
      <c r="M23" s="3">
        <v>0.1</v>
      </c>
    </row>
    <row r="24" spans="2:20" x14ac:dyDescent="0.3">
      <c r="B24" t="s">
        <v>105</v>
      </c>
      <c r="D24">
        <v>164</v>
      </c>
      <c r="E24">
        <v>7134</v>
      </c>
      <c r="F24">
        <v>130</v>
      </c>
      <c r="H24">
        <v>20</v>
      </c>
      <c r="I24" s="3">
        <f>AVERAGE(J24:XX24)</f>
        <v>0.1</v>
      </c>
      <c r="J24" s="3">
        <v>0.1</v>
      </c>
    </row>
    <row r="25" spans="2:20" x14ac:dyDescent="0.3">
      <c r="B25" t="s">
        <v>106</v>
      </c>
      <c r="D25">
        <v>162</v>
      </c>
      <c r="E25">
        <v>6302</v>
      </c>
      <c r="F25">
        <v>122</v>
      </c>
      <c r="H25">
        <v>21</v>
      </c>
      <c r="I25" s="3" t="e">
        <f>AVERAGE(J25:XX25)</f>
        <v>#DIV/0!</v>
      </c>
    </row>
    <row r="26" spans="2:20" x14ac:dyDescent="0.3">
      <c r="B26" t="s">
        <v>107</v>
      </c>
      <c r="D26">
        <v>142</v>
      </c>
      <c r="E26">
        <v>1965</v>
      </c>
      <c r="F26">
        <v>68</v>
      </c>
      <c r="H26">
        <v>22</v>
      </c>
      <c r="I26" s="3">
        <f>AVERAGE(J26:XX26)</f>
        <v>0.15000000000000002</v>
      </c>
      <c r="J26" s="3">
        <v>0.1</v>
      </c>
      <c r="K26" s="3">
        <v>0.51</v>
      </c>
      <c r="L26" s="3">
        <v>0.1</v>
      </c>
      <c r="M26" s="3">
        <v>0.1</v>
      </c>
      <c r="N26" s="3">
        <v>0.1</v>
      </c>
      <c r="O26" s="3">
        <v>0.1</v>
      </c>
      <c r="P26" s="3">
        <v>0.1</v>
      </c>
      <c r="Q26" s="3">
        <v>0.1</v>
      </c>
      <c r="S26" s="3">
        <v>0.1</v>
      </c>
      <c r="T26" s="3">
        <v>0.19</v>
      </c>
    </row>
    <row r="27" spans="2:20" x14ac:dyDescent="0.3">
      <c r="B27" t="s">
        <v>108</v>
      </c>
      <c r="D27">
        <v>182</v>
      </c>
      <c r="E27">
        <v>18264</v>
      </c>
      <c r="F27">
        <v>211</v>
      </c>
      <c r="H27">
        <v>23</v>
      </c>
      <c r="I27" s="3" t="e">
        <f>AVERAGE(J27:XX27)</f>
        <v>#DIV/0!</v>
      </c>
    </row>
    <row r="28" spans="2:20" x14ac:dyDescent="0.3">
      <c r="B28" t="s">
        <v>109</v>
      </c>
      <c r="D28">
        <v>4</v>
      </c>
      <c r="E28">
        <v>2</v>
      </c>
      <c r="F28">
        <v>2</v>
      </c>
      <c r="H28">
        <v>24</v>
      </c>
      <c r="I28" s="3">
        <f>AVERAGE(J28:XX28)</f>
        <v>0.12</v>
      </c>
      <c r="J28" s="3">
        <v>0.11</v>
      </c>
      <c r="K28" s="3">
        <v>0.13</v>
      </c>
    </row>
    <row r="29" spans="2:20" x14ac:dyDescent="0.3">
      <c r="B29" t="s">
        <v>110</v>
      </c>
      <c r="D29">
        <v>184</v>
      </c>
      <c r="E29">
        <v>20568</v>
      </c>
      <c r="F29">
        <v>225</v>
      </c>
      <c r="H29">
        <v>25</v>
      </c>
      <c r="I29" s="3">
        <f>AVERAGE(J29:XX29)</f>
        <v>0.14000000000000001</v>
      </c>
      <c r="J29" s="3">
        <v>0.14000000000000001</v>
      </c>
      <c r="K29" s="3">
        <v>0.14000000000000001</v>
      </c>
    </row>
    <row r="30" spans="2:20" x14ac:dyDescent="0.3">
      <c r="B30" t="s">
        <v>111</v>
      </c>
      <c r="D30">
        <v>148</v>
      </c>
      <c r="E30">
        <v>2772</v>
      </c>
      <c r="F30">
        <v>81</v>
      </c>
      <c r="H30">
        <v>26</v>
      </c>
      <c r="I30" s="3">
        <f>AVERAGE(J30:XX30)</f>
        <v>0.19500000000000001</v>
      </c>
      <c r="J30" s="3">
        <v>0.15</v>
      </c>
      <c r="K30" s="3">
        <v>0.13</v>
      </c>
      <c r="L30" s="3">
        <v>0.2</v>
      </c>
      <c r="M30" s="3">
        <v>0.3</v>
      </c>
    </row>
    <row r="31" spans="2:20" x14ac:dyDescent="0.3">
      <c r="B31" t="s">
        <v>112</v>
      </c>
      <c r="D31">
        <v>173</v>
      </c>
      <c r="E31">
        <v>11452</v>
      </c>
      <c r="F31">
        <v>166</v>
      </c>
      <c r="H31">
        <v>27</v>
      </c>
      <c r="I31" s="3">
        <f>AVERAGE(J31:XX31)</f>
        <v>0.31</v>
      </c>
      <c r="J31" s="3">
        <v>0.31</v>
      </c>
      <c r="K31" s="3">
        <v>0.31</v>
      </c>
    </row>
    <row r="32" spans="2:20" x14ac:dyDescent="0.3">
      <c r="B32" t="s">
        <v>113</v>
      </c>
      <c r="D32">
        <v>187</v>
      </c>
      <c r="E32">
        <v>24400</v>
      </c>
      <c r="F32">
        <v>249</v>
      </c>
      <c r="H32">
        <v>28</v>
      </c>
      <c r="I32" s="3">
        <f>AVERAGE(J32:XX32)</f>
        <v>0.32</v>
      </c>
      <c r="J32" s="3">
        <v>0.32</v>
      </c>
      <c r="K32" s="3">
        <v>0.32</v>
      </c>
    </row>
    <row r="33" spans="2:22" x14ac:dyDescent="0.3">
      <c r="B33" t="s">
        <v>114</v>
      </c>
      <c r="D33">
        <v>125</v>
      </c>
      <c r="E33">
        <v>725</v>
      </c>
      <c r="F33">
        <v>42</v>
      </c>
      <c r="H33">
        <v>29</v>
      </c>
      <c r="I33" s="3">
        <f>AVERAGE(J33:XX33)</f>
        <v>0.34</v>
      </c>
      <c r="J33" s="3">
        <v>0.34</v>
      </c>
    </row>
    <row r="34" spans="2:22" x14ac:dyDescent="0.3">
      <c r="B34" t="s">
        <v>115</v>
      </c>
      <c r="D34">
        <v>174</v>
      </c>
      <c r="E34">
        <v>11760</v>
      </c>
      <c r="F34">
        <v>169</v>
      </c>
      <c r="H34">
        <v>30</v>
      </c>
      <c r="I34" s="3" t="e">
        <f>AVERAGE(J34:XX34)</f>
        <v>#DIV/0!</v>
      </c>
    </row>
    <row r="35" spans="2:22" x14ac:dyDescent="0.3">
      <c r="B35" t="s">
        <v>116</v>
      </c>
      <c r="D35">
        <v>178</v>
      </c>
      <c r="E35">
        <v>14868</v>
      </c>
      <c r="F35">
        <v>191</v>
      </c>
      <c r="H35">
        <v>31</v>
      </c>
      <c r="I35" s="3">
        <f>AVERAGE(J35:XX35)</f>
        <v>0.34499999999999997</v>
      </c>
      <c r="J35" s="3">
        <v>0.37</v>
      </c>
      <c r="K35" s="3">
        <v>0.32</v>
      </c>
    </row>
    <row r="36" spans="2:22" x14ac:dyDescent="0.3">
      <c r="B36" t="s">
        <v>117</v>
      </c>
      <c r="D36">
        <v>164</v>
      </c>
      <c r="E36">
        <v>6810</v>
      </c>
      <c r="F36">
        <v>128</v>
      </c>
      <c r="H36">
        <v>32</v>
      </c>
      <c r="I36" s="3" t="e">
        <f>AVERAGE(J36:XX36)</f>
        <v>#DIV/0!</v>
      </c>
    </row>
    <row r="37" spans="2:22" x14ac:dyDescent="0.3">
      <c r="B37" t="s">
        <v>118</v>
      </c>
      <c r="D37">
        <v>171</v>
      </c>
      <c r="E37">
        <v>9720</v>
      </c>
      <c r="F37">
        <v>153</v>
      </c>
      <c r="H37">
        <v>33</v>
      </c>
      <c r="I37" s="3">
        <f>AVERAGE(J37:XX37)</f>
        <v>0.39</v>
      </c>
      <c r="J37" s="3">
        <v>0.39</v>
      </c>
    </row>
    <row r="38" spans="2:22" x14ac:dyDescent="0.3">
      <c r="B38" t="s">
        <v>119</v>
      </c>
      <c r="D38">
        <v>171</v>
      </c>
      <c r="E38">
        <v>11516</v>
      </c>
      <c r="F38">
        <v>167</v>
      </c>
      <c r="H38">
        <v>34</v>
      </c>
      <c r="I38" s="3" t="e">
        <f>AVERAGE(J38:XX38)</f>
        <v>#DIV/0!</v>
      </c>
    </row>
    <row r="39" spans="2:22" x14ac:dyDescent="0.3">
      <c r="B39" t="s">
        <v>120</v>
      </c>
      <c r="D39">
        <v>152</v>
      </c>
      <c r="E39">
        <v>3509</v>
      </c>
      <c r="F39">
        <v>91</v>
      </c>
      <c r="H39">
        <v>35</v>
      </c>
      <c r="I39" s="3">
        <f>AVERAGE(J39:XX39)</f>
        <v>0.18999999999999997</v>
      </c>
      <c r="J39" s="3">
        <v>0.19</v>
      </c>
      <c r="K39" s="3">
        <v>0.19</v>
      </c>
      <c r="L39" s="3">
        <v>0.19</v>
      </c>
      <c r="M39" s="3">
        <v>0.19</v>
      </c>
      <c r="N39" s="3">
        <v>0.19</v>
      </c>
      <c r="O39" s="3">
        <v>0.19</v>
      </c>
      <c r="P39" s="3">
        <v>0.19</v>
      </c>
      <c r="Q39" s="3">
        <v>0.19</v>
      </c>
    </row>
    <row r="40" spans="2:22" x14ac:dyDescent="0.3">
      <c r="B40" t="s">
        <v>121</v>
      </c>
      <c r="D40">
        <v>141</v>
      </c>
      <c r="E40">
        <v>1908</v>
      </c>
      <c r="F40">
        <v>67</v>
      </c>
      <c r="H40">
        <v>36</v>
      </c>
      <c r="I40" s="3">
        <f>AVERAGE(J40:XX40)</f>
        <v>0.25230769230769229</v>
      </c>
      <c r="J40" s="3">
        <v>0.2</v>
      </c>
      <c r="K40" s="3">
        <v>0.2</v>
      </c>
      <c r="L40" s="3">
        <v>0.2</v>
      </c>
      <c r="M40" s="3">
        <v>0.2</v>
      </c>
      <c r="N40" s="3">
        <v>0.2</v>
      </c>
      <c r="O40" s="3">
        <v>0.2</v>
      </c>
      <c r="P40" s="3">
        <v>0.2</v>
      </c>
      <c r="Q40" s="3">
        <v>0.19</v>
      </c>
      <c r="R40" s="3">
        <v>0.19</v>
      </c>
      <c r="S40" s="3">
        <v>0.2</v>
      </c>
      <c r="T40" s="3">
        <v>0.45</v>
      </c>
      <c r="U40" s="3">
        <v>0.42</v>
      </c>
      <c r="V40" s="3">
        <v>0.43</v>
      </c>
    </row>
    <row r="41" spans="2:22" x14ac:dyDescent="0.3">
      <c r="B41" t="s">
        <v>122</v>
      </c>
      <c r="D41">
        <v>131</v>
      </c>
      <c r="E41">
        <v>1017</v>
      </c>
      <c r="F41">
        <v>49</v>
      </c>
      <c r="H41">
        <v>37</v>
      </c>
      <c r="I41" s="3">
        <f>AVERAGE(J41:XX41)</f>
        <v>0.20666666666666667</v>
      </c>
      <c r="J41" s="3">
        <v>0.21</v>
      </c>
      <c r="K41" s="3">
        <v>0.2</v>
      </c>
      <c r="L41" s="3">
        <v>0.21</v>
      </c>
    </row>
    <row r="42" spans="2:22" x14ac:dyDescent="0.3">
      <c r="B42" t="s">
        <v>123</v>
      </c>
      <c r="D42">
        <v>184</v>
      </c>
      <c r="E42">
        <v>20480</v>
      </c>
      <c r="F42">
        <v>223</v>
      </c>
      <c r="H42">
        <v>38</v>
      </c>
      <c r="I42" s="3">
        <f>AVERAGE(J42:XX42)</f>
        <v>0.51333333333333331</v>
      </c>
      <c r="J42" s="3">
        <v>0.46</v>
      </c>
      <c r="K42" s="3">
        <v>0.54</v>
      </c>
      <c r="L42" s="3">
        <v>0.54</v>
      </c>
    </row>
    <row r="43" spans="2:22" x14ac:dyDescent="0.3">
      <c r="B43" t="s">
        <v>124</v>
      </c>
      <c r="D43">
        <v>163</v>
      </c>
      <c r="E43">
        <v>6674</v>
      </c>
      <c r="F43">
        <v>126</v>
      </c>
      <c r="H43">
        <v>39</v>
      </c>
      <c r="I43" s="3">
        <f>AVERAGE(J43:XX43)</f>
        <v>0.49</v>
      </c>
      <c r="J43" s="3">
        <v>0.49</v>
      </c>
    </row>
    <row r="44" spans="2:22" x14ac:dyDescent="0.3">
      <c r="B44" t="s">
        <v>125</v>
      </c>
      <c r="D44">
        <v>132</v>
      </c>
      <c r="E44">
        <v>1100</v>
      </c>
      <c r="F44">
        <v>51</v>
      </c>
      <c r="H44">
        <v>40</v>
      </c>
      <c r="I44" s="3" t="e">
        <f>AVERAGE(J44:XX44)</f>
        <v>#DIV/0!</v>
      </c>
    </row>
    <row r="45" spans="2:22" x14ac:dyDescent="0.3">
      <c r="B45" t="s">
        <v>126</v>
      </c>
      <c r="D45">
        <v>169</v>
      </c>
      <c r="E45">
        <v>8864</v>
      </c>
      <c r="F45">
        <v>145</v>
      </c>
      <c r="H45">
        <v>41</v>
      </c>
      <c r="I45" s="3" t="e">
        <f>AVERAGE(J45:XX45)</f>
        <v>#DIV/0!</v>
      </c>
    </row>
    <row r="46" spans="2:22" x14ac:dyDescent="0.3">
      <c r="B46" t="s">
        <v>127</v>
      </c>
      <c r="D46">
        <v>16</v>
      </c>
      <c r="E46">
        <v>9</v>
      </c>
      <c r="F46">
        <v>6</v>
      </c>
      <c r="H46">
        <v>42</v>
      </c>
      <c r="I46" s="3">
        <f>AVERAGE(J46:XX46)</f>
        <v>0.5</v>
      </c>
      <c r="J46" s="3">
        <v>0.5</v>
      </c>
    </row>
    <row r="47" spans="2:22" x14ac:dyDescent="0.3">
      <c r="B47" t="s">
        <v>128</v>
      </c>
      <c r="D47">
        <v>172</v>
      </c>
      <c r="E47">
        <v>10628</v>
      </c>
      <c r="F47">
        <v>159</v>
      </c>
      <c r="H47">
        <v>43</v>
      </c>
      <c r="I47" s="3">
        <f>AVERAGE(J47:XX47)</f>
        <v>0.52</v>
      </c>
      <c r="J47" s="3">
        <v>0.52</v>
      </c>
    </row>
    <row r="48" spans="2:22" x14ac:dyDescent="0.3">
      <c r="B48" t="s">
        <v>129</v>
      </c>
      <c r="D48">
        <v>5</v>
      </c>
      <c r="E48">
        <v>2</v>
      </c>
      <c r="F48">
        <v>3</v>
      </c>
      <c r="H48">
        <v>44</v>
      </c>
      <c r="I48" s="3" t="e">
        <f>AVERAGE(J48:XX48)</f>
        <v>#DIV/0!</v>
      </c>
    </row>
    <row r="49" spans="2:15" x14ac:dyDescent="0.3">
      <c r="B49" t="s">
        <v>130</v>
      </c>
      <c r="D49">
        <v>179</v>
      </c>
      <c r="E49">
        <v>15948</v>
      </c>
      <c r="F49">
        <v>196</v>
      </c>
      <c r="H49">
        <v>45</v>
      </c>
      <c r="I49" s="3" t="e">
        <f>AVERAGE(J49:XX49)</f>
        <v>#DIV/0!</v>
      </c>
    </row>
    <row r="50" spans="2:15" x14ac:dyDescent="0.3">
      <c r="B50" t="s">
        <v>131</v>
      </c>
      <c r="D50">
        <v>161</v>
      </c>
      <c r="E50">
        <v>5980</v>
      </c>
      <c r="F50">
        <v>119</v>
      </c>
      <c r="H50">
        <v>46</v>
      </c>
      <c r="I50" s="3" t="e">
        <f>AVERAGE(J50:XX50)</f>
        <v>#DIV/0!</v>
      </c>
    </row>
    <row r="51" spans="2:15" x14ac:dyDescent="0.3">
      <c r="B51" t="s">
        <v>132</v>
      </c>
      <c r="D51">
        <v>88</v>
      </c>
      <c r="E51">
        <v>91</v>
      </c>
      <c r="F51">
        <v>15</v>
      </c>
      <c r="H51">
        <v>47</v>
      </c>
      <c r="I51" s="3" t="e">
        <f>AVERAGE(J51:XX51)</f>
        <v>#DIV/0!</v>
      </c>
    </row>
    <row r="52" spans="2:15" x14ac:dyDescent="0.3">
      <c r="B52" t="s">
        <v>133</v>
      </c>
      <c r="D52">
        <v>88</v>
      </c>
      <c r="E52">
        <v>106</v>
      </c>
      <c r="F52">
        <v>16</v>
      </c>
      <c r="H52">
        <v>48</v>
      </c>
      <c r="I52" s="3">
        <f>AVERAGE(J52:XX52)</f>
        <v>0.26</v>
      </c>
      <c r="J52" s="3">
        <v>0.26</v>
      </c>
    </row>
    <row r="53" spans="2:15" x14ac:dyDescent="0.3">
      <c r="B53" t="s">
        <v>134</v>
      </c>
      <c r="D53">
        <v>103</v>
      </c>
      <c r="E53">
        <v>220</v>
      </c>
      <c r="F53">
        <v>23</v>
      </c>
      <c r="H53">
        <v>49</v>
      </c>
      <c r="I53" s="3">
        <f>AVERAGE(J53:XX53)</f>
        <v>0.42499999999999999</v>
      </c>
      <c r="J53" s="3">
        <v>0.26</v>
      </c>
      <c r="K53" s="3">
        <v>0.59</v>
      </c>
    </row>
    <row r="54" spans="2:15" x14ac:dyDescent="0.3">
      <c r="B54" t="s">
        <v>135</v>
      </c>
      <c r="D54">
        <v>178</v>
      </c>
      <c r="E54">
        <v>15064</v>
      </c>
      <c r="F54">
        <v>190</v>
      </c>
      <c r="H54">
        <v>50</v>
      </c>
      <c r="I54" s="3">
        <f>AVERAGE(J54:XX54)</f>
        <v>0.52</v>
      </c>
      <c r="J54" s="3">
        <v>0.52</v>
      </c>
    </row>
    <row r="55" spans="2:15" x14ac:dyDescent="0.3">
      <c r="B55" t="s">
        <v>136</v>
      </c>
      <c r="D55">
        <v>155</v>
      </c>
      <c r="E55">
        <v>4156</v>
      </c>
      <c r="F55">
        <v>99</v>
      </c>
      <c r="H55">
        <v>51</v>
      </c>
      <c r="I55" s="3">
        <f>AVERAGE(J55:XX55)</f>
        <v>0.27</v>
      </c>
      <c r="J55" s="3">
        <v>0.27</v>
      </c>
      <c r="K55" s="3">
        <v>0.27</v>
      </c>
      <c r="L55" s="3">
        <v>0.27</v>
      </c>
      <c r="M55" s="3">
        <v>0.27</v>
      </c>
      <c r="N55" s="3">
        <v>0.27</v>
      </c>
      <c r="O55" s="3">
        <v>0.27</v>
      </c>
    </row>
    <row r="56" spans="2:15" x14ac:dyDescent="0.3">
      <c r="B56" t="s">
        <v>137</v>
      </c>
      <c r="D56">
        <v>171</v>
      </c>
      <c r="E56">
        <v>10096</v>
      </c>
      <c r="F56">
        <v>155</v>
      </c>
      <c r="H56">
        <v>52</v>
      </c>
      <c r="I56" s="3">
        <f>AVERAGE(J56:XX56)</f>
        <v>0.33399999999999996</v>
      </c>
      <c r="J56" s="3">
        <v>0.27</v>
      </c>
      <c r="K56" s="3">
        <v>0.28000000000000003</v>
      </c>
      <c r="L56" s="3">
        <v>0.27</v>
      </c>
      <c r="M56" s="3">
        <v>0.27</v>
      </c>
      <c r="N56" s="3">
        <v>0.57999999999999996</v>
      </c>
    </row>
    <row r="57" spans="2:15" x14ac:dyDescent="0.3">
      <c r="B57" t="s">
        <v>138</v>
      </c>
      <c r="D57">
        <v>185</v>
      </c>
      <c r="E57">
        <v>22000</v>
      </c>
      <c r="F57">
        <v>234</v>
      </c>
      <c r="H57">
        <v>53</v>
      </c>
      <c r="I57" s="3" t="e">
        <f>AVERAGE(J57:XX57)</f>
        <v>#DIV/0!</v>
      </c>
    </row>
    <row r="58" spans="2:15" x14ac:dyDescent="0.3">
      <c r="B58" t="s">
        <v>139</v>
      </c>
      <c r="D58">
        <v>158</v>
      </c>
      <c r="E58">
        <v>4778</v>
      </c>
      <c r="F58">
        <v>107</v>
      </c>
      <c r="H58">
        <v>54</v>
      </c>
      <c r="I58" s="3" t="e">
        <f>AVERAGE(J58:XX58)</f>
        <v>#DIV/0!</v>
      </c>
    </row>
    <row r="59" spans="2:15" x14ac:dyDescent="0.3">
      <c r="B59" t="s">
        <v>140</v>
      </c>
      <c r="D59">
        <v>158</v>
      </c>
      <c r="E59">
        <v>4830</v>
      </c>
      <c r="F59">
        <v>107</v>
      </c>
      <c r="H59">
        <v>55</v>
      </c>
      <c r="I59" s="3" t="e">
        <f>AVERAGE(J59:XX59)</f>
        <v>#DIV/0!</v>
      </c>
    </row>
    <row r="60" spans="2:15" x14ac:dyDescent="0.3">
      <c r="B60" t="s">
        <v>141</v>
      </c>
      <c r="D60">
        <v>153</v>
      </c>
      <c r="E60">
        <v>3746</v>
      </c>
      <c r="F60">
        <v>94</v>
      </c>
      <c r="H60">
        <v>56</v>
      </c>
      <c r="I60" s="3" t="e">
        <f>AVERAGE(J60:XX60)</f>
        <v>#DIV/0!</v>
      </c>
    </row>
    <row r="61" spans="2:15" x14ac:dyDescent="0.3">
      <c r="B61" t="s">
        <v>142</v>
      </c>
      <c r="D61">
        <v>166</v>
      </c>
      <c r="E61">
        <v>7704</v>
      </c>
      <c r="F61">
        <v>135</v>
      </c>
      <c r="H61">
        <v>57</v>
      </c>
      <c r="I61" s="3">
        <f>AVERAGE(J61:XX61)</f>
        <v>0.7</v>
      </c>
      <c r="J61" s="3">
        <v>0.7</v>
      </c>
    </row>
    <row r="62" spans="2:15" x14ac:dyDescent="0.3">
      <c r="B62" t="s">
        <v>143</v>
      </c>
      <c r="D62">
        <v>179</v>
      </c>
      <c r="E62">
        <v>16004</v>
      </c>
      <c r="F62">
        <v>197</v>
      </c>
      <c r="H62">
        <v>58</v>
      </c>
      <c r="I62" s="3" t="e">
        <f>AVERAGE(J62:XX62)</f>
        <v>#DIV/0!</v>
      </c>
    </row>
    <row r="63" spans="2:15" x14ac:dyDescent="0.3">
      <c r="B63" t="s">
        <v>144</v>
      </c>
      <c r="D63">
        <v>120</v>
      </c>
      <c r="E63">
        <v>540</v>
      </c>
      <c r="F63">
        <v>36</v>
      </c>
      <c r="H63">
        <v>59</v>
      </c>
      <c r="I63" s="3" t="e">
        <f>AVERAGE(J63:XX63)</f>
        <v>#DIV/0!</v>
      </c>
    </row>
    <row r="64" spans="2:15" x14ac:dyDescent="0.3">
      <c r="B64" t="s">
        <v>145</v>
      </c>
      <c r="D64">
        <v>24</v>
      </c>
      <c r="E64">
        <v>11</v>
      </c>
      <c r="F64">
        <v>7</v>
      </c>
      <c r="H64">
        <v>60</v>
      </c>
      <c r="I64" s="3" t="e">
        <f>AVERAGE(J64:XX64)</f>
        <v>#DIV/0!</v>
      </c>
    </row>
    <row r="65" spans="2:16" x14ac:dyDescent="0.3">
      <c r="B65" t="s">
        <v>146</v>
      </c>
      <c r="D65">
        <v>148</v>
      </c>
      <c r="E65">
        <v>2731</v>
      </c>
      <c r="F65">
        <v>80</v>
      </c>
      <c r="H65">
        <v>61</v>
      </c>
      <c r="I65" s="3" t="e">
        <f>AVERAGE(J65:XX65)</f>
        <v>#DIV/0!</v>
      </c>
    </row>
    <row r="66" spans="2:16" x14ac:dyDescent="0.3">
      <c r="B66" t="s">
        <v>147</v>
      </c>
      <c r="D66">
        <v>186</v>
      </c>
      <c r="E66">
        <v>24136</v>
      </c>
      <c r="F66">
        <v>244</v>
      </c>
      <c r="H66">
        <v>62</v>
      </c>
      <c r="I66" s="3" t="e">
        <f>AVERAGE(J66:XX66)</f>
        <v>#DIV/0!</v>
      </c>
    </row>
    <row r="67" spans="2:16" x14ac:dyDescent="0.3">
      <c r="B67" t="s">
        <v>148</v>
      </c>
      <c r="D67">
        <v>164</v>
      </c>
      <c r="E67">
        <v>7052</v>
      </c>
      <c r="F67">
        <v>130</v>
      </c>
      <c r="H67">
        <v>63</v>
      </c>
      <c r="I67" s="3">
        <f>AVERAGE(J67:XX67)</f>
        <v>0.57000000000000006</v>
      </c>
      <c r="J67" s="3">
        <v>0.36</v>
      </c>
      <c r="K67" s="3">
        <v>0.78</v>
      </c>
    </row>
    <row r="68" spans="2:16" x14ac:dyDescent="0.3">
      <c r="B68" t="s">
        <v>149</v>
      </c>
      <c r="D68">
        <v>163</v>
      </c>
      <c r="E68">
        <v>6558</v>
      </c>
      <c r="F68">
        <v>125</v>
      </c>
      <c r="H68">
        <v>64</v>
      </c>
      <c r="I68" s="3">
        <f>AVERAGE(J68:XX68)</f>
        <v>0.36</v>
      </c>
      <c r="J68" s="3">
        <v>0.36</v>
      </c>
      <c r="K68" s="3">
        <v>0.36</v>
      </c>
    </row>
    <row r="69" spans="2:16" x14ac:dyDescent="0.3">
      <c r="B69" t="s">
        <v>150</v>
      </c>
      <c r="D69">
        <v>154</v>
      </c>
      <c r="E69">
        <v>3830</v>
      </c>
      <c r="F69">
        <v>95</v>
      </c>
      <c r="H69">
        <v>65</v>
      </c>
      <c r="I69" s="3">
        <f>AVERAGE(J69:XX69)</f>
        <v>0.67</v>
      </c>
      <c r="J69" s="3">
        <v>0.37</v>
      </c>
      <c r="K69" s="3">
        <v>0.8</v>
      </c>
      <c r="L69" s="3">
        <v>0.66</v>
      </c>
      <c r="M69" s="3">
        <v>0.85</v>
      </c>
    </row>
    <row r="70" spans="2:16" x14ac:dyDescent="0.3">
      <c r="B70" t="s">
        <v>151</v>
      </c>
      <c r="D70">
        <v>172</v>
      </c>
      <c r="E70">
        <v>11000</v>
      </c>
      <c r="F70">
        <v>162</v>
      </c>
      <c r="H70">
        <v>66</v>
      </c>
      <c r="I70" s="3" t="e">
        <f>AVERAGE(J70:XX70)</f>
        <v>#DIV/0!</v>
      </c>
    </row>
    <row r="71" spans="2:16" x14ac:dyDescent="0.3">
      <c r="B71" t="s">
        <v>152</v>
      </c>
      <c r="D71">
        <v>167</v>
      </c>
      <c r="E71">
        <v>8248</v>
      </c>
      <c r="F71">
        <v>140</v>
      </c>
      <c r="H71">
        <v>67</v>
      </c>
      <c r="I71" s="3" t="e">
        <f>AVERAGE(J71:XX71)</f>
        <v>#DIV/0!</v>
      </c>
    </row>
    <row r="72" spans="2:16" x14ac:dyDescent="0.3">
      <c r="B72" t="s">
        <v>153</v>
      </c>
      <c r="D72">
        <v>172</v>
      </c>
      <c r="E72">
        <v>10444</v>
      </c>
      <c r="F72">
        <v>158</v>
      </c>
      <c r="H72">
        <v>68</v>
      </c>
      <c r="I72" s="3" t="e">
        <f>AVERAGE(J72:XX72)</f>
        <v>#DIV/0!</v>
      </c>
    </row>
    <row r="73" spans="2:16" x14ac:dyDescent="0.3">
      <c r="B73" t="s">
        <v>154</v>
      </c>
      <c r="D73">
        <v>176</v>
      </c>
      <c r="E73">
        <v>13388</v>
      </c>
      <c r="F73">
        <v>180</v>
      </c>
      <c r="H73">
        <v>69</v>
      </c>
      <c r="I73" s="3" t="e">
        <f>AVERAGE(J73:XX73)</f>
        <v>#DIV/0!</v>
      </c>
    </row>
    <row r="74" spans="2:16" x14ac:dyDescent="0.3">
      <c r="B74" t="s">
        <v>155</v>
      </c>
      <c r="D74">
        <v>3</v>
      </c>
      <c r="E74">
        <v>2</v>
      </c>
      <c r="F74">
        <v>2</v>
      </c>
      <c r="H74">
        <v>70</v>
      </c>
      <c r="I74" s="3" t="e">
        <f>AVERAGE(J74:XX74)</f>
        <v>#DIV/0!</v>
      </c>
    </row>
    <row r="75" spans="2:16" x14ac:dyDescent="0.3">
      <c r="B75" t="s">
        <v>156</v>
      </c>
      <c r="D75">
        <v>156</v>
      </c>
      <c r="E75">
        <v>4254</v>
      </c>
      <c r="F75">
        <v>100</v>
      </c>
      <c r="H75">
        <v>71</v>
      </c>
      <c r="I75" s="3">
        <f>AVERAGE(J75:XX75)</f>
        <v>0.4</v>
      </c>
      <c r="J75" s="3">
        <v>0.4</v>
      </c>
    </row>
    <row r="76" spans="2:16" x14ac:dyDescent="0.3">
      <c r="B76" t="s">
        <v>157</v>
      </c>
      <c r="D76">
        <v>158</v>
      </c>
      <c r="E76">
        <v>4596</v>
      </c>
      <c r="F76">
        <v>104</v>
      </c>
      <c r="H76">
        <v>72</v>
      </c>
      <c r="I76" s="3">
        <f>AVERAGE(J76:XX76)</f>
        <v>0.39200000000000002</v>
      </c>
      <c r="J76" s="3">
        <v>0.39</v>
      </c>
      <c r="K76" s="3">
        <v>0.39</v>
      </c>
      <c r="L76" s="3">
        <v>0.39</v>
      </c>
      <c r="M76" s="3">
        <v>0.39</v>
      </c>
      <c r="N76" s="3">
        <v>0.4</v>
      </c>
    </row>
    <row r="77" spans="2:16" x14ac:dyDescent="0.3">
      <c r="B77" t="s">
        <v>158</v>
      </c>
      <c r="D77">
        <v>158</v>
      </c>
      <c r="E77">
        <v>5320</v>
      </c>
      <c r="F77">
        <v>112</v>
      </c>
      <c r="H77">
        <v>73</v>
      </c>
      <c r="I77" s="3">
        <f>AVERAGE(J77:XX77)</f>
        <v>0.59599999999999997</v>
      </c>
      <c r="J77" s="3">
        <v>0.41</v>
      </c>
      <c r="K77" s="3">
        <v>0.4</v>
      </c>
      <c r="L77" s="3">
        <v>0.41</v>
      </c>
      <c r="M77" s="3">
        <v>0.88</v>
      </c>
      <c r="N77" s="3">
        <v>0.88</v>
      </c>
    </row>
    <row r="78" spans="2:16" x14ac:dyDescent="0.3">
      <c r="B78" t="s">
        <v>159</v>
      </c>
      <c r="D78">
        <v>186</v>
      </c>
      <c r="E78">
        <v>23848</v>
      </c>
      <c r="F78">
        <v>242</v>
      </c>
      <c r="H78">
        <v>74</v>
      </c>
      <c r="I78" s="3" t="e">
        <f>AVERAGE(J78:XX78)</f>
        <v>#DIV/0!</v>
      </c>
    </row>
    <row r="79" spans="2:16" x14ac:dyDescent="0.3">
      <c r="B79" t="s">
        <v>160</v>
      </c>
      <c r="D79">
        <v>187</v>
      </c>
      <c r="E79">
        <v>25024</v>
      </c>
      <c r="F79">
        <v>254</v>
      </c>
      <c r="H79">
        <v>75</v>
      </c>
      <c r="I79" s="3">
        <f>AVERAGE(J79:XX79)</f>
        <v>0.91</v>
      </c>
      <c r="J79" s="3">
        <v>0.91</v>
      </c>
    </row>
    <row r="80" spans="2:16" x14ac:dyDescent="0.3">
      <c r="B80" t="s">
        <v>161</v>
      </c>
      <c r="D80">
        <v>153</v>
      </c>
      <c r="E80">
        <v>3748</v>
      </c>
      <c r="F80">
        <v>95</v>
      </c>
      <c r="H80">
        <v>76</v>
      </c>
      <c r="I80" s="3">
        <f>AVERAGE(J80:XX80)</f>
        <v>0.84285714285714264</v>
      </c>
      <c r="J80" s="3">
        <v>0.47</v>
      </c>
      <c r="K80" s="3">
        <v>0.45</v>
      </c>
      <c r="L80" s="3">
        <v>0.45</v>
      </c>
      <c r="M80" s="3">
        <v>0.46</v>
      </c>
      <c r="N80" s="3">
        <v>1.1499999999999999</v>
      </c>
      <c r="O80" s="3">
        <v>1.1499999999999999</v>
      </c>
      <c r="P80" s="3">
        <v>1.77</v>
      </c>
    </row>
    <row r="81" spans="2:27" x14ac:dyDescent="0.3">
      <c r="B81" t="s">
        <v>162</v>
      </c>
      <c r="D81">
        <v>146</v>
      </c>
      <c r="E81">
        <v>2434</v>
      </c>
      <c r="F81">
        <v>76</v>
      </c>
      <c r="H81">
        <v>77</v>
      </c>
      <c r="I81" s="3">
        <f>AVERAGE(J81:XX81)</f>
        <v>0.98</v>
      </c>
      <c r="J81" s="3">
        <v>0.48</v>
      </c>
      <c r="K81" s="3">
        <v>1.48</v>
      </c>
    </row>
    <row r="82" spans="2:27" x14ac:dyDescent="0.3">
      <c r="B82" t="s">
        <v>163</v>
      </c>
      <c r="D82">
        <v>173</v>
      </c>
      <c r="E82">
        <v>11620</v>
      </c>
      <c r="F82">
        <v>167</v>
      </c>
      <c r="H82">
        <v>78</v>
      </c>
      <c r="I82" s="3">
        <f>AVERAGE(J82:XX82)</f>
        <v>0.50749999999999995</v>
      </c>
      <c r="J82" s="3">
        <v>0.5</v>
      </c>
      <c r="K82" s="3">
        <v>0.51</v>
      </c>
      <c r="L82" s="3">
        <v>0.51</v>
      </c>
      <c r="M82" s="3">
        <v>0.51</v>
      </c>
      <c r="N82" s="3">
        <v>0.51</v>
      </c>
      <c r="O82" s="3">
        <v>0.51</v>
      </c>
      <c r="P82" s="3">
        <v>0.51</v>
      </c>
      <c r="Q82" s="3">
        <v>0.5</v>
      </c>
    </row>
    <row r="83" spans="2:27" x14ac:dyDescent="0.3">
      <c r="B83" t="s">
        <v>164</v>
      </c>
      <c r="D83">
        <v>163</v>
      </c>
      <c r="E83">
        <v>6366</v>
      </c>
      <c r="F83">
        <v>123</v>
      </c>
      <c r="H83">
        <v>79</v>
      </c>
      <c r="I83" s="3">
        <f>AVERAGE(J83:XX83)</f>
        <v>0.84499999999999997</v>
      </c>
      <c r="J83" s="3">
        <v>0.51</v>
      </c>
      <c r="K83" s="3">
        <v>1.18</v>
      </c>
    </row>
    <row r="84" spans="2:27" x14ac:dyDescent="0.3">
      <c r="B84" t="s">
        <v>165</v>
      </c>
      <c r="D84">
        <v>172</v>
      </c>
      <c r="E84">
        <v>10556</v>
      </c>
      <c r="F84">
        <v>159</v>
      </c>
      <c r="H84">
        <v>80</v>
      </c>
      <c r="I84" s="3">
        <f>AVERAGE(J84:XX84)</f>
        <v>0.60133333333333339</v>
      </c>
      <c r="J84" s="3">
        <v>0.55000000000000004</v>
      </c>
      <c r="K84" s="3">
        <v>0.56999999999999995</v>
      </c>
      <c r="L84" s="3">
        <v>0.57999999999999996</v>
      </c>
      <c r="M84" s="3">
        <v>0.56999999999999995</v>
      </c>
      <c r="N84" s="3">
        <v>0.56999999999999995</v>
      </c>
      <c r="O84" s="3">
        <v>0.56999999999999995</v>
      </c>
      <c r="P84" s="3">
        <v>0.56999999999999995</v>
      </c>
      <c r="Q84" s="3">
        <v>0.56000000000000005</v>
      </c>
      <c r="R84" s="3">
        <v>0.56999999999999995</v>
      </c>
      <c r="S84" s="3">
        <v>0.56999999999999995</v>
      </c>
      <c r="T84" s="3">
        <v>0.56999999999999995</v>
      </c>
      <c r="U84" s="3">
        <v>0.56999999999999995</v>
      </c>
      <c r="V84" s="3">
        <v>0.56999999999999995</v>
      </c>
      <c r="W84" s="3">
        <v>0.56000000000000005</v>
      </c>
      <c r="X84" s="3">
        <v>1.07</v>
      </c>
    </row>
    <row r="85" spans="2:27" x14ac:dyDescent="0.3">
      <c r="B85" t="s">
        <v>166</v>
      </c>
      <c r="D85">
        <v>170</v>
      </c>
      <c r="E85">
        <v>9172</v>
      </c>
      <c r="F85">
        <v>148</v>
      </c>
      <c r="H85">
        <v>81</v>
      </c>
      <c r="I85" s="3">
        <f>AVERAGE(J85:XX85)</f>
        <v>1.24</v>
      </c>
      <c r="J85" s="3">
        <v>1.31</v>
      </c>
      <c r="K85" s="3">
        <v>1.17</v>
      </c>
    </row>
    <row r="86" spans="2:27" x14ac:dyDescent="0.3">
      <c r="B86" t="s">
        <v>167</v>
      </c>
      <c r="D86">
        <v>147</v>
      </c>
      <c r="E86">
        <v>2515</v>
      </c>
      <c r="F86">
        <v>77</v>
      </c>
      <c r="H86">
        <v>82</v>
      </c>
      <c r="I86" s="3">
        <f>AVERAGE(J86:XX86)</f>
        <v>1.2949999999999999</v>
      </c>
      <c r="J86" s="3">
        <v>1.41</v>
      </c>
      <c r="K86" s="3">
        <v>1.18</v>
      </c>
    </row>
    <row r="87" spans="2:27" x14ac:dyDescent="0.3">
      <c r="B87" t="s">
        <v>168</v>
      </c>
      <c r="D87">
        <v>140</v>
      </c>
      <c r="E87">
        <v>1743</v>
      </c>
      <c r="F87">
        <v>64</v>
      </c>
      <c r="H87">
        <v>83</v>
      </c>
      <c r="I87" s="3">
        <f>AVERAGE(J87:XX87)</f>
        <v>0.63444444444444459</v>
      </c>
      <c r="J87" s="3">
        <v>0.63</v>
      </c>
      <c r="K87" s="3">
        <v>0.63</v>
      </c>
      <c r="L87" s="3">
        <v>0.63</v>
      </c>
      <c r="M87" s="3">
        <v>0.63</v>
      </c>
      <c r="N87" s="3">
        <v>0.63</v>
      </c>
      <c r="O87" s="3">
        <v>0.63</v>
      </c>
      <c r="P87" s="3">
        <v>0.63</v>
      </c>
      <c r="Q87" s="3">
        <v>0.63</v>
      </c>
      <c r="R87" s="3">
        <v>0.63</v>
      </c>
      <c r="S87" s="3">
        <v>0.63</v>
      </c>
      <c r="T87" s="3">
        <v>0.63</v>
      </c>
      <c r="U87" s="3">
        <v>0.64</v>
      </c>
      <c r="V87" s="3">
        <v>0.64</v>
      </c>
      <c r="W87" s="3">
        <v>0.64</v>
      </c>
      <c r="X87" s="3">
        <v>0.64</v>
      </c>
      <c r="Y87" s="3">
        <v>0.64</v>
      </c>
      <c r="Z87" s="3">
        <v>0.64</v>
      </c>
      <c r="AA87" s="3">
        <v>0.65</v>
      </c>
    </row>
    <row r="88" spans="2:27" x14ac:dyDescent="0.3">
      <c r="B88" t="s">
        <v>109</v>
      </c>
      <c r="D88">
        <v>4</v>
      </c>
      <c r="E88">
        <v>2</v>
      </c>
      <c r="F88">
        <v>2</v>
      </c>
      <c r="H88">
        <v>84</v>
      </c>
      <c r="I88" s="3">
        <f>AVERAGE(J88:XX88)</f>
        <v>0.70400000000000007</v>
      </c>
      <c r="J88" s="3">
        <v>0.71</v>
      </c>
      <c r="K88" s="3">
        <v>0.7</v>
      </c>
      <c r="L88" s="3">
        <v>0.71</v>
      </c>
      <c r="M88" s="3">
        <v>0.7</v>
      </c>
      <c r="N88" s="3">
        <v>0.7</v>
      </c>
    </row>
    <row r="89" spans="2:27" x14ac:dyDescent="0.3">
      <c r="B89" t="s">
        <v>169</v>
      </c>
      <c r="D89">
        <v>159</v>
      </c>
      <c r="E89">
        <v>4974</v>
      </c>
      <c r="F89">
        <v>108</v>
      </c>
      <c r="H89">
        <v>85</v>
      </c>
      <c r="I89" s="3">
        <f>AVERAGE(J89:XX89)</f>
        <v>1.5125000000000002</v>
      </c>
      <c r="J89" s="3">
        <v>1.22</v>
      </c>
      <c r="K89" s="3">
        <v>1.65</v>
      </c>
      <c r="L89" s="3">
        <v>1.61</v>
      </c>
      <c r="M89" s="3">
        <v>1.57</v>
      </c>
    </row>
    <row r="90" spans="2:27" x14ac:dyDescent="0.3">
      <c r="B90" t="s">
        <v>170</v>
      </c>
      <c r="D90">
        <v>176</v>
      </c>
      <c r="E90">
        <v>13696</v>
      </c>
      <c r="F90">
        <v>181</v>
      </c>
      <c r="H90">
        <v>86</v>
      </c>
      <c r="I90" s="3">
        <f>AVERAGE(J90:XX90)</f>
        <v>0.82611111111111102</v>
      </c>
      <c r="J90" s="3">
        <v>0.8</v>
      </c>
      <c r="K90" s="3">
        <v>0.79</v>
      </c>
      <c r="L90" s="3">
        <v>0.8</v>
      </c>
      <c r="M90" s="3">
        <v>0.8</v>
      </c>
      <c r="N90" s="3">
        <v>0.8</v>
      </c>
      <c r="O90" s="3">
        <v>0.79</v>
      </c>
      <c r="P90" s="3">
        <v>0.77</v>
      </c>
      <c r="Q90" s="3">
        <v>0.75</v>
      </c>
      <c r="R90" s="3">
        <v>0.76</v>
      </c>
      <c r="S90" s="3">
        <v>0.76</v>
      </c>
      <c r="T90" s="3">
        <v>0.76</v>
      </c>
      <c r="U90" s="3">
        <v>0.75</v>
      </c>
      <c r="V90" s="3">
        <v>0.75</v>
      </c>
      <c r="W90" s="3">
        <v>0.75</v>
      </c>
      <c r="X90" s="3">
        <v>0.75</v>
      </c>
      <c r="Y90" s="3">
        <v>0.78</v>
      </c>
      <c r="Z90" s="3">
        <v>0.78</v>
      </c>
      <c r="AA90" s="3">
        <v>1.73</v>
      </c>
    </row>
    <row r="91" spans="2:27" x14ac:dyDescent="0.3">
      <c r="B91" t="s">
        <v>171</v>
      </c>
      <c r="D91">
        <v>176</v>
      </c>
      <c r="E91">
        <v>22760</v>
      </c>
      <c r="F91">
        <v>237</v>
      </c>
      <c r="H91">
        <v>87</v>
      </c>
      <c r="I91" s="3">
        <f>AVERAGE(J91:XX91)</f>
        <v>1.88</v>
      </c>
      <c r="J91" s="3">
        <v>1.65</v>
      </c>
      <c r="K91" s="3">
        <v>2.11</v>
      </c>
    </row>
    <row r="92" spans="2:27" x14ac:dyDescent="0.3">
      <c r="B92" t="s">
        <v>172</v>
      </c>
      <c r="D92">
        <v>154</v>
      </c>
      <c r="E92">
        <v>3872</v>
      </c>
      <c r="F92">
        <v>96</v>
      </c>
      <c r="H92">
        <v>88</v>
      </c>
      <c r="I92" s="3">
        <f>AVERAGE(J92:XX92)</f>
        <v>0.9107142857142857</v>
      </c>
      <c r="J92" s="3">
        <v>0.91</v>
      </c>
      <c r="K92" s="3">
        <v>1.06</v>
      </c>
      <c r="L92" s="3">
        <v>0.91</v>
      </c>
      <c r="M92" s="3">
        <v>0.89</v>
      </c>
      <c r="N92" s="3">
        <v>0.89</v>
      </c>
      <c r="O92" s="3">
        <v>0.89</v>
      </c>
      <c r="P92" s="3">
        <v>0.89</v>
      </c>
      <c r="Q92" s="3">
        <v>0.89</v>
      </c>
      <c r="R92" s="3">
        <v>0.9</v>
      </c>
      <c r="S92" s="3">
        <v>0.89</v>
      </c>
      <c r="T92" s="3">
        <v>0.89</v>
      </c>
      <c r="U92" s="3">
        <v>0.9</v>
      </c>
      <c r="V92" s="3">
        <v>0.91</v>
      </c>
      <c r="W92" s="3">
        <v>0.93</v>
      </c>
    </row>
    <row r="93" spans="2:27" x14ac:dyDescent="0.3">
      <c r="B93" t="s">
        <v>173</v>
      </c>
      <c r="D93">
        <v>185</v>
      </c>
      <c r="E93">
        <v>21976</v>
      </c>
      <c r="F93">
        <v>234</v>
      </c>
      <c r="H93">
        <v>89</v>
      </c>
      <c r="I93" s="3">
        <f>AVERAGE(J93:XX93)</f>
        <v>0.91</v>
      </c>
      <c r="J93" s="3">
        <v>0.91</v>
      </c>
    </row>
    <row r="94" spans="2:27" x14ac:dyDescent="0.3">
      <c r="B94" t="s">
        <v>174</v>
      </c>
      <c r="D94">
        <v>167</v>
      </c>
      <c r="E94">
        <v>8094</v>
      </c>
      <c r="F94">
        <v>140</v>
      </c>
      <c r="H94">
        <v>90</v>
      </c>
      <c r="I94" s="3">
        <f>AVERAGE(J94:XX94)</f>
        <v>1.578888888888889</v>
      </c>
      <c r="J94" s="3">
        <v>1.03</v>
      </c>
      <c r="K94" s="3">
        <v>1.03</v>
      </c>
      <c r="L94" s="3">
        <v>1.03</v>
      </c>
      <c r="M94" s="3">
        <v>1.03</v>
      </c>
      <c r="N94" s="3">
        <v>1.03</v>
      </c>
      <c r="O94" s="3">
        <v>2.31</v>
      </c>
      <c r="P94" s="3">
        <v>2.3199999999999998</v>
      </c>
      <c r="Q94" s="3">
        <v>2.33</v>
      </c>
      <c r="R94" s="3">
        <v>2.1</v>
      </c>
    </row>
    <row r="95" spans="2:27" x14ac:dyDescent="0.3">
      <c r="B95" t="s">
        <v>175</v>
      </c>
      <c r="D95">
        <v>172</v>
      </c>
      <c r="E95">
        <v>10952</v>
      </c>
      <c r="F95">
        <v>163</v>
      </c>
      <c r="H95">
        <v>91</v>
      </c>
      <c r="I95" s="3">
        <f>AVERAGE(J95:XX95)</f>
        <v>1.0580000000000003</v>
      </c>
      <c r="J95" s="3">
        <v>1.04</v>
      </c>
      <c r="K95" s="3">
        <v>1.06</v>
      </c>
      <c r="L95" s="3">
        <v>1.05</v>
      </c>
      <c r="M95" s="3">
        <v>1.07</v>
      </c>
      <c r="N95" s="3">
        <v>1.07</v>
      </c>
    </row>
    <row r="96" spans="2:27" x14ac:dyDescent="0.3">
      <c r="B96" t="s">
        <v>176</v>
      </c>
      <c r="D96">
        <v>159</v>
      </c>
      <c r="E96">
        <v>4988</v>
      </c>
      <c r="F96">
        <v>109</v>
      </c>
      <c r="H96">
        <v>92</v>
      </c>
      <c r="I96" s="3">
        <f>AVERAGE(J96:XX96)</f>
        <v>2.9866666666666664</v>
      </c>
      <c r="J96" s="3">
        <v>2.5</v>
      </c>
      <c r="K96" s="3">
        <v>2.52</v>
      </c>
      <c r="L96" s="3">
        <v>3.94</v>
      </c>
    </row>
    <row r="97" spans="2:21" x14ac:dyDescent="0.3">
      <c r="B97" t="s">
        <v>177</v>
      </c>
      <c r="D97">
        <v>184</v>
      </c>
      <c r="E97">
        <v>20472</v>
      </c>
      <c r="F97">
        <v>225</v>
      </c>
      <c r="H97">
        <v>93</v>
      </c>
      <c r="I97" s="3">
        <f>AVERAGE(J97:XX97)</f>
        <v>1.1916666666666664</v>
      </c>
      <c r="J97" s="3">
        <v>1.18</v>
      </c>
      <c r="K97" s="3">
        <v>1.19</v>
      </c>
      <c r="L97" s="3">
        <v>1.19</v>
      </c>
      <c r="M97" s="3">
        <v>1.19</v>
      </c>
      <c r="N97" s="3">
        <v>1.19</v>
      </c>
      <c r="O97" s="3">
        <v>1.19</v>
      </c>
      <c r="P97" s="3">
        <v>1.18</v>
      </c>
      <c r="Q97" s="3">
        <v>1.19</v>
      </c>
      <c r="R97" s="3">
        <v>1.19</v>
      </c>
      <c r="S97" s="3">
        <v>1.19</v>
      </c>
      <c r="T97" s="3">
        <v>1.19</v>
      </c>
      <c r="U97" s="3">
        <v>1.23</v>
      </c>
    </row>
    <row r="98" spans="2:21" x14ac:dyDescent="0.3">
      <c r="B98" t="s">
        <v>178</v>
      </c>
      <c r="D98">
        <v>159</v>
      </c>
      <c r="E98">
        <v>5142</v>
      </c>
      <c r="F98">
        <v>111</v>
      </c>
      <c r="H98">
        <v>94</v>
      </c>
      <c r="I98" s="3">
        <f>AVERAGE(J98:XX98)</f>
        <v>2.8388888888888886</v>
      </c>
      <c r="J98" s="3">
        <v>2.11</v>
      </c>
      <c r="K98" s="3">
        <v>2.82</v>
      </c>
      <c r="L98" s="3">
        <v>2.76</v>
      </c>
      <c r="M98" s="3">
        <v>2.77</v>
      </c>
      <c r="N98" s="3">
        <v>2.86</v>
      </c>
      <c r="O98" s="3">
        <v>2.85</v>
      </c>
      <c r="P98" s="3">
        <v>2.95</v>
      </c>
      <c r="Q98" s="3">
        <v>2.95</v>
      </c>
      <c r="R98" s="3">
        <v>3.48</v>
      </c>
    </row>
    <row r="99" spans="2:21" x14ac:dyDescent="0.3">
      <c r="B99" t="s">
        <v>179</v>
      </c>
      <c r="D99">
        <v>159</v>
      </c>
      <c r="E99">
        <v>5106</v>
      </c>
      <c r="F99">
        <v>110</v>
      </c>
      <c r="H99">
        <v>95</v>
      </c>
      <c r="I99" s="3">
        <f>AVERAGE(J99:XX99)</f>
        <v>2.97</v>
      </c>
      <c r="J99" s="3">
        <v>2.99</v>
      </c>
      <c r="K99" s="3">
        <v>2.96</v>
      </c>
      <c r="L99" s="3">
        <v>2.96</v>
      </c>
    </row>
    <row r="100" spans="2:21" x14ac:dyDescent="0.3">
      <c r="B100" t="s">
        <v>180</v>
      </c>
      <c r="D100">
        <v>115</v>
      </c>
      <c r="E100">
        <v>428</v>
      </c>
      <c r="F100">
        <v>32</v>
      </c>
      <c r="H100">
        <v>96</v>
      </c>
      <c r="I100" s="3">
        <f>AVERAGE(J100:XX100)</f>
        <v>2.6283333333333334</v>
      </c>
      <c r="J100" s="3">
        <v>2.34</v>
      </c>
      <c r="K100" s="3">
        <v>3.07</v>
      </c>
      <c r="L100" s="3">
        <v>2.13</v>
      </c>
      <c r="M100" s="3">
        <v>2.67</v>
      </c>
      <c r="N100" s="3">
        <v>2.38</v>
      </c>
      <c r="O100" s="3">
        <v>3.18</v>
      </c>
    </row>
    <row r="101" spans="2:21" x14ac:dyDescent="0.3">
      <c r="B101" t="s">
        <v>181</v>
      </c>
      <c r="D101">
        <v>174</v>
      </c>
      <c r="E101">
        <v>12392</v>
      </c>
      <c r="F101">
        <v>172</v>
      </c>
      <c r="H101">
        <v>97</v>
      </c>
      <c r="I101" s="3">
        <f>AVERAGE(J101:XX101)</f>
        <v>2.6150000000000002</v>
      </c>
      <c r="J101" s="3">
        <v>2.44</v>
      </c>
      <c r="K101" s="3">
        <v>2.79</v>
      </c>
    </row>
    <row r="102" spans="2:21" x14ac:dyDescent="0.3">
      <c r="B102" t="s">
        <v>182</v>
      </c>
      <c r="D102">
        <v>150</v>
      </c>
      <c r="E102">
        <v>3212</v>
      </c>
      <c r="F102">
        <v>87</v>
      </c>
      <c r="H102">
        <v>98</v>
      </c>
      <c r="I102" s="3">
        <f>AVERAGE(J102:XX102)</f>
        <v>3.42</v>
      </c>
      <c r="J102" s="3">
        <v>3.42</v>
      </c>
    </row>
    <row r="103" spans="2:21" x14ac:dyDescent="0.3">
      <c r="B103" t="s">
        <v>183</v>
      </c>
      <c r="D103">
        <v>173</v>
      </c>
      <c r="E103">
        <v>11696</v>
      </c>
      <c r="F103">
        <v>167</v>
      </c>
      <c r="H103">
        <v>99</v>
      </c>
      <c r="I103" s="3">
        <f>AVERAGE(J103:XX103)</f>
        <v>2.1500000000000004</v>
      </c>
      <c r="J103" s="3">
        <v>1.62</v>
      </c>
      <c r="K103" s="3">
        <v>2.68</v>
      </c>
    </row>
    <row r="104" spans="2:21" x14ac:dyDescent="0.3">
      <c r="B104" t="s">
        <v>184</v>
      </c>
      <c r="D104">
        <v>173</v>
      </c>
      <c r="E104">
        <v>12332</v>
      </c>
      <c r="F104">
        <v>172</v>
      </c>
      <c r="H104">
        <v>100</v>
      </c>
      <c r="I104" s="3">
        <f>AVERAGE(J104:XX104)</f>
        <v>3.7149999999999999</v>
      </c>
      <c r="J104" s="3">
        <v>4.0599999999999996</v>
      </c>
      <c r="K104" s="3">
        <v>3.14</v>
      </c>
      <c r="L104" s="3">
        <v>3.87</v>
      </c>
      <c r="M104" s="3">
        <v>3.79</v>
      </c>
    </row>
    <row r="105" spans="2:21" x14ac:dyDescent="0.3">
      <c r="B105" t="s">
        <v>185</v>
      </c>
      <c r="D105">
        <v>177</v>
      </c>
      <c r="E105">
        <v>14536</v>
      </c>
      <c r="F105">
        <v>188</v>
      </c>
      <c r="H105">
        <v>101</v>
      </c>
      <c r="I105" s="3">
        <f>AVERAGE(J105:XX105)</f>
        <v>4.0233333333333334</v>
      </c>
      <c r="J105" s="3">
        <v>4.21</v>
      </c>
      <c r="K105" s="3">
        <v>3.78</v>
      </c>
      <c r="L105" s="3">
        <v>4.08</v>
      </c>
    </row>
    <row r="106" spans="2:21" x14ac:dyDescent="0.3">
      <c r="B106" t="s">
        <v>186</v>
      </c>
      <c r="D106">
        <v>127</v>
      </c>
      <c r="E106">
        <v>851</v>
      </c>
      <c r="F106">
        <v>45</v>
      </c>
      <c r="H106">
        <v>102</v>
      </c>
      <c r="I106" s="3">
        <f>AVERAGE(J106:XX106)</f>
        <v>1.99</v>
      </c>
      <c r="J106" s="3">
        <v>1.99</v>
      </c>
    </row>
    <row r="107" spans="2:21" x14ac:dyDescent="0.3">
      <c r="B107" t="s">
        <v>187</v>
      </c>
      <c r="D107">
        <v>11</v>
      </c>
      <c r="E107">
        <v>6</v>
      </c>
      <c r="F107">
        <v>5</v>
      </c>
      <c r="H107">
        <v>103</v>
      </c>
      <c r="I107" s="3">
        <f>AVERAGE(J107:XX107)</f>
        <v>4.66</v>
      </c>
      <c r="J107" s="3">
        <v>2.2000000000000002</v>
      </c>
      <c r="K107" s="3">
        <v>7.12</v>
      </c>
    </row>
    <row r="108" spans="2:21" x14ac:dyDescent="0.3">
      <c r="B108" t="s">
        <v>188</v>
      </c>
      <c r="D108">
        <v>171</v>
      </c>
      <c r="E108">
        <v>9896</v>
      </c>
      <c r="F108">
        <v>153</v>
      </c>
      <c r="H108">
        <v>104</v>
      </c>
      <c r="I108" s="3" t="e">
        <f>AVERAGE(J108:XX108)</f>
        <v>#DIV/0!</v>
      </c>
    </row>
    <row r="109" spans="2:21" x14ac:dyDescent="0.3">
      <c r="B109" t="s">
        <v>189</v>
      </c>
      <c r="D109">
        <v>140</v>
      </c>
      <c r="E109">
        <v>1744</v>
      </c>
      <c r="F109">
        <v>64</v>
      </c>
      <c r="H109">
        <v>105</v>
      </c>
      <c r="I109" s="3">
        <f>AVERAGE(J109:XX109)</f>
        <v>4.76</v>
      </c>
      <c r="J109" s="3">
        <v>4.76</v>
      </c>
    </row>
    <row r="110" spans="2:21" x14ac:dyDescent="0.3">
      <c r="B110" t="s">
        <v>190</v>
      </c>
      <c r="D110">
        <v>172</v>
      </c>
      <c r="E110">
        <v>11040</v>
      </c>
      <c r="F110">
        <v>162</v>
      </c>
      <c r="H110">
        <v>106</v>
      </c>
      <c r="I110" s="3" t="e">
        <f>AVERAGE(J110:XX110)</f>
        <v>#DIV/0!</v>
      </c>
    </row>
    <row r="111" spans="2:21" x14ac:dyDescent="0.3">
      <c r="B111" t="s">
        <v>191</v>
      </c>
      <c r="D111">
        <v>186</v>
      </c>
      <c r="E111">
        <v>23224</v>
      </c>
      <c r="F111">
        <v>240</v>
      </c>
      <c r="H111">
        <v>107</v>
      </c>
      <c r="I111" s="3" t="e">
        <f>AVERAGE(J111:XX111)</f>
        <v>#DIV/0!</v>
      </c>
    </row>
    <row r="112" spans="2:21" x14ac:dyDescent="0.3">
      <c r="B112" t="s">
        <v>192</v>
      </c>
      <c r="D112">
        <v>169</v>
      </c>
      <c r="E112">
        <v>8708</v>
      </c>
      <c r="F112">
        <v>145</v>
      </c>
      <c r="H112">
        <v>108</v>
      </c>
      <c r="I112" s="3">
        <f>AVERAGE(J112:XX112)</f>
        <v>6.57</v>
      </c>
      <c r="J112" s="3">
        <v>6.57</v>
      </c>
    </row>
    <row r="113" spans="2:14" x14ac:dyDescent="0.3">
      <c r="B113" t="s">
        <v>193</v>
      </c>
      <c r="D113">
        <v>184</v>
      </c>
      <c r="E113">
        <v>20992</v>
      </c>
      <c r="F113">
        <v>229</v>
      </c>
      <c r="H113">
        <v>109</v>
      </c>
      <c r="I113" s="3">
        <f>AVERAGE(J113:XX113)</f>
        <v>7.3040000000000003</v>
      </c>
      <c r="J113" s="3">
        <v>5.07</v>
      </c>
      <c r="K113" s="3">
        <v>10</v>
      </c>
      <c r="L113" s="3">
        <v>5.07</v>
      </c>
      <c r="M113" s="3">
        <v>10</v>
      </c>
      <c r="N113" s="3">
        <v>6.38</v>
      </c>
    </row>
    <row r="114" spans="2:14" x14ac:dyDescent="0.3">
      <c r="B114" t="s">
        <v>194</v>
      </c>
      <c r="D114">
        <v>137</v>
      </c>
      <c r="E114">
        <v>1497</v>
      </c>
      <c r="F114">
        <v>60</v>
      </c>
      <c r="H114">
        <v>110</v>
      </c>
      <c r="I114" s="3">
        <f>AVERAGE(J114:XX114)</f>
        <v>7.47</v>
      </c>
      <c r="J114" s="3">
        <v>7.47</v>
      </c>
      <c r="K114" s="3">
        <v>7.47</v>
      </c>
    </row>
    <row r="115" spans="2:14" x14ac:dyDescent="0.3">
      <c r="B115" t="s">
        <v>195</v>
      </c>
      <c r="D115">
        <v>174</v>
      </c>
      <c r="E115">
        <v>11832</v>
      </c>
      <c r="F115">
        <v>169</v>
      </c>
      <c r="H115">
        <v>111</v>
      </c>
      <c r="I115" s="3">
        <f>AVERAGE(J115:XX115)</f>
        <v>4.99</v>
      </c>
      <c r="J115" s="3">
        <v>3.24</v>
      </c>
      <c r="K115" s="3">
        <v>6.74</v>
      </c>
    </row>
    <row r="116" spans="2:14" x14ac:dyDescent="0.3">
      <c r="B116" t="s">
        <v>125</v>
      </c>
      <c r="D116">
        <v>132</v>
      </c>
      <c r="E116">
        <v>1100</v>
      </c>
      <c r="F116">
        <v>51</v>
      </c>
      <c r="H116">
        <v>112</v>
      </c>
      <c r="I116" s="3">
        <f>AVERAGE(J116:XX116)</f>
        <v>7.68</v>
      </c>
      <c r="J116" s="3">
        <v>8.49</v>
      </c>
      <c r="K116" s="3">
        <v>6.87</v>
      </c>
    </row>
    <row r="117" spans="2:14" x14ac:dyDescent="0.3">
      <c r="B117" t="s">
        <v>196</v>
      </c>
      <c r="D117">
        <v>147</v>
      </c>
      <c r="E117">
        <v>2597</v>
      </c>
      <c r="F117">
        <v>78</v>
      </c>
      <c r="H117">
        <v>113</v>
      </c>
      <c r="I117" s="3">
        <f>AVERAGE(J117:XX117)</f>
        <v>8.02</v>
      </c>
      <c r="J117" s="3">
        <v>8.02</v>
      </c>
    </row>
    <row r="118" spans="2:14" x14ac:dyDescent="0.3">
      <c r="B118" t="s">
        <v>197</v>
      </c>
      <c r="D118">
        <v>147</v>
      </c>
      <c r="E118">
        <v>6112</v>
      </c>
      <c r="F118">
        <v>120</v>
      </c>
      <c r="H118">
        <v>114</v>
      </c>
      <c r="I118" s="3">
        <f>AVERAGE(J118:XX118)</f>
        <v>8.3666666666666671</v>
      </c>
      <c r="J118" s="3">
        <v>7.62</v>
      </c>
      <c r="K118" s="3">
        <v>8.74</v>
      </c>
      <c r="L118" s="3">
        <v>8.74</v>
      </c>
    </row>
    <row r="119" spans="2:14" x14ac:dyDescent="0.3">
      <c r="B119" t="s">
        <v>198</v>
      </c>
      <c r="D119">
        <v>163</v>
      </c>
      <c r="E119">
        <v>6520</v>
      </c>
      <c r="F119">
        <v>124</v>
      </c>
      <c r="H119">
        <v>115</v>
      </c>
      <c r="I119" s="3">
        <f>AVERAGE(J119:XX119)</f>
        <v>4.2850000000000001</v>
      </c>
      <c r="J119" s="3">
        <v>4.28</v>
      </c>
      <c r="K119" s="3">
        <v>4.29</v>
      </c>
    </row>
    <row r="120" spans="2:14" x14ac:dyDescent="0.3">
      <c r="B120" t="s">
        <v>199</v>
      </c>
      <c r="D120">
        <v>144</v>
      </c>
      <c r="E120">
        <v>2205</v>
      </c>
      <c r="F120">
        <v>72</v>
      </c>
      <c r="H120">
        <v>116</v>
      </c>
      <c r="I120" s="3" t="e">
        <f>AVERAGE(J120:XX120)</f>
        <v>#DIV/0!</v>
      </c>
    </row>
    <row r="121" spans="2:14" x14ac:dyDescent="0.3">
      <c r="B121" t="s">
        <v>200</v>
      </c>
      <c r="D121">
        <v>185</v>
      </c>
      <c r="E121">
        <v>22384</v>
      </c>
      <c r="F121">
        <v>234</v>
      </c>
      <c r="H121">
        <v>117</v>
      </c>
      <c r="I121" s="3">
        <f>AVERAGE(J121:XX121)</f>
        <v>4.8100000000000005</v>
      </c>
      <c r="J121" s="3">
        <v>4.84</v>
      </c>
      <c r="K121" s="3">
        <v>4.78</v>
      </c>
    </row>
    <row r="122" spans="2:14" x14ac:dyDescent="0.3">
      <c r="B122" t="s">
        <v>201</v>
      </c>
      <c r="D122">
        <v>127</v>
      </c>
      <c r="E122">
        <v>850</v>
      </c>
      <c r="F122">
        <v>45</v>
      </c>
      <c r="H122">
        <v>118</v>
      </c>
      <c r="I122" s="3">
        <f>AVERAGE(J122:XX122)</f>
        <v>5.12</v>
      </c>
      <c r="J122" s="3">
        <v>5.12</v>
      </c>
    </row>
    <row r="123" spans="2:14" x14ac:dyDescent="0.3">
      <c r="B123" t="s">
        <v>202</v>
      </c>
      <c r="D123">
        <v>145</v>
      </c>
      <c r="E123">
        <v>2270</v>
      </c>
      <c r="F123">
        <v>73</v>
      </c>
      <c r="H123">
        <v>119</v>
      </c>
      <c r="I123" s="3" t="e">
        <f>AVERAGE(J123:XX123)</f>
        <v>#DIV/0!</v>
      </c>
    </row>
    <row r="124" spans="2:14" x14ac:dyDescent="0.3">
      <c r="B124" t="s">
        <v>203</v>
      </c>
      <c r="D124">
        <v>161</v>
      </c>
      <c r="E124">
        <v>5716</v>
      </c>
      <c r="F124">
        <v>116</v>
      </c>
      <c r="H124">
        <v>120</v>
      </c>
      <c r="I124" s="3">
        <f>AVERAGE(J124:XX124)</f>
        <v>9.94</v>
      </c>
      <c r="J124" s="3">
        <v>5.4</v>
      </c>
      <c r="K124" s="3">
        <v>10.65</v>
      </c>
      <c r="L124" s="3">
        <v>13.77</v>
      </c>
    </row>
    <row r="125" spans="2:14" x14ac:dyDescent="0.3">
      <c r="B125" t="s">
        <v>204</v>
      </c>
      <c r="D125">
        <v>152</v>
      </c>
      <c r="E125">
        <v>3535</v>
      </c>
      <c r="F125">
        <v>91</v>
      </c>
      <c r="H125">
        <v>121</v>
      </c>
      <c r="I125" s="3">
        <f>AVERAGE(J125:XX125)</f>
        <v>16.79</v>
      </c>
      <c r="J125" s="3">
        <v>16.79</v>
      </c>
      <c r="K125" s="3">
        <v>16.79</v>
      </c>
    </row>
    <row r="126" spans="2:14" x14ac:dyDescent="0.3">
      <c r="B126" t="s">
        <v>205</v>
      </c>
      <c r="D126">
        <v>166</v>
      </c>
      <c r="E126">
        <v>7722</v>
      </c>
      <c r="F126">
        <v>135</v>
      </c>
      <c r="H126">
        <v>122</v>
      </c>
      <c r="I126" s="3">
        <f>AVERAGE(J126:XX126)</f>
        <v>9.7439999999999998</v>
      </c>
      <c r="J126" s="3">
        <v>5.59</v>
      </c>
      <c r="K126" s="3">
        <v>6.09</v>
      </c>
      <c r="L126" s="3">
        <v>12.03</v>
      </c>
      <c r="M126" s="3">
        <v>11.67</v>
      </c>
      <c r="N126" s="3">
        <v>13.34</v>
      </c>
    </row>
    <row r="127" spans="2:14" x14ac:dyDescent="0.3">
      <c r="B127" t="s">
        <v>206</v>
      </c>
      <c r="D127">
        <v>149</v>
      </c>
      <c r="E127">
        <v>2944</v>
      </c>
      <c r="F127">
        <v>83</v>
      </c>
      <c r="H127">
        <v>123</v>
      </c>
      <c r="I127" s="3">
        <f>AVERAGE(J127:XX127)</f>
        <v>10.129999999999999</v>
      </c>
      <c r="J127" s="3">
        <v>6.4</v>
      </c>
      <c r="K127" s="3">
        <v>6.73</v>
      </c>
      <c r="L127" s="3">
        <v>14.98</v>
      </c>
      <c r="M127" s="3">
        <v>12.41</v>
      </c>
    </row>
    <row r="128" spans="2:14" x14ac:dyDescent="0.3">
      <c r="B128" t="s">
        <v>207</v>
      </c>
      <c r="D128">
        <v>187</v>
      </c>
      <c r="E128">
        <v>25432</v>
      </c>
      <c r="F128">
        <v>251</v>
      </c>
      <c r="H128">
        <v>124</v>
      </c>
      <c r="I128" s="3">
        <f>AVERAGE(J128:XX128)</f>
        <v>13.159999999999998</v>
      </c>
      <c r="J128" s="3">
        <v>13.06</v>
      </c>
      <c r="K128" s="3">
        <v>10.98</v>
      </c>
      <c r="L128" s="3">
        <v>15.44</v>
      </c>
    </row>
    <row r="129" spans="2:16" x14ac:dyDescent="0.3">
      <c r="B129" t="s">
        <v>208</v>
      </c>
      <c r="D129">
        <v>111</v>
      </c>
      <c r="E129">
        <v>324</v>
      </c>
      <c r="F129">
        <v>28</v>
      </c>
      <c r="H129">
        <v>125</v>
      </c>
      <c r="I129" s="3">
        <f>AVERAGE(J129:XX129)</f>
        <v>12.793333333333331</v>
      </c>
      <c r="J129" s="3">
        <v>7.25</v>
      </c>
      <c r="K129" s="3">
        <v>16.559999999999999</v>
      </c>
      <c r="L129" s="3">
        <v>14.57</v>
      </c>
    </row>
    <row r="130" spans="2:16" x14ac:dyDescent="0.3">
      <c r="B130" t="s">
        <v>209</v>
      </c>
      <c r="D130">
        <v>3</v>
      </c>
      <c r="E130">
        <v>1</v>
      </c>
      <c r="F130">
        <v>1</v>
      </c>
      <c r="H130">
        <v>126</v>
      </c>
      <c r="I130" s="3">
        <f>AVERAGE(J130:XX130)</f>
        <v>12.783333333333333</v>
      </c>
      <c r="J130" s="3">
        <v>8.15</v>
      </c>
      <c r="K130" s="3">
        <v>15.24</v>
      </c>
      <c r="L130" s="3">
        <v>14.96</v>
      </c>
    </row>
    <row r="131" spans="2:16" x14ac:dyDescent="0.3">
      <c r="B131" t="s">
        <v>210</v>
      </c>
      <c r="D131">
        <v>174</v>
      </c>
      <c r="E131">
        <v>12412</v>
      </c>
      <c r="F131">
        <v>172</v>
      </c>
      <c r="H131">
        <v>127</v>
      </c>
      <c r="I131" s="3">
        <f>AVERAGE(J131:XX131)</f>
        <v>12.272500000000001</v>
      </c>
      <c r="J131" s="3">
        <v>8.51</v>
      </c>
      <c r="K131" s="3">
        <v>8.5</v>
      </c>
      <c r="L131" s="3">
        <v>16.52</v>
      </c>
      <c r="M131" s="3">
        <v>15.56</v>
      </c>
    </row>
    <row r="132" spans="2:16" x14ac:dyDescent="0.3">
      <c r="B132" t="s">
        <v>211</v>
      </c>
      <c r="D132">
        <v>182</v>
      </c>
      <c r="E132">
        <v>18456</v>
      </c>
      <c r="F132">
        <v>212</v>
      </c>
      <c r="H132">
        <v>128</v>
      </c>
      <c r="I132" s="3">
        <f>AVERAGE(J132:XX132)</f>
        <v>20.102499999999999</v>
      </c>
      <c r="J132" s="3">
        <v>20.34</v>
      </c>
      <c r="K132" s="3">
        <v>20.21</v>
      </c>
      <c r="L132" s="3">
        <v>19.93</v>
      </c>
      <c r="M132" s="3">
        <v>19.93</v>
      </c>
    </row>
    <row r="133" spans="2:16" x14ac:dyDescent="0.3">
      <c r="B133" t="s">
        <v>212</v>
      </c>
      <c r="D133">
        <v>102</v>
      </c>
      <c r="E133">
        <v>199</v>
      </c>
      <c r="F133">
        <v>22</v>
      </c>
      <c r="H133">
        <v>129</v>
      </c>
      <c r="I133" s="3">
        <f>AVERAGE(J133:XX133)</f>
        <v>20.76</v>
      </c>
      <c r="J133" s="3">
        <v>20.76</v>
      </c>
    </row>
    <row r="134" spans="2:16" x14ac:dyDescent="0.3">
      <c r="B134" t="s">
        <v>213</v>
      </c>
      <c r="D134">
        <v>172</v>
      </c>
      <c r="E134">
        <v>10760</v>
      </c>
      <c r="F134">
        <v>160</v>
      </c>
      <c r="H134">
        <v>130</v>
      </c>
      <c r="I134" s="3">
        <f>AVERAGE(J134:XX134)</f>
        <v>58.573999999999991</v>
      </c>
      <c r="J134" s="3">
        <v>10.07</v>
      </c>
      <c r="K134" s="3">
        <v>229.92</v>
      </c>
      <c r="L134" s="3">
        <v>12.48</v>
      </c>
      <c r="M134" s="3">
        <v>18.82</v>
      </c>
      <c r="N134" s="3">
        <v>21.58</v>
      </c>
    </row>
    <row r="135" spans="2:16" x14ac:dyDescent="0.3">
      <c r="B135" t="s">
        <v>214</v>
      </c>
      <c r="D135">
        <v>168</v>
      </c>
      <c r="E135">
        <v>8488</v>
      </c>
      <c r="F135">
        <v>142</v>
      </c>
      <c r="H135">
        <v>131</v>
      </c>
      <c r="I135" s="3">
        <f>AVERAGE(J135:XX135)</f>
        <v>22.314</v>
      </c>
      <c r="J135" s="3">
        <v>10.17</v>
      </c>
      <c r="K135" s="3">
        <v>23.52</v>
      </c>
      <c r="L135" s="3">
        <v>24.75</v>
      </c>
      <c r="M135" s="3">
        <v>24.75</v>
      </c>
      <c r="N135" s="3">
        <v>28.38</v>
      </c>
    </row>
    <row r="136" spans="2:16" x14ac:dyDescent="0.3">
      <c r="B136" t="s">
        <v>215</v>
      </c>
      <c r="D136">
        <v>117</v>
      </c>
      <c r="E136">
        <v>484</v>
      </c>
      <c r="F136">
        <v>34</v>
      </c>
      <c r="H136">
        <v>132</v>
      </c>
      <c r="I136" s="3">
        <f>AVERAGE(J136:XX136)</f>
        <v>18.690000000000001</v>
      </c>
      <c r="J136" s="3">
        <v>11</v>
      </c>
      <c r="K136" s="3">
        <v>11</v>
      </c>
      <c r="L136" s="3">
        <v>23.39</v>
      </c>
      <c r="M136" s="3">
        <v>21.1</v>
      </c>
      <c r="N136" s="3">
        <v>22.27</v>
      </c>
      <c r="O136" s="3">
        <v>23.38</v>
      </c>
    </row>
    <row r="137" spans="2:16" x14ac:dyDescent="0.3">
      <c r="B137" t="s">
        <v>216</v>
      </c>
      <c r="D137">
        <v>158</v>
      </c>
      <c r="E137">
        <v>4690</v>
      </c>
      <c r="F137">
        <v>105</v>
      </c>
      <c r="H137">
        <v>133</v>
      </c>
      <c r="I137" s="3" t="e">
        <f>AVERAGE(J137:XX137)</f>
        <v>#DIV/0!</v>
      </c>
    </row>
    <row r="138" spans="2:16" x14ac:dyDescent="0.3">
      <c r="B138" t="s">
        <v>217</v>
      </c>
      <c r="D138">
        <v>166</v>
      </c>
      <c r="E138">
        <v>7716</v>
      </c>
      <c r="F138">
        <v>135</v>
      </c>
      <c r="H138">
        <v>134</v>
      </c>
      <c r="I138" s="3">
        <f>AVERAGE(J138:XX138)</f>
        <v>30.938333333333336</v>
      </c>
      <c r="J138" s="3">
        <v>15.52</v>
      </c>
      <c r="K138" s="3">
        <v>80.06</v>
      </c>
      <c r="L138" s="3">
        <v>23.33</v>
      </c>
      <c r="M138" s="3">
        <v>22.21</v>
      </c>
      <c r="N138" s="3">
        <v>22.42</v>
      </c>
      <c r="O138" s="3">
        <v>22.09</v>
      </c>
    </row>
    <row r="139" spans="2:16" x14ac:dyDescent="0.3">
      <c r="B139" t="s">
        <v>218</v>
      </c>
      <c r="D139">
        <v>157</v>
      </c>
      <c r="E139">
        <v>4522</v>
      </c>
      <c r="F139">
        <v>103</v>
      </c>
      <c r="H139">
        <v>135</v>
      </c>
      <c r="I139" s="3">
        <f>AVERAGE(J139:XX139)</f>
        <v>28.279999999999998</v>
      </c>
      <c r="J139" s="3">
        <v>24.24</v>
      </c>
      <c r="K139" s="3">
        <v>30.9</v>
      </c>
      <c r="L139" s="3">
        <v>30.9</v>
      </c>
      <c r="M139" s="3">
        <v>27.08</v>
      </c>
    </row>
    <row r="140" spans="2:16" x14ac:dyDescent="0.3">
      <c r="B140" t="s">
        <v>219</v>
      </c>
      <c r="D140">
        <v>157</v>
      </c>
      <c r="E140">
        <v>11448</v>
      </c>
      <c r="F140">
        <v>165</v>
      </c>
      <c r="H140">
        <v>136</v>
      </c>
      <c r="I140" s="3">
        <f>AVERAGE(J140:XX140)</f>
        <v>24.38</v>
      </c>
      <c r="J140" s="3">
        <v>13.74</v>
      </c>
      <c r="K140" s="3">
        <v>30.28</v>
      </c>
      <c r="L140" s="3">
        <v>29.12</v>
      </c>
    </row>
    <row r="141" spans="2:16" x14ac:dyDescent="0.3">
      <c r="B141" t="s">
        <v>220</v>
      </c>
      <c r="D141">
        <v>115</v>
      </c>
      <c r="E141">
        <v>429</v>
      </c>
      <c r="F141">
        <v>32</v>
      </c>
      <c r="H141">
        <v>137</v>
      </c>
      <c r="I141" s="3">
        <f>AVERAGE(J141:XX141)</f>
        <v>23.846666666666668</v>
      </c>
      <c r="J141" s="3">
        <v>14.97</v>
      </c>
      <c r="K141" s="3">
        <v>15.28</v>
      </c>
      <c r="L141" s="3">
        <v>26.52</v>
      </c>
      <c r="M141" s="3">
        <v>28.1</v>
      </c>
      <c r="N141" s="3">
        <v>29.59</v>
      </c>
      <c r="O141" s="3">
        <v>28.62</v>
      </c>
    </row>
    <row r="142" spans="2:16" x14ac:dyDescent="0.3">
      <c r="B142" t="s">
        <v>221</v>
      </c>
      <c r="D142">
        <v>115</v>
      </c>
      <c r="E142">
        <v>2945</v>
      </c>
      <c r="F142">
        <v>83</v>
      </c>
      <c r="H142">
        <v>138</v>
      </c>
      <c r="I142" s="3">
        <f>AVERAGE(J142:XX142)</f>
        <v>29.2925</v>
      </c>
      <c r="J142" s="3">
        <v>35.18</v>
      </c>
      <c r="K142" s="3">
        <v>27.99</v>
      </c>
      <c r="L142" s="3">
        <v>29.83</v>
      </c>
      <c r="M142" s="3">
        <v>24.17</v>
      </c>
    </row>
    <row r="143" spans="2:16" x14ac:dyDescent="0.3">
      <c r="B143" t="s">
        <v>222</v>
      </c>
      <c r="D143">
        <v>149</v>
      </c>
      <c r="E143">
        <v>15832</v>
      </c>
      <c r="F143">
        <v>195</v>
      </c>
      <c r="H143">
        <v>139</v>
      </c>
      <c r="I143" s="3">
        <f>AVERAGE(J143:XX143)</f>
        <v>32.021428571428565</v>
      </c>
      <c r="J143" s="3">
        <v>33.86</v>
      </c>
      <c r="K143" s="3">
        <v>31.02</v>
      </c>
      <c r="L143" s="3">
        <v>31.49</v>
      </c>
      <c r="M143" s="3">
        <v>29.47</v>
      </c>
      <c r="N143" s="3">
        <v>30.06</v>
      </c>
      <c r="O143" s="3">
        <v>36.47</v>
      </c>
      <c r="P143" s="3">
        <v>31.78</v>
      </c>
    </row>
    <row r="144" spans="2:16" x14ac:dyDescent="0.3">
      <c r="B144" t="s">
        <v>223</v>
      </c>
      <c r="D144">
        <v>179</v>
      </c>
      <c r="E144">
        <v>24144</v>
      </c>
      <c r="F144">
        <v>245</v>
      </c>
      <c r="H144">
        <v>140</v>
      </c>
      <c r="I144" s="3">
        <f>AVERAGE(J144:XX144)</f>
        <v>44.640000000000008</v>
      </c>
      <c r="J144" s="3">
        <v>17.43</v>
      </c>
      <c r="K144" s="3">
        <v>17.440000000000001</v>
      </c>
      <c r="L144" s="3">
        <v>43.88</v>
      </c>
      <c r="M144" s="3">
        <v>35.99</v>
      </c>
      <c r="N144" s="3">
        <v>106.48</v>
      </c>
      <c r="O144" s="3">
        <v>46.62</v>
      </c>
    </row>
    <row r="145" spans="2:25" x14ac:dyDescent="0.3">
      <c r="B145" t="s">
        <v>224</v>
      </c>
      <c r="D145">
        <v>117</v>
      </c>
      <c r="E145">
        <v>478</v>
      </c>
      <c r="F145">
        <v>34</v>
      </c>
      <c r="H145">
        <v>141</v>
      </c>
      <c r="I145" s="3">
        <f>AVERAGE(J145:XX145)</f>
        <v>35.633333333333333</v>
      </c>
      <c r="J145" s="3">
        <v>19.079999999999998</v>
      </c>
      <c r="K145" s="3">
        <v>35.32</v>
      </c>
      <c r="L145" s="3">
        <v>36.86</v>
      </c>
      <c r="M145" s="3">
        <v>42.84</v>
      </c>
      <c r="N145" s="3">
        <v>36.86</v>
      </c>
      <c r="O145" s="3">
        <v>42.84</v>
      </c>
    </row>
    <row r="146" spans="2:25" x14ac:dyDescent="0.3">
      <c r="B146" t="s">
        <v>225</v>
      </c>
      <c r="D146">
        <v>185</v>
      </c>
      <c r="E146">
        <v>22192</v>
      </c>
      <c r="F146">
        <v>235</v>
      </c>
      <c r="H146">
        <v>142</v>
      </c>
      <c r="I146" s="3">
        <f>AVERAGE(J146:XX146)</f>
        <v>35.792500000000004</v>
      </c>
      <c r="J146" s="3">
        <v>19.649999999999999</v>
      </c>
      <c r="K146" s="3">
        <v>44.04</v>
      </c>
      <c r="L146" s="3">
        <v>43.84</v>
      </c>
      <c r="M146" s="3">
        <v>35.64</v>
      </c>
    </row>
    <row r="147" spans="2:25" x14ac:dyDescent="0.3">
      <c r="B147" t="s">
        <v>226</v>
      </c>
      <c r="D147">
        <v>183</v>
      </c>
      <c r="E147">
        <v>19432</v>
      </c>
      <c r="F147">
        <v>221</v>
      </c>
      <c r="H147">
        <v>143</v>
      </c>
      <c r="I147" s="3">
        <f>AVERAGE(J147:XX147)</f>
        <v>51.061428571428571</v>
      </c>
      <c r="J147" s="3">
        <v>20.93</v>
      </c>
      <c r="K147" s="3">
        <v>19.98</v>
      </c>
      <c r="L147" s="3">
        <v>168.72</v>
      </c>
      <c r="M147" s="3">
        <v>27.04</v>
      </c>
      <c r="N147" s="3">
        <v>41.34</v>
      </c>
      <c r="O147" s="3">
        <v>39.17</v>
      </c>
      <c r="P147" s="3">
        <v>40.25</v>
      </c>
    </row>
    <row r="148" spans="2:25" x14ac:dyDescent="0.3">
      <c r="B148" t="s">
        <v>227</v>
      </c>
      <c r="D148">
        <v>179</v>
      </c>
      <c r="E148">
        <v>15496</v>
      </c>
      <c r="F148">
        <v>197</v>
      </c>
      <c r="H148">
        <v>144</v>
      </c>
      <c r="I148" s="3">
        <f>AVERAGE(J148:XX148)</f>
        <v>30.96</v>
      </c>
      <c r="J148" s="3">
        <v>21.03</v>
      </c>
      <c r="K148" s="3">
        <v>22.05</v>
      </c>
      <c r="L148" s="3">
        <v>21.48</v>
      </c>
      <c r="M148" s="3">
        <v>22.07</v>
      </c>
      <c r="N148" s="3">
        <v>40.17</v>
      </c>
      <c r="O148" s="3">
        <v>54.58</v>
      </c>
      <c r="P148" s="3">
        <v>35.340000000000003</v>
      </c>
    </row>
    <row r="149" spans="2:25" x14ac:dyDescent="0.3">
      <c r="B149" t="s">
        <v>228</v>
      </c>
      <c r="D149">
        <v>99</v>
      </c>
      <c r="E149">
        <v>162</v>
      </c>
      <c r="F149">
        <v>20</v>
      </c>
      <c r="H149">
        <v>145</v>
      </c>
      <c r="I149" s="3">
        <f>AVERAGE(J149:XX149)</f>
        <v>35.313333333333333</v>
      </c>
      <c r="J149" s="3">
        <v>22.7</v>
      </c>
      <c r="K149" s="3">
        <v>24.17</v>
      </c>
      <c r="L149" s="3">
        <v>24.17</v>
      </c>
      <c r="M149" s="3">
        <v>49.88</v>
      </c>
      <c r="N149" s="3">
        <v>45.48</v>
      </c>
      <c r="O149" s="3">
        <v>45.48</v>
      </c>
    </row>
    <row r="150" spans="2:25" x14ac:dyDescent="0.3">
      <c r="B150" t="s">
        <v>229</v>
      </c>
      <c r="D150">
        <v>80</v>
      </c>
      <c r="E150">
        <v>55</v>
      </c>
      <c r="F150">
        <v>12</v>
      </c>
      <c r="H150">
        <v>146</v>
      </c>
      <c r="I150" s="3">
        <f>AVERAGE(J150:XX150)</f>
        <v>35.937142857142859</v>
      </c>
      <c r="J150" s="3">
        <v>24.34</v>
      </c>
      <c r="K150" s="3">
        <v>25.2</v>
      </c>
      <c r="L150" s="3">
        <v>26.17</v>
      </c>
      <c r="M150" s="3">
        <v>44.84</v>
      </c>
      <c r="N150" s="3">
        <v>44.94</v>
      </c>
      <c r="O150" s="3">
        <v>39.69</v>
      </c>
      <c r="P150" s="3">
        <v>46.38</v>
      </c>
    </row>
    <row r="151" spans="2:25" x14ac:dyDescent="0.3">
      <c r="B151" t="s">
        <v>230</v>
      </c>
      <c r="D151">
        <v>143</v>
      </c>
      <c r="E151">
        <v>2093</v>
      </c>
      <c r="F151">
        <v>70</v>
      </c>
      <c r="H151">
        <v>147</v>
      </c>
      <c r="I151" s="3">
        <f>AVERAGE(J151:XX151)</f>
        <v>42.932499999999997</v>
      </c>
      <c r="J151" s="3">
        <v>25.15</v>
      </c>
      <c r="K151" s="3">
        <v>25.97</v>
      </c>
      <c r="L151" s="3">
        <v>61.12</v>
      </c>
      <c r="M151" s="3">
        <v>25.94</v>
      </c>
      <c r="N151" s="3">
        <v>27.8</v>
      </c>
      <c r="O151" s="3">
        <v>55.68</v>
      </c>
      <c r="P151" s="3">
        <v>55.84</v>
      </c>
      <c r="Q151" s="3">
        <v>33.049999999999997</v>
      </c>
      <c r="R151" s="3">
        <v>32.6</v>
      </c>
      <c r="S151" s="3">
        <v>54.94</v>
      </c>
      <c r="T151" s="3">
        <v>54.94</v>
      </c>
      <c r="U151" s="3">
        <v>44.9</v>
      </c>
      <c r="V151" s="3">
        <v>37.61</v>
      </c>
      <c r="W151" s="3">
        <v>48.18</v>
      </c>
      <c r="X151" s="3">
        <v>51.6</v>
      </c>
      <c r="Y151" s="3">
        <v>51.6</v>
      </c>
    </row>
    <row r="152" spans="2:25" x14ac:dyDescent="0.3">
      <c r="B152" t="s">
        <v>231</v>
      </c>
      <c r="D152">
        <v>179</v>
      </c>
      <c r="E152">
        <v>16024</v>
      </c>
      <c r="F152">
        <v>196</v>
      </c>
      <c r="H152">
        <v>148</v>
      </c>
      <c r="I152" s="3">
        <f>AVERAGE(J152:XX152)</f>
        <v>43.751428571428569</v>
      </c>
      <c r="J152" s="3">
        <v>27.72</v>
      </c>
      <c r="K152" s="3">
        <v>27.31</v>
      </c>
      <c r="L152" s="3">
        <v>34.83</v>
      </c>
      <c r="M152" s="3">
        <v>48.6</v>
      </c>
      <c r="N152" s="3">
        <v>55.28</v>
      </c>
      <c r="O152" s="3">
        <v>55.28</v>
      </c>
      <c r="P152" s="3">
        <v>57.24</v>
      </c>
    </row>
    <row r="153" spans="2:25" x14ac:dyDescent="0.3">
      <c r="B153" t="s">
        <v>232</v>
      </c>
      <c r="D153">
        <v>168</v>
      </c>
      <c r="E153">
        <v>8376</v>
      </c>
      <c r="F153">
        <v>141</v>
      </c>
      <c r="H153">
        <v>149</v>
      </c>
      <c r="I153" s="3">
        <f>AVERAGE(J153:XX153)</f>
        <v>62.613333333333337</v>
      </c>
      <c r="J153" s="3">
        <v>29.44</v>
      </c>
      <c r="K153" s="3">
        <v>158.32</v>
      </c>
      <c r="L153" s="3">
        <v>30.19</v>
      </c>
      <c r="M153" s="3">
        <v>38.549999999999997</v>
      </c>
      <c r="N153" s="3">
        <v>37.75</v>
      </c>
      <c r="O153" s="3">
        <v>36.85</v>
      </c>
      <c r="P153" s="3">
        <v>55.3</v>
      </c>
      <c r="Q153" s="3">
        <v>53.1</v>
      </c>
      <c r="R153" s="3">
        <v>58.92</v>
      </c>
      <c r="S153" s="3">
        <v>99.56</v>
      </c>
      <c r="T153" s="3">
        <v>58.92</v>
      </c>
      <c r="U153" s="3">
        <v>99.56</v>
      </c>
      <c r="V153" s="3">
        <v>61.24</v>
      </c>
      <c r="W153" s="3">
        <v>57.18</v>
      </c>
      <c r="X153" s="3">
        <v>64.319999999999993</v>
      </c>
    </row>
    <row r="154" spans="2:25" x14ac:dyDescent="0.3">
      <c r="B154" t="s">
        <v>233</v>
      </c>
      <c r="D154">
        <v>184</v>
      </c>
      <c r="E154">
        <v>21568</v>
      </c>
      <c r="F154">
        <v>231</v>
      </c>
      <c r="H154">
        <v>150</v>
      </c>
      <c r="I154" s="3">
        <f>AVERAGE(J154:XX154)</f>
        <v>43.427777777777777</v>
      </c>
      <c r="J154" s="3">
        <v>31.53</v>
      </c>
      <c r="K154" s="3">
        <v>32.119999999999997</v>
      </c>
      <c r="L154" s="3">
        <v>61.14</v>
      </c>
      <c r="M154" s="3">
        <v>61.4</v>
      </c>
      <c r="N154" s="3">
        <v>58.74</v>
      </c>
      <c r="O154" s="3">
        <v>77.86</v>
      </c>
      <c r="P154" s="3">
        <v>3.84</v>
      </c>
      <c r="Q154" s="3">
        <v>3.84</v>
      </c>
      <c r="R154" s="3">
        <v>60.38</v>
      </c>
    </row>
    <row r="155" spans="2:25" x14ac:dyDescent="0.3">
      <c r="B155" t="s">
        <v>234</v>
      </c>
      <c r="D155">
        <v>178</v>
      </c>
      <c r="E155">
        <v>15284</v>
      </c>
      <c r="F155">
        <v>194</v>
      </c>
      <c r="H155">
        <v>151</v>
      </c>
      <c r="I155" s="3">
        <f>AVERAGE(J155:XX155)</f>
        <v>46.225000000000009</v>
      </c>
      <c r="J155" s="3">
        <v>32.69</v>
      </c>
      <c r="K155" s="3">
        <v>32.770000000000003</v>
      </c>
      <c r="L155" s="3">
        <v>73.2</v>
      </c>
      <c r="M155" s="3">
        <v>46.24</v>
      </c>
    </row>
    <row r="156" spans="2:25" x14ac:dyDescent="0.3">
      <c r="B156" t="s">
        <v>235</v>
      </c>
      <c r="D156">
        <v>143</v>
      </c>
      <c r="E156">
        <v>1998</v>
      </c>
      <c r="F156">
        <v>69</v>
      </c>
      <c r="H156">
        <v>152</v>
      </c>
      <c r="I156" s="3">
        <f>AVERAGE(J156:XX156)</f>
        <v>55.722857142857144</v>
      </c>
      <c r="J156" s="3">
        <v>35.090000000000003</v>
      </c>
      <c r="K156" s="3">
        <v>35.35</v>
      </c>
      <c r="L156" s="3">
        <v>62.04</v>
      </c>
      <c r="M156" s="3">
        <v>68.38</v>
      </c>
      <c r="N156" s="3">
        <v>63.86</v>
      </c>
      <c r="O156" s="3">
        <v>65.92</v>
      </c>
      <c r="P156" s="3">
        <v>59.42</v>
      </c>
    </row>
    <row r="157" spans="2:25" x14ac:dyDescent="0.3">
      <c r="B157" t="s">
        <v>236</v>
      </c>
      <c r="D157">
        <v>143</v>
      </c>
      <c r="E157">
        <v>16872</v>
      </c>
      <c r="F157">
        <v>203</v>
      </c>
      <c r="H157">
        <v>153</v>
      </c>
      <c r="I157" s="3">
        <f>AVERAGE(J157:XX157)</f>
        <v>61.07</v>
      </c>
      <c r="J157" s="3">
        <v>37.46</v>
      </c>
      <c r="K157" s="3">
        <v>37.479999999999997</v>
      </c>
      <c r="L157" s="3">
        <v>81.42</v>
      </c>
      <c r="M157" s="3">
        <v>79.72</v>
      </c>
      <c r="N157" s="3">
        <v>60.66</v>
      </c>
      <c r="O157" s="3">
        <v>69.680000000000007</v>
      </c>
    </row>
    <row r="158" spans="2:25" x14ac:dyDescent="0.3">
      <c r="B158" t="s">
        <v>237</v>
      </c>
      <c r="D158">
        <v>151</v>
      </c>
      <c r="E158">
        <v>3269</v>
      </c>
      <c r="F158">
        <v>88</v>
      </c>
      <c r="H158">
        <v>154</v>
      </c>
      <c r="I158" s="3">
        <f>AVERAGE(J158:XX158)</f>
        <v>72.474000000000004</v>
      </c>
      <c r="J158" s="3">
        <v>38.299999999999997</v>
      </c>
      <c r="K158" s="3">
        <v>38.72</v>
      </c>
      <c r="L158" s="3">
        <v>77.48</v>
      </c>
      <c r="M158" s="3">
        <v>110.92</v>
      </c>
      <c r="N158" s="3">
        <v>73.5</v>
      </c>
      <c r="O158" s="3">
        <v>68.88</v>
      </c>
      <c r="P158" s="3">
        <v>73.5</v>
      </c>
      <c r="Q158" s="3">
        <v>68.88</v>
      </c>
      <c r="R158" s="3">
        <v>82.4</v>
      </c>
      <c r="S158" s="3">
        <v>92.16</v>
      </c>
    </row>
    <row r="159" spans="2:25" x14ac:dyDescent="0.3">
      <c r="B159" t="s">
        <v>238</v>
      </c>
      <c r="D159">
        <v>160</v>
      </c>
      <c r="E159">
        <v>5610</v>
      </c>
      <c r="F159">
        <v>115</v>
      </c>
      <c r="H159">
        <v>155</v>
      </c>
      <c r="I159" s="3">
        <f>AVERAGE(J159:XX159)</f>
        <v>74.17</v>
      </c>
      <c r="J159" s="3">
        <v>41.56</v>
      </c>
      <c r="K159" s="3">
        <v>41.26</v>
      </c>
      <c r="L159" s="3">
        <v>72.02</v>
      </c>
      <c r="M159" s="3">
        <v>75.06</v>
      </c>
      <c r="N159" s="3">
        <v>107.56</v>
      </c>
      <c r="O159" s="3">
        <v>107.56</v>
      </c>
    </row>
    <row r="160" spans="2:25" x14ac:dyDescent="0.3">
      <c r="B160" t="s">
        <v>239</v>
      </c>
      <c r="D160">
        <v>170</v>
      </c>
      <c r="E160">
        <v>9352</v>
      </c>
      <c r="F160">
        <v>149</v>
      </c>
      <c r="H160">
        <v>156</v>
      </c>
      <c r="I160" s="3">
        <f>AVERAGE(J160:XX160)</f>
        <v>85.289999999999992</v>
      </c>
      <c r="J160" s="3">
        <v>42.54</v>
      </c>
      <c r="K160" s="3">
        <v>128.04</v>
      </c>
    </row>
    <row r="161" spans="2:25" x14ac:dyDescent="0.3">
      <c r="B161" t="s">
        <v>240</v>
      </c>
      <c r="D161">
        <v>123</v>
      </c>
      <c r="E161">
        <v>640</v>
      </c>
      <c r="F161">
        <v>39</v>
      </c>
      <c r="H161">
        <v>157</v>
      </c>
      <c r="I161" s="3">
        <f>AVERAGE(J161:XX161)</f>
        <v>88.344999999999999</v>
      </c>
      <c r="J161" s="3">
        <v>45.22</v>
      </c>
      <c r="K161" s="3">
        <v>114.48</v>
      </c>
      <c r="L161" s="3">
        <v>44.3</v>
      </c>
      <c r="M161" s="3">
        <v>110.44</v>
      </c>
      <c r="N161" s="3">
        <v>79.400000000000006</v>
      </c>
      <c r="O161" s="3">
        <v>113.8</v>
      </c>
      <c r="P161" s="3">
        <v>113.8</v>
      </c>
      <c r="Q161" s="3">
        <v>85.32</v>
      </c>
    </row>
    <row r="162" spans="2:25" x14ac:dyDescent="0.3">
      <c r="B162" t="s">
        <v>241</v>
      </c>
      <c r="D162">
        <v>171</v>
      </c>
      <c r="E162">
        <v>10136</v>
      </c>
      <c r="F162">
        <v>155</v>
      </c>
      <c r="H162">
        <v>158</v>
      </c>
      <c r="I162" s="3">
        <f>AVERAGE(J162:XX162)</f>
        <v>67.617999999999995</v>
      </c>
      <c r="J162" s="3">
        <v>47.28</v>
      </c>
      <c r="K162" s="3">
        <v>47.78</v>
      </c>
      <c r="L162" s="3">
        <v>48.3</v>
      </c>
      <c r="M162" s="3">
        <v>45.96</v>
      </c>
      <c r="N162" s="3">
        <v>53.2</v>
      </c>
      <c r="O162" s="3">
        <v>46.9</v>
      </c>
      <c r="P162" s="3">
        <v>86.88</v>
      </c>
      <c r="Q162" s="3">
        <v>118.08</v>
      </c>
      <c r="R162" s="3">
        <v>96.28</v>
      </c>
      <c r="S162" s="3">
        <v>85.52</v>
      </c>
    </row>
    <row r="163" spans="2:25" x14ac:dyDescent="0.3">
      <c r="B163" t="s">
        <v>242</v>
      </c>
      <c r="D163">
        <v>178</v>
      </c>
      <c r="E163">
        <v>14964</v>
      </c>
      <c r="F163">
        <v>190</v>
      </c>
      <c r="H163">
        <v>159</v>
      </c>
      <c r="I163" s="3">
        <f>AVERAGE(J163:XX163)</f>
        <v>91.296000000000006</v>
      </c>
      <c r="J163" s="3">
        <v>51.66</v>
      </c>
      <c r="K163" s="3">
        <v>49.74</v>
      </c>
      <c r="L163" s="3">
        <v>49.88</v>
      </c>
      <c r="M163" s="3">
        <v>51.42</v>
      </c>
      <c r="N163" s="3">
        <v>51.06</v>
      </c>
      <c r="O163" s="3">
        <v>63.52</v>
      </c>
      <c r="P163" s="3">
        <v>169.6</v>
      </c>
      <c r="Q163" s="3">
        <v>89.52</v>
      </c>
      <c r="R163" s="3">
        <v>88.88</v>
      </c>
      <c r="S163" s="3">
        <v>91.64</v>
      </c>
      <c r="T163" s="3">
        <v>102.2</v>
      </c>
      <c r="U163" s="3">
        <v>121.32</v>
      </c>
      <c r="V163" s="3">
        <v>140.04</v>
      </c>
      <c r="W163" s="3">
        <v>147.19999999999999</v>
      </c>
      <c r="X163" s="3">
        <v>101.76</v>
      </c>
    </row>
    <row r="164" spans="2:25" x14ac:dyDescent="0.3">
      <c r="B164" t="s">
        <v>243</v>
      </c>
      <c r="D164">
        <v>136</v>
      </c>
      <c r="E164">
        <v>1374</v>
      </c>
      <c r="F164">
        <v>57</v>
      </c>
      <c r="H164">
        <v>160</v>
      </c>
      <c r="I164" s="3">
        <f>AVERAGE(J164:XX164)</f>
        <v>111.82000000000001</v>
      </c>
      <c r="J164" s="3">
        <v>55.02</v>
      </c>
      <c r="K164" s="3">
        <v>56.1</v>
      </c>
      <c r="L164" s="3">
        <v>85.84</v>
      </c>
      <c r="M164" s="3">
        <v>88.08</v>
      </c>
      <c r="N164" s="3">
        <v>106.24</v>
      </c>
      <c r="O164" s="3">
        <v>104.4</v>
      </c>
      <c r="P164" s="3">
        <v>105.08</v>
      </c>
      <c r="Q164" s="3">
        <v>104.24</v>
      </c>
      <c r="R164" s="3">
        <v>128.76</v>
      </c>
      <c r="S164" s="3">
        <v>128.76</v>
      </c>
      <c r="T164" s="3">
        <v>102.84</v>
      </c>
      <c r="U164" s="3">
        <v>276.48</v>
      </c>
    </row>
    <row r="165" spans="2:25" x14ac:dyDescent="0.3">
      <c r="B165" t="s">
        <v>244</v>
      </c>
      <c r="D165">
        <v>123</v>
      </c>
      <c r="E165">
        <v>673</v>
      </c>
      <c r="F165">
        <v>40</v>
      </c>
      <c r="H165">
        <v>161</v>
      </c>
      <c r="I165" s="3">
        <f>AVERAGE(J165:XX165)</f>
        <v>96.467272727272714</v>
      </c>
      <c r="J165" s="3">
        <v>59.8</v>
      </c>
      <c r="K165" s="3">
        <v>57.16</v>
      </c>
      <c r="L165" s="3">
        <v>59.5</v>
      </c>
      <c r="M165" s="3">
        <v>73.52</v>
      </c>
      <c r="N165" s="3">
        <v>99.92</v>
      </c>
      <c r="O165" s="3">
        <v>94.2</v>
      </c>
      <c r="P165" s="3">
        <v>109.68</v>
      </c>
      <c r="Q165" s="3">
        <v>108.8</v>
      </c>
      <c r="R165" s="3">
        <v>142.12</v>
      </c>
      <c r="S165" s="3">
        <v>142.12</v>
      </c>
      <c r="T165" s="3">
        <v>114.32</v>
      </c>
    </row>
    <row r="166" spans="2:25" x14ac:dyDescent="0.3">
      <c r="B166" t="s">
        <v>245</v>
      </c>
      <c r="D166">
        <v>122</v>
      </c>
      <c r="E166">
        <v>609</v>
      </c>
      <c r="F166">
        <v>38</v>
      </c>
      <c r="H166">
        <v>162</v>
      </c>
      <c r="I166" s="3">
        <f>AVERAGE(J166:XX166)</f>
        <v>139.42200000000003</v>
      </c>
      <c r="J166" s="3">
        <v>63.02</v>
      </c>
      <c r="K166" s="3">
        <v>61.16</v>
      </c>
      <c r="L166" s="3">
        <v>70.680000000000007</v>
      </c>
      <c r="M166" s="3">
        <v>199.84</v>
      </c>
      <c r="N166" s="3">
        <v>165.2</v>
      </c>
      <c r="O166" s="3">
        <v>173.44</v>
      </c>
      <c r="P166" s="3">
        <v>166.96</v>
      </c>
      <c r="Q166" s="3">
        <v>175.52</v>
      </c>
      <c r="R166" s="3">
        <v>159.19999999999999</v>
      </c>
      <c r="S166" s="3">
        <v>159.19999999999999</v>
      </c>
    </row>
    <row r="167" spans="2:25" x14ac:dyDescent="0.3">
      <c r="B167" t="s">
        <v>246</v>
      </c>
      <c r="D167">
        <v>186</v>
      </c>
      <c r="E167">
        <v>23280</v>
      </c>
      <c r="F167">
        <v>239</v>
      </c>
      <c r="H167">
        <v>163</v>
      </c>
      <c r="I167" s="3">
        <f>AVERAGE(J167:XX167)</f>
        <v>134.33375000000001</v>
      </c>
      <c r="J167" s="3">
        <v>66.739999999999995</v>
      </c>
      <c r="K167" s="3">
        <v>65.58</v>
      </c>
      <c r="L167" s="3">
        <v>63.66</v>
      </c>
      <c r="M167" s="3">
        <v>65.2</v>
      </c>
      <c r="N167" s="3">
        <v>270.64</v>
      </c>
      <c r="O167" s="3">
        <v>118.52</v>
      </c>
      <c r="P167" s="3">
        <v>180.72</v>
      </c>
      <c r="Q167" s="3">
        <v>131.4</v>
      </c>
      <c r="R167" s="3">
        <v>136.4</v>
      </c>
      <c r="S167" s="3">
        <v>147.44</v>
      </c>
      <c r="T167" s="3">
        <v>173.44</v>
      </c>
      <c r="U167" s="3">
        <v>169.2</v>
      </c>
      <c r="V167" s="3">
        <v>141.91999999999999</v>
      </c>
      <c r="W167" s="3">
        <v>141.91999999999999</v>
      </c>
      <c r="X167" s="3">
        <v>130.12</v>
      </c>
      <c r="Y167" s="3">
        <v>146.44</v>
      </c>
    </row>
    <row r="168" spans="2:25" x14ac:dyDescent="0.3">
      <c r="B168" t="s">
        <v>247</v>
      </c>
      <c r="D168">
        <v>5</v>
      </c>
      <c r="E168">
        <v>3</v>
      </c>
      <c r="F168">
        <v>2</v>
      </c>
      <c r="H168">
        <v>164</v>
      </c>
      <c r="I168" s="3">
        <f>AVERAGE(J168:XX168)</f>
        <v>98.086666666666659</v>
      </c>
      <c r="J168" s="3">
        <v>71.34</v>
      </c>
      <c r="K168" s="3">
        <v>68.099999999999994</v>
      </c>
      <c r="L168" s="3">
        <v>70.52</v>
      </c>
      <c r="M168" s="3">
        <v>140</v>
      </c>
      <c r="N168" s="3">
        <v>109.16</v>
      </c>
      <c r="O168" s="3">
        <v>129.4</v>
      </c>
    </row>
    <row r="169" spans="2:25" x14ac:dyDescent="0.3">
      <c r="B169" t="s">
        <v>248</v>
      </c>
      <c r="D169">
        <v>5</v>
      </c>
      <c r="E169">
        <v>781</v>
      </c>
      <c r="F169">
        <v>43</v>
      </c>
      <c r="H169">
        <v>165</v>
      </c>
      <c r="I169" s="3">
        <f>AVERAGE(J169:XX169)</f>
        <v>167.28800000000001</v>
      </c>
      <c r="J169" s="3">
        <v>163.68</v>
      </c>
      <c r="K169" s="3">
        <v>133.08000000000001</v>
      </c>
      <c r="L169" s="3">
        <v>158</v>
      </c>
      <c r="M169" s="3">
        <v>191.6</v>
      </c>
      <c r="N169" s="3">
        <v>190.08</v>
      </c>
    </row>
    <row r="170" spans="2:25" x14ac:dyDescent="0.3">
      <c r="H170">
        <v>166</v>
      </c>
      <c r="I170" s="3">
        <f>AVERAGE(J170:XX170)</f>
        <v>146.94714285714284</v>
      </c>
      <c r="J170" s="3">
        <v>77.040000000000006</v>
      </c>
      <c r="K170" s="3">
        <v>77.22</v>
      </c>
      <c r="L170" s="3">
        <v>77.16</v>
      </c>
      <c r="M170" s="3">
        <v>78.400000000000006</v>
      </c>
      <c r="N170" s="3">
        <v>141.16</v>
      </c>
      <c r="O170" s="3">
        <v>160.76</v>
      </c>
      <c r="P170" s="3">
        <v>152.84</v>
      </c>
      <c r="Q170" s="3">
        <v>137.68</v>
      </c>
      <c r="R170" s="3">
        <v>330.4</v>
      </c>
      <c r="S170" s="3">
        <v>155.63999999999999</v>
      </c>
      <c r="T170" s="3">
        <v>123.08</v>
      </c>
      <c r="U170" s="3">
        <v>207.12</v>
      </c>
      <c r="V170" s="3">
        <v>156.44</v>
      </c>
      <c r="W170" s="3">
        <v>182.32</v>
      </c>
    </row>
    <row r="171" spans="2:25" x14ac:dyDescent="0.3">
      <c r="B171" t="s">
        <v>249</v>
      </c>
      <c r="D171">
        <v>137</v>
      </c>
      <c r="E171">
        <v>1528</v>
      </c>
      <c r="F171">
        <v>60</v>
      </c>
      <c r="H171">
        <v>167</v>
      </c>
      <c r="I171" s="3">
        <f>AVERAGE(J171:XX171)</f>
        <v>155.54500000000002</v>
      </c>
      <c r="J171" s="3">
        <v>82.48</v>
      </c>
      <c r="K171" s="3">
        <v>80.94</v>
      </c>
      <c r="L171" s="3">
        <v>80.8</v>
      </c>
      <c r="M171" s="3">
        <v>156.47999999999999</v>
      </c>
      <c r="N171" s="3">
        <v>152.84</v>
      </c>
      <c r="O171" s="3">
        <v>114.32</v>
      </c>
      <c r="P171" s="3">
        <v>232.08</v>
      </c>
      <c r="Q171" s="3">
        <v>222.64</v>
      </c>
      <c r="R171" s="3">
        <v>250.64</v>
      </c>
      <c r="S171" s="3">
        <v>169.28</v>
      </c>
      <c r="T171" s="3">
        <v>169.28</v>
      </c>
      <c r="U171" s="3">
        <v>154.76</v>
      </c>
    </row>
    <row r="172" spans="2:25" x14ac:dyDescent="0.3">
      <c r="B172" t="s">
        <v>250</v>
      </c>
      <c r="D172">
        <v>166</v>
      </c>
      <c r="E172">
        <v>7840</v>
      </c>
      <c r="F172">
        <v>136</v>
      </c>
      <c r="H172">
        <v>168</v>
      </c>
      <c r="I172" s="3">
        <f>AVERAGE(J172:XX172)</f>
        <v>155.97333333333333</v>
      </c>
      <c r="J172" s="3">
        <v>84.88</v>
      </c>
      <c r="K172" s="3">
        <v>83.76</v>
      </c>
      <c r="L172" s="3">
        <v>189.84</v>
      </c>
      <c r="M172" s="3">
        <v>188.64</v>
      </c>
      <c r="N172" s="3">
        <v>190.4</v>
      </c>
      <c r="O172" s="3">
        <v>198.32</v>
      </c>
    </row>
    <row r="173" spans="2:25" x14ac:dyDescent="0.3">
      <c r="B173" t="s">
        <v>251</v>
      </c>
      <c r="D173">
        <v>187</v>
      </c>
      <c r="E173">
        <v>24776</v>
      </c>
      <c r="F173">
        <v>248</v>
      </c>
      <c r="H173">
        <v>169</v>
      </c>
      <c r="I173" s="3">
        <f>AVERAGE(J173:XX173)</f>
        <v>193.68363636363637</v>
      </c>
      <c r="J173" s="3">
        <v>89.16</v>
      </c>
      <c r="K173" s="3">
        <v>88.64</v>
      </c>
      <c r="L173" s="3">
        <v>87.08</v>
      </c>
      <c r="M173" s="3">
        <v>360.48</v>
      </c>
      <c r="N173" s="3">
        <v>388.8</v>
      </c>
      <c r="O173" s="3">
        <v>166.64</v>
      </c>
      <c r="P173" s="3">
        <v>142.68</v>
      </c>
      <c r="Q173" s="3">
        <v>185.84</v>
      </c>
      <c r="R173" s="3">
        <v>210.64</v>
      </c>
      <c r="S173" s="3">
        <v>205.28</v>
      </c>
      <c r="T173" s="3">
        <v>205.28</v>
      </c>
    </row>
    <row r="174" spans="2:25" x14ac:dyDescent="0.3">
      <c r="B174" t="s">
        <v>252</v>
      </c>
      <c r="D174">
        <v>173</v>
      </c>
      <c r="E174">
        <v>11496</v>
      </c>
      <c r="F174">
        <v>167</v>
      </c>
      <c r="H174">
        <v>170</v>
      </c>
      <c r="I174" s="3">
        <f>AVERAGE(J174:XX174)</f>
        <v>157.05666666666667</v>
      </c>
      <c r="J174" s="3">
        <v>90.2</v>
      </c>
      <c r="K174" s="3">
        <v>172.8</v>
      </c>
      <c r="L174" s="3">
        <v>91.72</v>
      </c>
      <c r="M174" s="3">
        <v>93.52</v>
      </c>
      <c r="N174" s="3">
        <v>94.6</v>
      </c>
      <c r="O174" s="3">
        <v>189.28</v>
      </c>
      <c r="P174" s="3">
        <v>200.88</v>
      </c>
      <c r="Q174" s="3">
        <v>118.08</v>
      </c>
      <c r="R174" s="3">
        <v>168.24</v>
      </c>
      <c r="S174" s="3">
        <v>249.2</v>
      </c>
      <c r="T174" s="3">
        <v>249.2</v>
      </c>
      <c r="U174" s="3">
        <v>166.96</v>
      </c>
    </row>
    <row r="175" spans="2:25" x14ac:dyDescent="0.3">
      <c r="B175" t="s">
        <v>253</v>
      </c>
      <c r="D175">
        <v>155</v>
      </c>
      <c r="E175">
        <v>4126</v>
      </c>
      <c r="F175">
        <v>99</v>
      </c>
      <c r="H175">
        <v>171</v>
      </c>
      <c r="I175" s="3">
        <f>AVERAGE(J175:XX175)</f>
        <v>208.96923076923076</v>
      </c>
      <c r="J175" s="3">
        <v>97.2</v>
      </c>
      <c r="K175" s="3">
        <v>115.16</v>
      </c>
      <c r="L175" s="3">
        <v>100.96</v>
      </c>
      <c r="M175" s="3">
        <v>98.96</v>
      </c>
      <c r="N175" s="3">
        <v>101.36</v>
      </c>
      <c r="O175" s="3">
        <v>96.44</v>
      </c>
      <c r="P175" s="3">
        <v>537.12</v>
      </c>
      <c r="Q175" s="3">
        <v>159.44</v>
      </c>
      <c r="R175" s="3">
        <v>117.48</v>
      </c>
      <c r="S175" s="3">
        <v>280.56</v>
      </c>
      <c r="T175" s="3">
        <v>220</v>
      </c>
      <c r="U175" s="3">
        <v>192.88</v>
      </c>
      <c r="V175" s="3">
        <v>599.04</v>
      </c>
    </row>
    <row r="176" spans="2:25" x14ac:dyDescent="0.3">
      <c r="B176" t="s">
        <v>254</v>
      </c>
      <c r="D176">
        <v>126</v>
      </c>
      <c r="E176">
        <v>815</v>
      </c>
      <c r="F176">
        <v>44</v>
      </c>
      <c r="H176">
        <v>172</v>
      </c>
      <c r="I176" s="3">
        <f>AVERAGE(J176:XX176)</f>
        <v>150.48333333333335</v>
      </c>
      <c r="J176" s="3">
        <v>103.84</v>
      </c>
      <c r="K176" s="3">
        <v>106.28</v>
      </c>
      <c r="L176" s="3">
        <v>110</v>
      </c>
      <c r="M176" s="3">
        <v>104.44</v>
      </c>
      <c r="N176" s="3">
        <v>105.56</v>
      </c>
      <c r="O176" s="3">
        <v>109.52</v>
      </c>
      <c r="P176" s="3">
        <v>110.4</v>
      </c>
      <c r="Q176" s="3">
        <v>107.6</v>
      </c>
      <c r="R176" s="3">
        <v>249.28</v>
      </c>
      <c r="S176" s="3">
        <v>245.2</v>
      </c>
      <c r="T176" s="3">
        <v>235.68</v>
      </c>
      <c r="U176" s="3">
        <v>218</v>
      </c>
    </row>
    <row r="177" spans="2:31" x14ac:dyDescent="0.3">
      <c r="B177" t="s">
        <v>255</v>
      </c>
      <c r="D177">
        <v>149</v>
      </c>
      <c r="E177">
        <v>3019</v>
      </c>
      <c r="F177">
        <v>84</v>
      </c>
      <c r="H177">
        <v>173</v>
      </c>
      <c r="I177" s="3">
        <f>AVERAGE(J177:XX177)</f>
        <v>226.29684210526312</v>
      </c>
      <c r="J177" s="3">
        <v>114.52</v>
      </c>
      <c r="K177" s="3">
        <v>116.2</v>
      </c>
      <c r="L177" s="3">
        <v>116.96</v>
      </c>
      <c r="M177" s="3">
        <v>123.32</v>
      </c>
      <c r="N177" s="3">
        <v>114.96</v>
      </c>
      <c r="O177" s="3">
        <v>110.88</v>
      </c>
      <c r="P177" s="3">
        <v>223.68</v>
      </c>
      <c r="Q177" s="3">
        <v>210.32</v>
      </c>
      <c r="R177" s="3">
        <v>253.68</v>
      </c>
      <c r="S177" s="3">
        <v>598.08000000000004</v>
      </c>
      <c r="T177" s="3">
        <v>228.16</v>
      </c>
      <c r="U177" s="3">
        <v>235.6</v>
      </c>
      <c r="V177" s="3">
        <v>268.72000000000003</v>
      </c>
      <c r="W177" s="3">
        <v>291.52</v>
      </c>
      <c r="X177" s="3">
        <v>283.44</v>
      </c>
      <c r="Y177" s="3">
        <v>283.44</v>
      </c>
      <c r="Z177" s="3">
        <v>233.68</v>
      </c>
      <c r="AA177" s="3">
        <v>245.2</v>
      </c>
      <c r="AB177" s="3">
        <v>247.28</v>
      </c>
    </row>
    <row r="178" spans="2:31" x14ac:dyDescent="0.3">
      <c r="B178" t="s">
        <v>256</v>
      </c>
      <c r="D178">
        <v>175</v>
      </c>
      <c r="E178">
        <v>12876</v>
      </c>
      <c r="F178">
        <v>175</v>
      </c>
      <c r="H178">
        <v>174</v>
      </c>
      <c r="I178" s="3">
        <f>AVERAGE(J178:XX178)</f>
        <v>164.43333333333331</v>
      </c>
      <c r="J178" s="3">
        <v>117.6</v>
      </c>
      <c r="K178" s="3">
        <v>123.92</v>
      </c>
      <c r="L178" s="3">
        <v>118.32</v>
      </c>
      <c r="M178" s="3">
        <v>124.12</v>
      </c>
      <c r="N178" s="3">
        <v>228.88</v>
      </c>
      <c r="O178" s="3">
        <v>273.76</v>
      </c>
    </row>
    <row r="179" spans="2:31" x14ac:dyDescent="0.3">
      <c r="B179" t="s">
        <v>257</v>
      </c>
      <c r="D179">
        <v>144</v>
      </c>
      <c r="E179">
        <v>2148</v>
      </c>
      <c r="F179">
        <v>71</v>
      </c>
      <c r="H179">
        <v>175</v>
      </c>
      <c r="I179" s="3">
        <f>AVERAGE(J179:XX179)</f>
        <v>246.67199999999997</v>
      </c>
      <c r="J179" s="3">
        <v>128.76</v>
      </c>
      <c r="K179" s="3">
        <v>111.68</v>
      </c>
      <c r="L179" s="3">
        <v>108.2</v>
      </c>
      <c r="M179" s="3">
        <v>237.92</v>
      </c>
      <c r="N179" s="3">
        <v>258.39999999999998</v>
      </c>
      <c r="O179" s="3">
        <v>552.64</v>
      </c>
      <c r="P179" s="3">
        <v>296.64</v>
      </c>
      <c r="Q179" s="3">
        <v>277.52</v>
      </c>
      <c r="R179" s="3">
        <v>307.04000000000002</v>
      </c>
      <c r="S179" s="3">
        <v>187.92</v>
      </c>
    </row>
    <row r="180" spans="2:31" x14ac:dyDescent="0.3">
      <c r="B180" t="s">
        <v>258</v>
      </c>
      <c r="D180">
        <v>187</v>
      </c>
      <c r="E180">
        <v>25856</v>
      </c>
      <c r="F180">
        <v>254</v>
      </c>
      <c r="H180">
        <v>176</v>
      </c>
      <c r="I180" s="3">
        <f>AVERAGE(J180:XX180)</f>
        <v>270.85454545454547</v>
      </c>
      <c r="J180" s="3">
        <v>133.88</v>
      </c>
      <c r="K180" s="3">
        <v>136.96</v>
      </c>
      <c r="L180" s="3">
        <v>227.6</v>
      </c>
      <c r="M180" s="3">
        <v>113.4</v>
      </c>
      <c r="N180" s="3">
        <v>460</v>
      </c>
      <c r="O180" s="3">
        <v>110.6</v>
      </c>
      <c r="P180" s="3">
        <v>638.08000000000004</v>
      </c>
      <c r="Q180" s="3">
        <v>287.2</v>
      </c>
      <c r="R180" s="3">
        <v>295.27999999999997</v>
      </c>
      <c r="S180" s="3">
        <v>307.60000000000002</v>
      </c>
      <c r="T180" s="3">
        <v>268.8</v>
      </c>
    </row>
    <row r="181" spans="2:31" x14ac:dyDescent="0.3">
      <c r="B181" t="s">
        <v>259</v>
      </c>
      <c r="D181">
        <v>181</v>
      </c>
      <c r="E181">
        <v>16960</v>
      </c>
      <c r="F181">
        <v>205</v>
      </c>
      <c r="H181">
        <v>177</v>
      </c>
      <c r="I181" s="3">
        <f>AVERAGE(J181:XX181)</f>
        <v>191.70666666666668</v>
      </c>
      <c r="J181" s="3">
        <v>144.16</v>
      </c>
      <c r="K181" s="3">
        <v>145.36000000000001</v>
      </c>
      <c r="L181" s="3">
        <v>121.36</v>
      </c>
      <c r="M181" s="3">
        <v>117.76</v>
      </c>
      <c r="N181" s="3">
        <v>244.64</v>
      </c>
      <c r="O181" s="3">
        <v>376.96</v>
      </c>
    </row>
    <row r="182" spans="2:31" x14ac:dyDescent="0.3">
      <c r="B182" t="s">
        <v>260</v>
      </c>
      <c r="D182">
        <v>171</v>
      </c>
      <c r="E182">
        <v>9644</v>
      </c>
      <c r="F182">
        <v>153</v>
      </c>
      <c r="H182">
        <v>178</v>
      </c>
      <c r="I182" s="3">
        <f>AVERAGE(J182:XX182)</f>
        <v>214.36923076923074</v>
      </c>
      <c r="J182" s="3">
        <v>149.56</v>
      </c>
      <c r="K182" s="3">
        <v>148.68</v>
      </c>
      <c r="L182" s="3">
        <v>150.63999999999999</v>
      </c>
      <c r="M182" s="3">
        <v>152.84</v>
      </c>
      <c r="N182" s="3">
        <v>149.63999999999999</v>
      </c>
      <c r="O182" s="3">
        <v>129.32</v>
      </c>
      <c r="P182" s="3">
        <v>127.76</v>
      </c>
      <c r="Q182" s="3">
        <v>121.64</v>
      </c>
      <c r="R182" s="3">
        <v>241.04</v>
      </c>
      <c r="S182" s="3">
        <v>329.44</v>
      </c>
      <c r="T182" s="3">
        <v>348.96</v>
      </c>
      <c r="U182" s="3">
        <v>368.64</v>
      </c>
      <c r="V182" s="3">
        <v>368.64</v>
      </c>
    </row>
    <row r="183" spans="2:31" x14ac:dyDescent="0.3">
      <c r="B183" t="s">
        <v>261</v>
      </c>
      <c r="D183">
        <v>173</v>
      </c>
      <c r="E183">
        <v>11088</v>
      </c>
      <c r="F183">
        <v>164</v>
      </c>
      <c r="H183">
        <v>179</v>
      </c>
      <c r="I183" s="3">
        <f>AVERAGE(J183:XX183)</f>
        <v>248.08727272727276</v>
      </c>
      <c r="J183" s="3">
        <v>159.47999999999999</v>
      </c>
      <c r="K183" s="3">
        <v>160.04</v>
      </c>
      <c r="L183" s="3">
        <v>241.44</v>
      </c>
      <c r="M183" s="3">
        <v>154.96</v>
      </c>
      <c r="N183" s="3">
        <v>160.24</v>
      </c>
      <c r="O183" s="3">
        <v>133.19999999999999</v>
      </c>
      <c r="P183" s="3">
        <v>443.2</v>
      </c>
      <c r="Q183" s="3">
        <v>300.88</v>
      </c>
      <c r="R183" s="3">
        <v>336.32</v>
      </c>
      <c r="S183" s="3">
        <v>336.32</v>
      </c>
      <c r="T183" s="3">
        <v>302.88</v>
      </c>
    </row>
    <row r="184" spans="2:31" x14ac:dyDescent="0.3">
      <c r="B184" t="s">
        <v>262</v>
      </c>
      <c r="D184">
        <v>151</v>
      </c>
      <c r="E184">
        <v>3277</v>
      </c>
      <c r="F184">
        <v>88</v>
      </c>
      <c r="H184">
        <v>180</v>
      </c>
      <c r="I184" s="3">
        <f>AVERAGE(J184:XX184)</f>
        <v>227.53500000000003</v>
      </c>
      <c r="J184" s="3">
        <v>166.88</v>
      </c>
      <c r="K184" s="3">
        <v>140.96</v>
      </c>
      <c r="L184" s="3">
        <v>137.96</v>
      </c>
      <c r="M184" s="3">
        <v>135.76</v>
      </c>
      <c r="N184" s="3">
        <v>346.08</v>
      </c>
      <c r="O184" s="3">
        <v>290.88</v>
      </c>
      <c r="P184" s="3">
        <v>310.88</v>
      </c>
      <c r="Q184" s="3">
        <v>290.88</v>
      </c>
    </row>
    <row r="185" spans="2:31" x14ac:dyDescent="0.3">
      <c r="B185" t="s">
        <v>263</v>
      </c>
      <c r="D185">
        <v>144</v>
      </c>
      <c r="E185">
        <v>2207</v>
      </c>
      <c r="F185">
        <v>72</v>
      </c>
      <c r="H185">
        <v>181</v>
      </c>
      <c r="I185" s="3">
        <f>AVERAGE(J185:XX185)</f>
        <v>271.05714285714288</v>
      </c>
      <c r="J185" s="3">
        <v>172.56</v>
      </c>
      <c r="K185" s="3">
        <v>169.6</v>
      </c>
      <c r="L185" s="3">
        <v>143.24</v>
      </c>
      <c r="M185" s="3">
        <v>143.68</v>
      </c>
      <c r="N185" s="3">
        <v>431.68</v>
      </c>
      <c r="O185" s="3">
        <v>431.68</v>
      </c>
      <c r="P185" s="3">
        <v>404.96</v>
      </c>
    </row>
    <row r="186" spans="2:31" x14ac:dyDescent="0.3">
      <c r="B186" t="s">
        <v>264</v>
      </c>
      <c r="D186">
        <v>162</v>
      </c>
      <c r="E186">
        <v>6116</v>
      </c>
      <c r="F186">
        <v>120</v>
      </c>
      <c r="H186">
        <v>182</v>
      </c>
      <c r="I186" s="3">
        <f>AVERAGE(J186:XX186)</f>
        <v>270.11692307692306</v>
      </c>
      <c r="J186" s="3">
        <v>176</v>
      </c>
      <c r="K186" s="3">
        <v>182.64</v>
      </c>
      <c r="L186" s="3">
        <v>184.56</v>
      </c>
      <c r="M186" s="3">
        <v>157.68</v>
      </c>
      <c r="N186" s="3">
        <v>151.80000000000001</v>
      </c>
      <c r="O186" s="3">
        <v>146.19999999999999</v>
      </c>
      <c r="P186" s="3">
        <v>374.72</v>
      </c>
      <c r="Q186" s="3">
        <v>362.4</v>
      </c>
      <c r="R186" s="3">
        <v>348.48</v>
      </c>
      <c r="S186" s="3">
        <v>374.72</v>
      </c>
      <c r="T186" s="3">
        <v>362.4</v>
      </c>
      <c r="U186" s="3">
        <v>348.48</v>
      </c>
      <c r="V186" s="3">
        <v>341.44</v>
      </c>
    </row>
    <row r="187" spans="2:31" x14ac:dyDescent="0.3">
      <c r="B187" t="s">
        <v>265</v>
      </c>
      <c r="D187">
        <v>167</v>
      </c>
      <c r="E187">
        <v>8080</v>
      </c>
      <c r="F187">
        <v>138</v>
      </c>
      <c r="H187">
        <v>183</v>
      </c>
      <c r="I187" s="3">
        <f>AVERAGE(J187:XX187)</f>
        <v>338.69411764705882</v>
      </c>
      <c r="J187" s="3">
        <v>188.4</v>
      </c>
      <c r="K187" s="3">
        <v>194.32</v>
      </c>
      <c r="L187" s="3">
        <v>168.24</v>
      </c>
      <c r="M187" s="3">
        <v>157.04</v>
      </c>
      <c r="N187" s="3">
        <v>154.12</v>
      </c>
      <c r="O187" s="3">
        <v>163.84</v>
      </c>
      <c r="P187" s="3">
        <v>433.12</v>
      </c>
      <c r="Q187" s="3">
        <v>283.68</v>
      </c>
      <c r="R187" s="3">
        <v>399.84</v>
      </c>
      <c r="S187" s="3">
        <v>405.28</v>
      </c>
      <c r="T187" s="3">
        <v>450.24</v>
      </c>
      <c r="U187" s="3">
        <v>444.64</v>
      </c>
      <c r="V187" s="3">
        <v>405.28</v>
      </c>
      <c r="W187" s="3">
        <v>450.24</v>
      </c>
      <c r="X187" s="3">
        <v>444.64</v>
      </c>
      <c r="Y187" s="3">
        <v>599.84</v>
      </c>
      <c r="Z187" s="3">
        <v>415.04</v>
      </c>
    </row>
    <row r="188" spans="2:31" x14ac:dyDescent="0.3">
      <c r="B188" t="s">
        <v>266</v>
      </c>
      <c r="D188">
        <v>157</v>
      </c>
      <c r="E188">
        <v>4430</v>
      </c>
      <c r="F188">
        <v>102</v>
      </c>
      <c r="H188">
        <v>184</v>
      </c>
      <c r="I188" s="3">
        <f>AVERAGE(J188:XX188)</f>
        <v>295.34909090909082</v>
      </c>
      <c r="J188" s="3">
        <v>205.68</v>
      </c>
      <c r="K188" s="3">
        <v>204.8</v>
      </c>
      <c r="L188" s="3">
        <v>204.72</v>
      </c>
      <c r="M188" s="3">
        <v>209.92</v>
      </c>
      <c r="N188" s="3">
        <v>215.68</v>
      </c>
      <c r="O188" s="3">
        <v>179.12</v>
      </c>
      <c r="P188" s="3">
        <v>255.28</v>
      </c>
      <c r="Q188" s="3">
        <v>176.48</v>
      </c>
      <c r="R188" s="3">
        <v>174.08</v>
      </c>
      <c r="S188" s="3">
        <v>179.76</v>
      </c>
      <c r="T188" s="3">
        <v>171.44</v>
      </c>
      <c r="U188" s="3">
        <v>167.12</v>
      </c>
      <c r="V188" s="3">
        <v>175.52</v>
      </c>
      <c r="W188" s="3">
        <v>175.2</v>
      </c>
      <c r="X188" s="3">
        <v>395.36</v>
      </c>
      <c r="Y188" s="3">
        <v>447.68</v>
      </c>
      <c r="Z188" s="3">
        <v>566.88</v>
      </c>
      <c r="AA188" s="3">
        <v>451.36</v>
      </c>
      <c r="AB188" s="3">
        <v>566.88</v>
      </c>
      <c r="AC188" s="3">
        <v>451.36</v>
      </c>
      <c r="AD188" s="3">
        <v>391.2</v>
      </c>
      <c r="AE188" s="3">
        <v>532.16</v>
      </c>
    </row>
    <row r="189" spans="2:31" x14ac:dyDescent="0.3">
      <c r="B189" t="s">
        <v>267</v>
      </c>
      <c r="D189">
        <v>186</v>
      </c>
      <c r="E189">
        <v>23504</v>
      </c>
      <c r="F189">
        <v>241</v>
      </c>
      <c r="H189">
        <v>185</v>
      </c>
      <c r="I189" s="3">
        <f>AVERAGE(J189:XX189)</f>
        <v>346.32000000000005</v>
      </c>
      <c r="J189" s="3">
        <v>220</v>
      </c>
      <c r="K189" s="3">
        <v>219.76</v>
      </c>
      <c r="L189" s="3">
        <v>223.84</v>
      </c>
      <c r="M189" s="3">
        <v>221.92</v>
      </c>
      <c r="N189" s="3">
        <v>217.92</v>
      </c>
      <c r="O189" s="3">
        <v>180.8</v>
      </c>
      <c r="P189" s="3">
        <v>188.48</v>
      </c>
      <c r="Q189" s="3">
        <v>189.92</v>
      </c>
      <c r="R189" s="3">
        <v>523.20000000000005</v>
      </c>
      <c r="S189" s="3">
        <v>478.72</v>
      </c>
      <c r="T189" s="3">
        <v>613.76</v>
      </c>
      <c r="U189" s="3">
        <v>443.52</v>
      </c>
      <c r="V189" s="3">
        <v>512.16</v>
      </c>
      <c r="W189" s="3">
        <v>512.16</v>
      </c>
      <c r="X189" s="3">
        <v>448.64</v>
      </c>
    </row>
    <row r="190" spans="2:31" x14ac:dyDescent="0.3">
      <c r="B190" t="s">
        <v>268</v>
      </c>
      <c r="D190">
        <v>170</v>
      </c>
      <c r="E190">
        <v>9460</v>
      </c>
      <c r="F190">
        <v>151</v>
      </c>
      <c r="H190">
        <v>186</v>
      </c>
      <c r="I190" s="3">
        <f>AVERAGE(J190:XX190)</f>
        <v>380.6</v>
      </c>
      <c r="J190" s="3">
        <v>241.36</v>
      </c>
      <c r="K190" s="3">
        <v>238.48</v>
      </c>
      <c r="L190" s="3">
        <v>232.24</v>
      </c>
      <c r="M190" s="3">
        <v>232.8</v>
      </c>
      <c r="N190" s="3">
        <v>235.04</v>
      </c>
      <c r="O190" s="3">
        <v>201.52</v>
      </c>
      <c r="P190" s="3">
        <v>303.27999999999997</v>
      </c>
      <c r="Q190" s="3">
        <v>200.4</v>
      </c>
      <c r="R190" s="3">
        <v>382.4</v>
      </c>
      <c r="S190" s="3">
        <v>368</v>
      </c>
      <c r="T190" s="3">
        <v>474.08</v>
      </c>
      <c r="U190" s="3">
        <v>476.64</v>
      </c>
      <c r="V190" s="3">
        <v>551.20000000000005</v>
      </c>
      <c r="W190" s="3">
        <v>456.64</v>
      </c>
      <c r="X190" s="3">
        <v>474.08</v>
      </c>
      <c r="Y190" s="3">
        <v>476.64</v>
      </c>
      <c r="Z190" s="3">
        <v>551.20000000000005</v>
      </c>
      <c r="AA190" s="3">
        <v>456.64</v>
      </c>
      <c r="AB190" s="3">
        <v>449.28</v>
      </c>
      <c r="AC190" s="3">
        <v>610.08000000000004</v>
      </c>
    </row>
    <row r="191" spans="2:31" x14ac:dyDescent="0.3">
      <c r="B191" t="s">
        <v>269</v>
      </c>
      <c r="D191">
        <v>161</v>
      </c>
      <c r="E191">
        <v>5950</v>
      </c>
      <c r="F191">
        <v>119</v>
      </c>
      <c r="H191">
        <v>187</v>
      </c>
      <c r="I191" s="3">
        <f>AVERAGE(J191:XX191)</f>
        <v>300.90285714285716</v>
      </c>
      <c r="J191" s="3">
        <v>244</v>
      </c>
      <c r="K191" s="3">
        <v>250.24</v>
      </c>
      <c r="L191" s="3">
        <v>254.32</v>
      </c>
      <c r="M191" s="3">
        <v>247.76</v>
      </c>
      <c r="N191" s="3">
        <v>258.56</v>
      </c>
      <c r="O191" s="3">
        <v>213.6</v>
      </c>
      <c r="P191" s="3">
        <v>205.84</v>
      </c>
      <c r="Q191" s="3">
        <v>213.2</v>
      </c>
      <c r="R191" s="3">
        <v>210.32</v>
      </c>
      <c r="S191" s="3">
        <v>207.12</v>
      </c>
      <c r="T191" s="3">
        <v>395.36</v>
      </c>
      <c r="U191" s="3">
        <v>509.76</v>
      </c>
      <c r="V191" s="3">
        <v>509.76</v>
      </c>
      <c r="W191" s="3">
        <v>492.8</v>
      </c>
    </row>
    <row r="192" spans="2:31" x14ac:dyDescent="0.3">
      <c r="B192" t="s">
        <v>270</v>
      </c>
      <c r="D192">
        <v>147</v>
      </c>
      <c r="E192">
        <v>2594</v>
      </c>
      <c r="F192">
        <v>78</v>
      </c>
      <c r="H192">
        <v>188</v>
      </c>
      <c r="I192" s="3">
        <f>AVERAGE(J192:XX192)</f>
        <v>423.02</v>
      </c>
      <c r="J192" s="3">
        <v>232.72</v>
      </c>
      <c r="K192" s="3">
        <v>225.04</v>
      </c>
      <c r="L192" s="3">
        <v>218.4</v>
      </c>
      <c r="M192" s="3">
        <v>565.6</v>
      </c>
      <c r="N192" s="3">
        <v>565.6</v>
      </c>
      <c r="O192" s="3">
        <v>484.16</v>
      </c>
      <c r="P192" s="3">
        <v>479.36</v>
      </c>
      <c r="Q192" s="3">
        <v>613.28</v>
      </c>
    </row>
    <row r="193" spans="2:35" x14ac:dyDescent="0.3">
      <c r="B193" t="s">
        <v>271</v>
      </c>
      <c r="D193">
        <v>185</v>
      </c>
      <c r="E193">
        <v>21792</v>
      </c>
      <c r="F193">
        <v>232</v>
      </c>
      <c r="H193">
        <v>189</v>
      </c>
      <c r="I193" s="3">
        <f>AVERAGE(J193:XX193)</f>
        <v>488.68571428571431</v>
      </c>
      <c r="J193" s="3">
        <v>232.8</v>
      </c>
      <c r="K193" s="3">
        <v>233.04</v>
      </c>
      <c r="L193" s="3">
        <v>229.2</v>
      </c>
      <c r="M193" s="3">
        <v>620.48</v>
      </c>
      <c r="N193" s="3">
        <v>550.55999999999995</v>
      </c>
      <c r="O193" s="3">
        <v>620.48</v>
      </c>
      <c r="P193" s="3">
        <v>550.55999999999995</v>
      </c>
      <c r="Q193" s="3">
        <v>475.04</v>
      </c>
      <c r="R193" s="3">
        <v>509.76</v>
      </c>
      <c r="S193" s="3">
        <v>524.79999999999995</v>
      </c>
      <c r="T193" s="3">
        <v>539.04</v>
      </c>
      <c r="U193" s="3">
        <v>603.52</v>
      </c>
      <c r="V193" s="3">
        <v>599.04</v>
      </c>
      <c r="W193" s="3">
        <v>553.28</v>
      </c>
    </row>
    <row r="194" spans="2:35" x14ac:dyDescent="0.3">
      <c r="H194">
        <v>190</v>
      </c>
      <c r="I194" s="3">
        <f>AVERAGE(J194:XX194)</f>
        <v>160.97599999999997</v>
      </c>
      <c r="J194" s="3">
        <v>261.68</v>
      </c>
      <c r="K194" s="3">
        <v>249.92</v>
      </c>
      <c r="L194" s="3">
        <v>241.44</v>
      </c>
      <c r="M194" s="3">
        <v>25.92</v>
      </c>
      <c r="N194" s="3">
        <v>25.92</v>
      </c>
    </row>
    <row r="195" spans="2:35" x14ac:dyDescent="0.3">
      <c r="B195" t="s">
        <v>272</v>
      </c>
      <c r="D195">
        <v>63</v>
      </c>
      <c r="E195">
        <v>36</v>
      </c>
      <c r="F195">
        <v>10</v>
      </c>
      <c r="H195">
        <v>191</v>
      </c>
      <c r="I195" s="3">
        <f>AVERAGE(J195:XX195)</f>
        <v>391.38352941176475</v>
      </c>
      <c r="J195" s="3">
        <v>268.32</v>
      </c>
      <c r="K195" s="3">
        <v>6.08</v>
      </c>
      <c r="L195" s="3">
        <v>259.2</v>
      </c>
      <c r="M195" s="3">
        <v>257.2</v>
      </c>
      <c r="N195" s="3">
        <v>254.32</v>
      </c>
      <c r="O195" s="3">
        <v>264.32</v>
      </c>
      <c r="P195" s="3">
        <v>264.72000000000003</v>
      </c>
      <c r="Q195" s="3">
        <v>264.56</v>
      </c>
      <c r="R195" s="3">
        <v>254.48</v>
      </c>
      <c r="S195" s="3">
        <v>574.88</v>
      </c>
      <c r="T195" s="3">
        <v>558.55999999999995</v>
      </c>
      <c r="U195" s="3">
        <v>556</v>
      </c>
      <c r="V195" s="3">
        <v>574.88</v>
      </c>
      <c r="W195" s="3">
        <v>558.55999999999995</v>
      </c>
      <c r="X195" s="3">
        <v>556</v>
      </c>
      <c r="Y195" s="3">
        <v>572.64</v>
      </c>
      <c r="Z195" s="3">
        <v>608.79999999999995</v>
      </c>
    </row>
    <row r="196" spans="2:35" x14ac:dyDescent="0.3">
      <c r="B196" t="s">
        <v>273</v>
      </c>
      <c r="D196">
        <v>36</v>
      </c>
      <c r="E196">
        <v>20</v>
      </c>
      <c r="F196">
        <v>8</v>
      </c>
      <c r="H196">
        <v>192</v>
      </c>
      <c r="I196" s="3">
        <f>AVERAGE(J196:XX196)</f>
        <v>432.79200000000003</v>
      </c>
      <c r="J196" s="3">
        <v>289.12</v>
      </c>
      <c r="K196" s="3">
        <v>275.60000000000002</v>
      </c>
      <c r="L196" s="3">
        <v>272.56</v>
      </c>
      <c r="M196" s="3">
        <v>268.16000000000003</v>
      </c>
      <c r="N196" s="3">
        <v>267.60000000000002</v>
      </c>
      <c r="O196" s="3">
        <v>564.48</v>
      </c>
      <c r="P196" s="3">
        <v>592.32000000000005</v>
      </c>
      <c r="Q196" s="3">
        <v>564.48</v>
      </c>
      <c r="R196" s="3">
        <v>592.32000000000005</v>
      </c>
      <c r="S196" s="3">
        <v>641.28</v>
      </c>
    </row>
    <row r="197" spans="2:35" x14ac:dyDescent="0.3">
      <c r="B197" t="s">
        <v>274</v>
      </c>
      <c r="D197">
        <v>11</v>
      </c>
      <c r="E197">
        <v>7</v>
      </c>
      <c r="F197">
        <v>4</v>
      </c>
      <c r="H197">
        <v>193</v>
      </c>
      <c r="I197" s="3">
        <f>AVERAGE(J197:XX197)</f>
        <v>345.66999999999996</v>
      </c>
      <c r="J197" s="3">
        <v>295.68</v>
      </c>
      <c r="K197" s="3">
        <v>293.76</v>
      </c>
      <c r="L197" s="3">
        <v>280.72000000000003</v>
      </c>
      <c r="M197" s="3">
        <v>278.56</v>
      </c>
      <c r="N197" s="3">
        <v>194.56</v>
      </c>
      <c r="O197" s="3">
        <v>613.76</v>
      </c>
      <c r="P197" s="3">
        <v>194.56</v>
      </c>
      <c r="Q197" s="3">
        <v>613.76</v>
      </c>
    </row>
    <row r="198" spans="2:35" x14ac:dyDescent="0.3">
      <c r="B198" t="s">
        <v>275</v>
      </c>
      <c r="D198">
        <v>19</v>
      </c>
      <c r="E198">
        <v>9</v>
      </c>
      <c r="F198">
        <v>6</v>
      </c>
      <c r="H198">
        <v>194</v>
      </c>
      <c r="I198" s="3">
        <f>AVERAGE(J198:XX198)</f>
        <v>290.56</v>
      </c>
      <c r="J198" s="3">
        <v>305.2</v>
      </c>
      <c r="K198" s="3">
        <v>295.44</v>
      </c>
      <c r="L198" s="3">
        <v>296.08</v>
      </c>
      <c r="M198" s="3">
        <v>296.16000000000003</v>
      </c>
      <c r="N198" s="3">
        <v>296.08</v>
      </c>
      <c r="O198" s="3">
        <v>68.16</v>
      </c>
      <c r="P198" s="3">
        <v>69.760000000000005</v>
      </c>
      <c r="Q198" s="3">
        <v>647.20000000000005</v>
      </c>
      <c r="R198" s="3">
        <v>652.64</v>
      </c>
      <c r="S198" s="3">
        <v>27.2</v>
      </c>
      <c r="T198" s="3">
        <v>68.16</v>
      </c>
      <c r="U198" s="3">
        <v>69.760000000000005</v>
      </c>
      <c r="V198" s="3">
        <v>647.20000000000005</v>
      </c>
      <c r="W198" s="3">
        <v>652.64</v>
      </c>
      <c r="X198" s="3">
        <v>27.2</v>
      </c>
      <c r="Y198" s="3">
        <v>230.08</v>
      </c>
    </row>
    <row r="199" spans="2:35" x14ac:dyDescent="0.3">
      <c r="B199" t="s">
        <v>276</v>
      </c>
      <c r="D199">
        <v>10</v>
      </c>
      <c r="E199">
        <v>7</v>
      </c>
      <c r="F199">
        <v>4</v>
      </c>
      <c r="H199">
        <v>195</v>
      </c>
      <c r="I199" s="3">
        <f>AVERAGE(J199:XX199)</f>
        <v>263.64</v>
      </c>
      <c r="J199" s="3">
        <v>324.39999999999998</v>
      </c>
      <c r="K199" s="3">
        <v>559.20000000000005</v>
      </c>
      <c r="L199" s="3">
        <v>310.64</v>
      </c>
      <c r="M199" s="3">
        <v>306.08</v>
      </c>
      <c r="N199" s="3">
        <v>302.39999999999998</v>
      </c>
      <c r="O199" s="3">
        <v>303.12</v>
      </c>
      <c r="P199" s="3">
        <v>194.88</v>
      </c>
      <c r="Q199" s="3">
        <v>130.56</v>
      </c>
      <c r="R199" s="3">
        <v>192.64</v>
      </c>
      <c r="S199" s="3">
        <v>234.56</v>
      </c>
      <c r="T199" s="3">
        <v>210.56</v>
      </c>
      <c r="U199" s="3">
        <v>292.16000000000003</v>
      </c>
      <c r="V199" s="3">
        <v>424.64</v>
      </c>
      <c r="W199" s="3">
        <v>250.24</v>
      </c>
      <c r="X199" s="3">
        <v>194.88</v>
      </c>
      <c r="Y199" s="3">
        <v>130.56</v>
      </c>
      <c r="Z199" s="3">
        <v>192.64</v>
      </c>
      <c r="AA199" s="3">
        <v>234.56</v>
      </c>
      <c r="AB199" s="3">
        <v>210.56</v>
      </c>
      <c r="AC199" s="3">
        <v>292.16000000000003</v>
      </c>
      <c r="AD199" s="3">
        <v>424.64</v>
      </c>
      <c r="AE199" s="3">
        <v>250.24</v>
      </c>
      <c r="AF199" s="3">
        <v>192.32</v>
      </c>
      <c r="AG199" s="3">
        <v>103.04</v>
      </c>
      <c r="AH199" s="3">
        <v>143.04</v>
      </c>
      <c r="AI199" s="3">
        <v>449.92</v>
      </c>
    </row>
    <row r="200" spans="2:35" x14ac:dyDescent="0.3">
      <c r="B200" t="s">
        <v>277</v>
      </c>
      <c r="D200">
        <v>25</v>
      </c>
      <c r="E200">
        <v>14</v>
      </c>
      <c r="F200">
        <v>7</v>
      </c>
      <c r="H200">
        <v>196</v>
      </c>
      <c r="I200" s="3">
        <f>AVERAGE(J200:XX200)</f>
        <v>172.01066666666668</v>
      </c>
      <c r="J200" s="3">
        <v>350.4</v>
      </c>
      <c r="K200" s="3">
        <v>340.16</v>
      </c>
      <c r="L200" s="3">
        <v>121.92</v>
      </c>
      <c r="M200" s="3">
        <v>147.19999999999999</v>
      </c>
      <c r="N200" s="3">
        <v>18.559999999999999</v>
      </c>
      <c r="O200" s="3">
        <v>247.68</v>
      </c>
      <c r="P200" s="3">
        <v>53.44</v>
      </c>
      <c r="Q200" s="3">
        <v>121.92</v>
      </c>
      <c r="R200" s="3">
        <v>147.19999999999999</v>
      </c>
      <c r="S200" s="3">
        <v>18.559999999999999</v>
      </c>
      <c r="T200" s="3">
        <v>247.68</v>
      </c>
      <c r="U200" s="3">
        <v>53.44</v>
      </c>
      <c r="V200" s="3">
        <v>444.8</v>
      </c>
      <c r="W200" s="3">
        <v>147.84</v>
      </c>
      <c r="X200" s="3">
        <v>119.36</v>
      </c>
    </row>
    <row r="201" spans="2:35" x14ac:dyDescent="0.3">
      <c r="B201" t="s">
        <v>278</v>
      </c>
      <c r="D201">
        <v>18</v>
      </c>
      <c r="E201">
        <v>9</v>
      </c>
      <c r="F201">
        <v>6</v>
      </c>
      <c r="H201">
        <v>197</v>
      </c>
      <c r="I201" s="3">
        <f>AVERAGE(J201:XX201)</f>
        <v>333.85599999999999</v>
      </c>
      <c r="J201" s="3">
        <v>385.44</v>
      </c>
      <c r="K201" s="3">
        <v>363.04</v>
      </c>
      <c r="L201" s="3">
        <v>362.56</v>
      </c>
      <c r="M201" s="3">
        <v>215.68</v>
      </c>
      <c r="N201" s="3">
        <v>382.72</v>
      </c>
      <c r="O201" s="3">
        <v>215.68</v>
      </c>
      <c r="P201" s="3">
        <v>382.72</v>
      </c>
      <c r="Q201" s="3">
        <v>206.08</v>
      </c>
      <c r="R201" s="3">
        <v>341.12</v>
      </c>
      <c r="S201" s="3">
        <v>483.52</v>
      </c>
    </row>
    <row r="202" spans="2:35" x14ac:dyDescent="0.3">
      <c r="B202" t="s">
        <v>279</v>
      </c>
      <c r="D202">
        <v>37</v>
      </c>
      <c r="E202">
        <v>21</v>
      </c>
      <c r="F202">
        <v>8</v>
      </c>
      <c r="H202">
        <v>198</v>
      </c>
      <c r="I202" s="3">
        <f>AVERAGE(J202:XX202)</f>
        <v>345.6094117647059</v>
      </c>
      <c r="J202" s="3">
        <v>411.04</v>
      </c>
      <c r="K202" s="3">
        <v>526.72</v>
      </c>
      <c r="L202" s="3">
        <v>390.72</v>
      </c>
      <c r="M202" s="3">
        <v>381.92</v>
      </c>
      <c r="N202" s="3">
        <v>404.96</v>
      </c>
      <c r="O202" s="3">
        <v>384.48</v>
      </c>
      <c r="P202" s="3">
        <v>387.52</v>
      </c>
      <c r="Q202" s="3">
        <v>394.24</v>
      </c>
      <c r="R202" s="3">
        <v>432.48</v>
      </c>
      <c r="S202" s="3">
        <v>387.2</v>
      </c>
      <c r="T202" s="3">
        <v>395.52</v>
      </c>
      <c r="U202" s="3">
        <v>341.44</v>
      </c>
      <c r="V202" s="3">
        <v>274.24</v>
      </c>
      <c r="W202" s="3">
        <v>73.599999999999994</v>
      </c>
      <c r="X202" s="3">
        <v>341.44</v>
      </c>
      <c r="Y202" s="3">
        <v>274.24</v>
      </c>
      <c r="Z202" s="3">
        <v>73.599999999999994</v>
      </c>
    </row>
    <row r="203" spans="2:35" x14ac:dyDescent="0.3">
      <c r="B203" t="s">
        <v>280</v>
      </c>
      <c r="D203">
        <v>26</v>
      </c>
      <c r="E203">
        <v>15</v>
      </c>
      <c r="F203">
        <v>7</v>
      </c>
      <c r="H203">
        <v>199</v>
      </c>
      <c r="I203" s="3">
        <f>AVERAGE(J203:XX203)</f>
        <v>412.77272727272737</v>
      </c>
      <c r="J203" s="3">
        <v>436.32</v>
      </c>
      <c r="K203" s="3">
        <v>425.44</v>
      </c>
      <c r="L203" s="3">
        <v>432.48</v>
      </c>
      <c r="M203" s="3">
        <v>415.2</v>
      </c>
      <c r="N203" s="3">
        <v>406.24</v>
      </c>
      <c r="O203" s="3">
        <v>414.56</v>
      </c>
      <c r="P203" s="3">
        <v>404.16</v>
      </c>
      <c r="Q203" s="3">
        <v>404.48</v>
      </c>
      <c r="R203" s="3">
        <v>415.52</v>
      </c>
      <c r="S203" s="3">
        <v>0.52</v>
      </c>
      <c r="T203" s="3">
        <v>497.28</v>
      </c>
      <c r="U203" s="3">
        <v>251.84</v>
      </c>
      <c r="V203" s="3">
        <v>463.04</v>
      </c>
      <c r="W203" s="3">
        <v>451.52</v>
      </c>
      <c r="X203" s="3">
        <v>497.28</v>
      </c>
      <c r="Y203" s="3">
        <v>251.84</v>
      </c>
      <c r="Z203" s="3">
        <v>463.04</v>
      </c>
      <c r="AA203" s="3">
        <v>451.52</v>
      </c>
      <c r="AB203" s="3">
        <v>378.56</v>
      </c>
      <c r="AC203" s="3">
        <v>605.12</v>
      </c>
      <c r="AD203" s="3">
        <v>520</v>
      </c>
      <c r="AE203" s="3">
        <v>495.04</v>
      </c>
    </row>
    <row r="204" spans="2:35" x14ac:dyDescent="0.3">
      <c r="B204" t="s">
        <v>281</v>
      </c>
      <c r="D204">
        <v>8</v>
      </c>
      <c r="E204">
        <v>5</v>
      </c>
      <c r="F204">
        <v>3</v>
      </c>
      <c r="H204">
        <v>200</v>
      </c>
      <c r="I204" s="3">
        <f>AVERAGE(J204:XX204)</f>
        <v>433.78666666666663</v>
      </c>
      <c r="J204" s="3">
        <v>456.96</v>
      </c>
      <c r="K204" s="3">
        <v>452.16</v>
      </c>
      <c r="L204" s="3">
        <v>440</v>
      </c>
      <c r="M204" s="3">
        <v>444.8</v>
      </c>
      <c r="N204" s="3">
        <v>438.72</v>
      </c>
      <c r="O204" s="3">
        <v>431.68</v>
      </c>
      <c r="P204" s="3">
        <v>453.12</v>
      </c>
      <c r="Q204" s="3">
        <v>431.68</v>
      </c>
      <c r="R204" s="3">
        <v>453.12</v>
      </c>
      <c r="S204" s="3">
        <v>477.12</v>
      </c>
      <c r="T204" s="3">
        <v>264</v>
      </c>
      <c r="U204" s="3">
        <v>462.08</v>
      </c>
    </row>
    <row r="205" spans="2:35" x14ac:dyDescent="0.3">
      <c r="B205" t="s">
        <v>282</v>
      </c>
      <c r="D205">
        <v>77</v>
      </c>
      <c r="E205">
        <v>48</v>
      </c>
      <c r="F205">
        <v>11</v>
      </c>
      <c r="H205">
        <v>201</v>
      </c>
      <c r="I205" s="3">
        <f>AVERAGE(J205:XX205)</f>
        <v>349.40000000000003</v>
      </c>
      <c r="J205" s="3">
        <v>480.48</v>
      </c>
      <c r="K205" s="3">
        <v>477.76</v>
      </c>
      <c r="L205" s="3">
        <v>454.56</v>
      </c>
      <c r="M205" s="3">
        <v>26.88</v>
      </c>
      <c r="N205" s="3">
        <v>458.08</v>
      </c>
      <c r="O205" s="3">
        <v>458.56</v>
      </c>
      <c r="P205" s="3">
        <v>33.92</v>
      </c>
      <c r="Q205" s="3">
        <v>378.24</v>
      </c>
      <c r="R205" s="3">
        <v>33.92</v>
      </c>
      <c r="S205" s="3">
        <v>378.24</v>
      </c>
      <c r="T205" s="3">
        <v>415.68</v>
      </c>
      <c r="U205" s="3">
        <v>596.48</v>
      </c>
    </row>
    <row r="206" spans="2:35" x14ac:dyDescent="0.3">
      <c r="B206" t="s">
        <v>283</v>
      </c>
      <c r="D206">
        <v>80</v>
      </c>
      <c r="E206">
        <v>57</v>
      </c>
      <c r="F206">
        <v>12</v>
      </c>
      <c r="H206">
        <v>202</v>
      </c>
      <c r="I206" s="3">
        <f>AVERAGE(J206:XX206)</f>
        <v>409.66588235294125</v>
      </c>
      <c r="J206" s="3">
        <v>516.32000000000005</v>
      </c>
      <c r="K206" s="3">
        <v>500.48</v>
      </c>
      <c r="L206" s="3">
        <v>484</v>
      </c>
      <c r="M206" s="3">
        <v>486.72</v>
      </c>
      <c r="N206" s="3">
        <v>504</v>
      </c>
      <c r="O206" s="3">
        <v>492.8</v>
      </c>
      <c r="P206" s="3">
        <v>491.68</v>
      </c>
      <c r="Q206" s="3">
        <v>549.76</v>
      </c>
      <c r="R206" s="3">
        <v>457.6</v>
      </c>
      <c r="S206" s="3">
        <v>151.04</v>
      </c>
      <c r="T206" s="3">
        <v>21.76</v>
      </c>
      <c r="U206" s="3">
        <v>549.76</v>
      </c>
      <c r="V206" s="3">
        <v>457.6</v>
      </c>
      <c r="W206" s="3">
        <v>151.04</v>
      </c>
      <c r="X206" s="3">
        <v>21.76</v>
      </c>
      <c r="Y206" s="3">
        <v>477.12</v>
      </c>
      <c r="Z206" s="3">
        <v>650.88</v>
      </c>
    </row>
    <row r="207" spans="2:35" x14ac:dyDescent="0.3">
      <c r="B207" t="s">
        <v>284</v>
      </c>
      <c r="D207">
        <v>65</v>
      </c>
      <c r="E207">
        <v>37</v>
      </c>
      <c r="F207">
        <v>10</v>
      </c>
      <c r="H207">
        <v>203</v>
      </c>
      <c r="I207" s="3">
        <f>AVERAGE(J207:XX207)</f>
        <v>452.22400000000005</v>
      </c>
      <c r="J207" s="3">
        <v>540.32000000000005</v>
      </c>
      <c r="K207" s="3">
        <v>521.91999999999996</v>
      </c>
      <c r="L207" s="3">
        <v>526.72</v>
      </c>
      <c r="M207" s="3">
        <v>522.72</v>
      </c>
      <c r="N207" s="3">
        <v>511.04</v>
      </c>
      <c r="O207" s="3">
        <v>508.8</v>
      </c>
      <c r="P207" s="3">
        <v>526.24</v>
      </c>
      <c r="Q207" s="3">
        <v>503.68</v>
      </c>
      <c r="R207" s="3">
        <v>516.32000000000005</v>
      </c>
      <c r="S207" s="3">
        <v>500.16</v>
      </c>
      <c r="T207" s="3">
        <v>39.68</v>
      </c>
      <c r="U207" s="3">
        <v>512.96</v>
      </c>
      <c r="V207" s="3">
        <v>500.16</v>
      </c>
      <c r="W207" s="3">
        <v>39.68</v>
      </c>
      <c r="X207" s="3">
        <v>512.96</v>
      </c>
    </row>
    <row r="208" spans="2:35" x14ac:dyDescent="0.3">
      <c r="B208" t="s">
        <v>285</v>
      </c>
      <c r="D208">
        <v>20</v>
      </c>
      <c r="E208">
        <v>10</v>
      </c>
      <c r="F208">
        <v>6</v>
      </c>
      <c r="H208">
        <v>204</v>
      </c>
      <c r="I208" s="3">
        <f>AVERAGE(J208:XX208)</f>
        <v>418.58909090909088</v>
      </c>
      <c r="J208" s="3">
        <v>570.88</v>
      </c>
      <c r="K208" s="3">
        <v>532.79999999999995</v>
      </c>
      <c r="L208" s="3">
        <v>536.32000000000005</v>
      </c>
      <c r="M208" s="3">
        <v>548.79999999999995</v>
      </c>
      <c r="N208" s="3">
        <v>545.28</v>
      </c>
      <c r="O208" s="3">
        <v>526.4</v>
      </c>
      <c r="P208" s="3">
        <v>7.04</v>
      </c>
      <c r="Q208" s="3">
        <v>572.79999999999995</v>
      </c>
      <c r="R208" s="3">
        <v>7.04</v>
      </c>
      <c r="S208" s="3">
        <v>572.79999999999995</v>
      </c>
      <c r="T208" s="3">
        <v>184.32</v>
      </c>
    </row>
    <row r="209" spans="2:37" x14ac:dyDescent="0.3">
      <c r="B209" t="s">
        <v>286</v>
      </c>
      <c r="D209">
        <v>80</v>
      </c>
      <c r="E209">
        <v>58</v>
      </c>
      <c r="F209">
        <v>12</v>
      </c>
      <c r="H209">
        <v>205</v>
      </c>
      <c r="I209" s="3">
        <f>AVERAGE(J209:XX209)</f>
        <v>230.03076923076924</v>
      </c>
      <c r="J209" s="3">
        <v>582.08000000000004</v>
      </c>
      <c r="K209" s="3">
        <v>554.55999999999995</v>
      </c>
      <c r="L209" s="3">
        <v>554.88</v>
      </c>
      <c r="M209" s="3">
        <v>179.84</v>
      </c>
      <c r="N209" s="3">
        <v>535.67999999999995</v>
      </c>
      <c r="O209" s="3">
        <v>220.16</v>
      </c>
      <c r="P209" s="3">
        <v>162.56</v>
      </c>
      <c r="Q209" s="3">
        <v>9.6</v>
      </c>
      <c r="R209" s="3">
        <v>10.24</v>
      </c>
      <c r="S209" s="3">
        <v>40.96</v>
      </c>
      <c r="T209" s="3">
        <v>211.2</v>
      </c>
      <c r="U209" s="3">
        <v>101.12</v>
      </c>
      <c r="V209" s="3">
        <v>138.88</v>
      </c>
      <c r="W209" s="3">
        <v>480</v>
      </c>
      <c r="X209" s="3">
        <v>179.84</v>
      </c>
      <c r="Y209" s="3">
        <v>535.67999999999995</v>
      </c>
      <c r="Z209" s="3">
        <v>220.16</v>
      </c>
      <c r="AA209" s="3">
        <v>162.56</v>
      </c>
      <c r="AB209" s="3">
        <v>9.6</v>
      </c>
      <c r="AC209" s="3">
        <v>10.24</v>
      </c>
      <c r="AD209" s="3">
        <v>40.96</v>
      </c>
      <c r="AE209" s="3">
        <v>211.2</v>
      </c>
      <c r="AF209" s="3">
        <v>101.12</v>
      </c>
      <c r="AG209" s="3">
        <v>138.88</v>
      </c>
      <c r="AH209" s="3">
        <v>480</v>
      </c>
      <c r="AI209" s="3">
        <v>108.8</v>
      </c>
    </row>
    <row r="210" spans="2:37" x14ac:dyDescent="0.3">
      <c r="B210" t="s">
        <v>287</v>
      </c>
      <c r="D210">
        <v>86</v>
      </c>
      <c r="E210">
        <v>80</v>
      </c>
      <c r="F210">
        <v>14</v>
      </c>
      <c r="H210">
        <v>206</v>
      </c>
      <c r="I210" s="3">
        <f>AVERAGE(J210:XX210)</f>
        <v>452.25</v>
      </c>
      <c r="J210" s="3">
        <v>650.08000000000004</v>
      </c>
      <c r="K210" s="3">
        <v>625.76</v>
      </c>
      <c r="L210" s="3">
        <v>610.55999999999995</v>
      </c>
      <c r="M210" s="3">
        <v>594.72</v>
      </c>
      <c r="N210" s="3">
        <v>597.12</v>
      </c>
      <c r="O210" s="3">
        <v>602.88</v>
      </c>
      <c r="P210" s="3">
        <v>586.4</v>
      </c>
      <c r="Q210" s="3">
        <v>601.91999999999996</v>
      </c>
      <c r="R210" s="3">
        <v>597.6</v>
      </c>
      <c r="S210" s="3">
        <v>268.16000000000003</v>
      </c>
      <c r="T210" s="3">
        <v>318.72000000000003</v>
      </c>
      <c r="U210" s="3">
        <v>65.92</v>
      </c>
      <c r="V210" s="3">
        <v>268.16000000000003</v>
      </c>
      <c r="W210" s="3">
        <v>318.72000000000003</v>
      </c>
      <c r="X210" s="3">
        <v>65.92</v>
      </c>
      <c r="Y210" s="3">
        <v>463.36</v>
      </c>
    </row>
    <row r="211" spans="2:37" x14ac:dyDescent="0.3">
      <c r="B211" t="s">
        <v>288</v>
      </c>
      <c r="D211">
        <v>76</v>
      </c>
      <c r="E211">
        <v>47</v>
      </c>
      <c r="F211">
        <v>11</v>
      </c>
      <c r="H211">
        <v>207</v>
      </c>
      <c r="I211" s="3">
        <f>AVERAGE(J211:XX211)</f>
        <v>331.95555555555558</v>
      </c>
      <c r="J211" s="3">
        <v>5.76</v>
      </c>
      <c r="K211" s="3">
        <v>16</v>
      </c>
      <c r="L211" s="3">
        <v>5.44</v>
      </c>
      <c r="M211" s="3">
        <v>3.84</v>
      </c>
      <c r="N211" s="3">
        <v>649.28</v>
      </c>
      <c r="O211" s="3">
        <v>616.32000000000005</v>
      </c>
      <c r="P211" s="3">
        <v>639.36</v>
      </c>
      <c r="Q211" s="3">
        <v>623.52</v>
      </c>
      <c r="R211" s="3">
        <v>611.20000000000005</v>
      </c>
      <c r="S211" s="3">
        <v>354.56</v>
      </c>
      <c r="T211" s="3">
        <v>323.2</v>
      </c>
      <c r="U211" s="3">
        <v>286.08</v>
      </c>
      <c r="V211" s="3">
        <v>414.08</v>
      </c>
      <c r="W211" s="3">
        <v>354.56</v>
      </c>
      <c r="X211" s="3">
        <v>323.2</v>
      </c>
      <c r="Y211" s="3">
        <v>286.08</v>
      </c>
      <c r="Z211" s="3">
        <v>414.08</v>
      </c>
      <c r="AA211" s="3">
        <v>48.64</v>
      </c>
    </row>
    <row r="212" spans="2:37" x14ac:dyDescent="0.3">
      <c r="B212" t="s">
        <v>289</v>
      </c>
      <c r="D212">
        <v>37</v>
      </c>
      <c r="E212">
        <v>20</v>
      </c>
      <c r="F212">
        <v>8</v>
      </c>
      <c r="H212">
        <v>208</v>
      </c>
      <c r="I212" s="3">
        <f>AVERAGE(J212:XX212)</f>
        <v>273.24000000000007</v>
      </c>
      <c r="J212" s="3">
        <v>21.44</v>
      </c>
      <c r="K212" s="3">
        <v>12.8</v>
      </c>
      <c r="L212" s="3">
        <v>29.12</v>
      </c>
      <c r="M212" s="3">
        <v>654.88</v>
      </c>
      <c r="N212" s="3">
        <v>26.24</v>
      </c>
      <c r="O212" s="3">
        <v>31.04</v>
      </c>
      <c r="P212" s="3">
        <v>8.9600000000000009</v>
      </c>
      <c r="Q212" s="3">
        <v>30.72</v>
      </c>
      <c r="R212" s="3">
        <v>652.16</v>
      </c>
      <c r="S212" s="3">
        <v>22.4</v>
      </c>
      <c r="T212" s="3">
        <v>17.600000000000001</v>
      </c>
      <c r="U212" s="3">
        <v>35.200000000000003</v>
      </c>
      <c r="V212" s="3">
        <v>190.08</v>
      </c>
      <c r="W212" s="3">
        <v>299.52</v>
      </c>
      <c r="X212" s="3">
        <v>622.08000000000004</v>
      </c>
      <c r="Y212" s="3">
        <v>634.88</v>
      </c>
      <c r="Z212" s="3">
        <v>135.04</v>
      </c>
      <c r="AA212" s="3">
        <v>529.28</v>
      </c>
      <c r="AB212" s="3">
        <v>208</v>
      </c>
      <c r="AC212" s="3">
        <v>190.08</v>
      </c>
      <c r="AD212" s="3">
        <v>299.52</v>
      </c>
      <c r="AE212" s="3">
        <v>622.08000000000004</v>
      </c>
      <c r="AF212" s="3">
        <v>634.88</v>
      </c>
      <c r="AG212" s="3">
        <v>135.04</v>
      </c>
      <c r="AH212" s="3">
        <v>529.28</v>
      </c>
      <c r="AI212" s="3">
        <v>208</v>
      </c>
      <c r="AJ212" s="3">
        <v>480.64</v>
      </c>
      <c r="AK212" s="3">
        <v>389.76</v>
      </c>
    </row>
    <row r="213" spans="2:37" x14ac:dyDescent="0.3">
      <c r="B213" t="s">
        <v>290</v>
      </c>
      <c r="D213">
        <v>5</v>
      </c>
      <c r="E213">
        <v>3</v>
      </c>
      <c r="F213">
        <v>1</v>
      </c>
      <c r="H213">
        <v>209</v>
      </c>
      <c r="I213" s="3">
        <f>AVERAGE(J213:XX213)</f>
        <v>321.36</v>
      </c>
      <c r="J213" s="3">
        <v>519.04</v>
      </c>
      <c r="K213" s="3">
        <v>291.2</v>
      </c>
      <c r="L213" s="3">
        <v>7.68</v>
      </c>
      <c r="M213" s="3">
        <v>442.88</v>
      </c>
      <c r="N213" s="3">
        <v>241.28</v>
      </c>
      <c r="O213" s="3">
        <v>519.04</v>
      </c>
      <c r="P213" s="3">
        <v>291.2</v>
      </c>
      <c r="Q213" s="3">
        <v>7.68</v>
      </c>
      <c r="R213" s="3">
        <v>442.88</v>
      </c>
      <c r="S213" s="3">
        <v>241.28</v>
      </c>
      <c r="T213" s="3">
        <v>96</v>
      </c>
      <c r="U213" s="3">
        <v>396.8</v>
      </c>
      <c r="V213" s="3">
        <v>388.48</v>
      </c>
      <c r="W213" s="3">
        <v>448</v>
      </c>
      <c r="X213" s="3">
        <v>545.28</v>
      </c>
      <c r="Y213" s="3">
        <v>263.04000000000002</v>
      </c>
    </row>
    <row r="214" spans="2:37" x14ac:dyDescent="0.3">
      <c r="B214" t="s">
        <v>275</v>
      </c>
      <c r="D214">
        <v>19</v>
      </c>
      <c r="E214">
        <v>9</v>
      </c>
      <c r="F214">
        <v>6</v>
      </c>
      <c r="H214">
        <v>210</v>
      </c>
      <c r="I214" s="3">
        <f>AVERAGE(J214:XX214)</f>
        <v>206.66181818181821</v>
      </c>
      <c r="J214" s="3">
        <v>130.56</v>
      </c>
      <c r="K214" s="3">
        <v>428.8</v>
      </c>
      <c r="L214" s="3">
        <v>108.16</v>
      </c>
      <c r="M214" s="3">
        <v>36.479999999999997</v>
      </c>
      <c r="N214" s="3">
        <v>184.96</v>
      </c>
      <c r="O214" s="3">
        <v>130.56</v>
      </c>
      <c r="P214" s="3">
        <v>428.8</v>
      </c>
      <c r="Q214" s="3">
        <v>108.16</v>
      </c>
      <c r="R214" s="3">
        <v>36.479999999999997</v>
      </c>
      <c r="S214" s="3">
        <v>184.96</v>
      </c>
      <c r="T214" s="3">
        <v>495.36</v>
      </c>
    </row>
    <row r="215" spans="2:37" x14ac:dyDescent="0.3">
      <c r="B215" t="s">
        <v>283</v>
      </c>
      <c r="D215">
        <v>80</v>
      </c>
      <c r="E215">
        <v>57</v>
      </c>
      <c r="F215">
        <v>12</v>
      </c>
      <c r="H215">
        <v>211</v>
      </c>
      <c r="I215" s="3">
        <f>AVERAGE(J215:XX215)</f>
        <v>277.68888888888887</v>
      </c>
      <c r="J215" s="3">
        <v>415.36</v>
      </c>
      <c r="K215" s="3">
        <v>24.96</v>
      </c>
      <c r="L215" s="3">
        <v>408.96</v>
      </c>
      <c r="M215" s="3">
        <v>415.36</v>
      </c>
      <c r="N215" s="3">
        <v>24.96</v>
      </c>
      <c r="O215" s="3">
        <v>408.96</v>
      </c>
      <c r="P215" s="3">
        <v>435.2</v>
      </c>
      <c r="Q215" s="3">
        <v>158.08000000000001</v>
      </c>
      <c r="R215" s="3">
        <v>207.36</v>
      </c>
    </row>
    <row r="216" spans="2:37" x14ac:dyDescent="0.3">
      <c r="H216">
        <v>212</v>
      </c>
      <c r="I216" s="3">
        <f>AVERAGE(J216:XX216)</f>
        <v>349.2</v>
      </c>
      <c r="J216" s="3">
        <v>0</v>
      </c>
      <c r="K216" s="3">
        <v>362.24</v>
      </c>
      <c r="L216" s="3">
        <v>444.16</v>
      </c>
      <c r="M216" s="3">
        <v>581.76</v>
      </c>
      <c r="N216" s="3">
        <v>241.92</v>
      </c>
      <c r="O216" s="3">
        <v>501.76</v>
      </c>
      <c r="P216" s="3">
        <v>0</v>
      </c>
      <c r="Q216" s="3">
        <v>362.24</v>
      </c>
      <c r="R216" s="3">
        <v>444.16</v>
      </c>
      <c r="S216" s="3">
        <v>581.76</v>
      </c>
      <c r="T216" s="3">
        <v>241.92</v>
      </c>
      <c r="U216" s="3">
        <v>501.76</v>
      </c>
      <c r="V216" s="3">
        <v>292.48</v>
      </c>
      <c r="W216" s="3">
        <v>190.72</v>
      </c>
      <c r="X216" s="3">
        <v>426.24</v>
      </c>
      <c r="Y216" s="3">
        <v>414.08</v>
      </c>
    </row>
    <row r="217" spans="2:37" x14ac:dyDescent="0.3">
      <c r="B217" t="s">
        <v>291</v>
      </c>
      <c r="D217">
        <v>84</v>
      </c>
      <c r="E217">
        <v>71</v>
      </c>
      <c r="F217">
        <v>13</v>
      </c>
      <c r="H217">
        <v>213</v>
      </c>
      <c r="I217" s="3">
        <f>AVERAGE(J217:XX217)</f>
        <v>371.56000000000006</v>
      </c>
      <c r="J217" s="3">
        <v>596.48</v>
      </c>
      <c r="K217" s="3">
        <v>326.39999999999998</v>
      </c>
      <c r="L217" s="3">
        <v>268.8</v>
      </c>
      <c r="M217" s="3">
        <v>452.48</v>
      </c>
      <c r="N217" s="3">
        <v>396.16</v>
      </c>
      <c r="O217" s="3">
        <v>574.72</v>
      </c>
      <c r="P217" s="3">
        <v>64</v>
      </c>
      <c r="Q217" s="3">
        <v>596.48</v>
      </c>
      <c r="R217" s="3">
        <v>326.39999999999998</v>
      </c>
      <c r="S217" s="3">
        <v>268.8</v>
      </c>
      <c r="T217" s="3">
        <v>452.48</v>
      </c>
      <c r="U217" s="3">
        <v>396.16</v>
      </c>
      <c r="V217" s="3">
        <v>574.72</v>
      </c>
      <c r="W217" s="3">
        <v>64</v>
      </c>
      <c r="X217" s="3">
        <v>71.680000000000007</v>
      </c>
      <c r="Y217" s="3">
        <v>515.20000000000005</v>
      </c>
    </row>
    <row r="218" spans="2:37" x14ac:dyDescent="0.3">
      <c r="H218">
        <v>214</v>
      </c>
      <c r="I218" s="3">
        <f>AVERAGE(J218:XX218)</f>
        <v>279.92888888888888</v>
      </c>
      <c r="J218" s="3">
        <v>243.2</v>
      </c>
      <c r="K218" s="3">
        <v>117.76</v>
      </c>
      <c r="L218" s="3">
        <v>276.48</v>
      </c>
      <c r="M218" s="3">
        <v>128</v>
      </c>
      <c r="N218" s="3">
        <v>330.24</v>
      </c>
      <c r="O218" s="3">
        <v>520.32000000000005</v>
      </c>
      <c r="P218" s="3">
        <v>51.2</v>
      </c>
      <c r="Q218" s="3">
        <v>243.2</v>
      </c>
      <c r="R218" s="3">
        <v>117.76</v>
      </c>
      <c r="S218" s="3">
        <v>276.48</v>
      </c>
      <c r="T218" s="3">
        <v>128</v>
      </c>
      <c r="U218" s="3">
        <v>330.24</v>
      </c>
      <c r="V218" s="3">
        <v>520.32000000000005</v>
      </c>
      <c r="W218" s="3">
        <v>51.2</v>
      </c>
      <c r="X218" s="3">
        <v>229.76</v>
      </c>
      <c r="Y218" s="3">
        <v>401.28</v>
      </c>
      <c r="Z218" s="3">
        <v>467.2</v>
      </c>
      <c r="AA218" s="3">
        <v>606.08000000000004</v>
      </c>
    </row>
    <row r="219" spans="2:37" x14ac:dyDescent="0.3">
      <c r="B219" t="s">
        <v>292</v>
      </c>
      <c r="D219">
        <v>6</v>
      </c>
      <c r="E219">
        <v>4</v>
      </c>
      <c r="F219">
        <v>2</v>
      </c>
      <c r="H219">
        <v>215</v>
      </c>
      <c r="I219" s="3">
        <f>AVERAGE(J219:XX219)</f>
        <v>355.02545454545452</v>
      </c>
      <c r="J219" s="3">
        <v>342.4</v>
      </c>
      <c r="K219" s="3">
        <v>298.88</v>
      </c>
      <c r="L219" s="3">
        <v>342.4</v>
      </c>
      <c r="M219" s="3">
        <v>298.88</v>
      </c>
      <c r="N219" s="3">
        <v>397.44</v>
      </c>
      <c r="O219" s="3">
        <v>611.84</v>
      </c>
      <c r="P219" s="3">
        <v>34.56</v>
      </c>
      <c r="Q219" s="3">
        <v>589.44000000000005</v>
      </c>
      <c r="R219" s="3">
        <v>115.2</v>
      </c>
      <c r="S219" s="3">
        <v>446.08</v>
      </c>
      <c r="T219" s="3">
        <v>428.16</v>
      </c>
    </row>
    <row r="220" spans="2:37" x14ac:dyDescent="0.3">
      <c r="B220" t="s">
        <v>293</v>
      </c>
      <c r="D220">
        <v>76</v>
      </c>
      <c r="E220">
        <v>45</v>
      </c>
      <c r="F220">
        <v>11</v>
      </c>
      <c r="H220">
        <v>216</v>
      </c>
      <c r="I220" s="3">
        <f>AVERAGE(J220:XX220)</f>
        <v>345.29882352941183</v>
      </c>
      <c r="J220" s="3">
        <v>413.44</v>
      </c>
      <c r="K220" s="3">
        <v>312.32</v>
      </c>
      <c r="L220" s="3">
        <v>352</v>
      </c>
      <c r="M220" s="3">
        <v>352</v>
      </c>
      <c r="N220" s="3">
        <v>325.76</v>
      </c>
      <c r="O220" s="3">
        <v>413.44</v>
      </c>
      <c r="P220" s="3">
        <v>312.32</v>
      </c>
      <c r="Q220" s="3">
        <v>352</v>
      </c>
      <c r="R220" s="3">
        <v>352</v>
      </c>
      <c r="S220" s="3">
        <v>325.76</v>
      </c>
      <c r="T220" s="3">
        <v>24.32</v>
      </c>
      <c r="U220" s="3">
        <v>556.16</v>
      </c>
      <c r="V220" s="3">
        <v>139.52000000000001</v>
      </c>
      <c r="W220" s="3">
        <v>585.6</v>
      </c>
      <c r="X220" s="3">
        <v>532.48</v>
      </c>
      <c r="Y220" s="3">
        <v>25.6</v>
      </c>
      <c r="Z220" s="3">
        <v>495.36</v>
      </c>
    </row>
    <row r="221" spans="2:37" x14ac:dyDescent="0.3">
      <c r="B221" t="s">
        <v>294</v>
      </c>
      <c r="D221">
        <v>86</v>
      </c>
      <c r="E221">
        <v>79</v>
      </c>
      <c r="F221">
        <v>14</v>
      </c>
      <c r="H221">
        <v>217</v>
      </c>
      <c r="I221" s="3">
        <f>AVERAGE(J221:XX221)</f>
        <v>234.60571428571424</v>
      </c>
      <c r="J221" s="3">
        <v>634.24</v>
      </c>
      <c r="K221" s="3">
        <v>318.72000000000003</v>
      </c>
      <c r="L221" s="3">
        <v>24.32</v>
      </c>
      <c r="M221" s="3">
        <v>39.68</v>
      </c>
      <c r="N221" s="3">
        <v>84.48</v>
      </c>
      <c r="O221" s="3">
        <v>391.68</v>
      </c>
      <c r="P221" s="3">
        <v>634.24</v>
      </c>
      <c r="Q221" s="3">
        <v>318.72000000000003</v>
      </c>
      <c r="R221" s="3">
        <v>24.32</v>
      </c>
      <c r="S221" s="3">
        <v>39.68</v>
      </c>
      <c r="T221" s="3">
        <v>84.48</v>
      </c>
      <c r="U221" s="3">
        <v>391.68</v>
      </c>
      <c r="V221" s="3">
        <v>46.08</v>
      </c>
      <c r="W221" s="3">
        <v>252.16</v>
      </c>
    </row>
    <row r="222" spans="2:37" x14ac:dyDescent="0.3">
      <c r="B222" t="s">
        <v>295</v>
      </c>
      <c r="D222">
        <v>4</v>
      </c>
      <c r="E222">
        <v>2</v>
      </c>
      <c r="F222">
        <v>1</v>
      </c>
      <c r="H222">
        <v>218</v>
      </c>
      <c r="I222" s="3">
        <f>AVERAGE(J222:XX222)</f>
        <v>418.85538461538459</v>
      </c>
      <c r="J222" s="3">
        <v>115.2</v>
      </c>
      <c r="K222" s="3">
        <v>632.32000000000005</v>
      </c>
      <c r="L222" s="3">
        <v>314.88</v>
      </c>
      <c r="M222" s="3">
        <v>499.2</v>
      </c>
      <c r="N222" s="3">
        <v>522.24</v>
      </c>
      <c r="O222" s="3">
        <v>567.67999999999995</v>
      </c>
      <c r="P222" s="3">
        <v>115.2</v>
      </c>
      <c r="Q222" s="3">
        <v>632.32000000000005</v>
      </c>
      <c r="R222" s="3">
        <v>314.88</v>
      </c>
      <c r="S222" s="3">
        <v>499.2</v>
      </c>
      <c r="T222" s="3">
        <v>522.24</v>
      </c>
      <c r="U222" s="3">
        <v>567.67999999999995</v>
      </c>
      <c r="V222" s="3">
        <v>142.08000000000001</v>
      </c>
    </row>
    <row r="223" spans="2:37" x14ac:dyDescent="0.3">
      <c r="B223" t="s">
        <v>293</v>
      </c>
      <c r="D223">
        <v>76</v>
      </c>
      <c r="E223">
        <v>45</v>
      </c>
      <c r="F223">
        <v>11</v>
      </c>
      <c r="H223">
        <v>219</v>
      </c>
      <c r="I223" s="3">
        <f>AVERAGE(J223:XX223)</f>
        <v>334.52799999999991</v>
      </c>
      <c r="J223" s="3">
        <v>350.72</v>
      </c>
      <c r="K223" s="3">
        <v>35.840000000000003</v>
      </c>
      <c r="L223" s="3">
        <v>400.64</v>
      </c>
      <c r="M223" s="3">
        <v>583.67999999999995</v>
      </c>
      <c r="N223" s="3">
        <v>390.4</v>
      </c>
      <c r="O223" s="3">
        <v>350.72</v>
      </c>
      <c r="P223" s="3">
        <v>35.840000000000003</v>
      </c>
      <c r="Q223" s="3">
        <v>400.64</v>
      </c>
      <c r="R223" s="3">
        <v>583.67999999999995</v>
      </c>
      <c r="S223" s="3">
        <v>390.4</v>
      </c>
      <c r="T223" s="3">
        <v>412.16</v>
      </c>
      <c r="U223" s="3">
        <v>264.95999999999998</v>
      </c>
      <c r="V223" s="3">
        <v>37.119999999999997</v>
      </c>
      <c r="W223" s="3">
        <v>518.4</v>
      </c>
      <c r="X223" s="3">
        <v>499.2</v>
      </c>
      <c r="Y223" s="3">
        <v>24.32</v>
      </c>
      <c r="Z223" s="3">
        <v>90.88</v>
      </c>
      <c r="AA223" s="3">
        <v>221.44</v>
      </c>
      <c r="AB223" s="3">
        <v>590.08000000000004</v>
      </c>
      <c r="AC223" s="3">
        <v>509.44</v>
      </c>
    </row>
    <row r="224" spans="2:37" x14ac:dyDescent="0.3">
      <c r="B224" t="s">
        <v>247</v>
      </c>
      <c r="D224">
        <v>5</v>
      </c>
      <c r="E224">
        <v>3</v>
      </c>
      <c r="F224">
        <v>2</v>
      </c>
      <c r="H224">
        <v>220</v>
      </c>
      <c r="I224" s="3">
        <f>AVERAGE(J224:XX224)</f>
        <v>422.92363636363638</v>
      </c>
      <c r="J224" s="3">
        <v>423.68</v>
      </c>
      <c r="K224" s="3">
        <v>565.76</v>
      </c>
      <c r="L224" s="3">
        <v>33.28</v>
      </c>
      <c r="M224" s="3">
        <v>629.76</v>
      </c>
      <c r="N224" s="3">
        <v>618.24</v>
      </c>
      <c r="O224" s="3">
        <v>330.24</v>
      </c>
      <c r="P224" s="3">
        <v>353.28</v>
      </c>
      <c r="Q224" s="3">
        <v>229.12</v>
      </c>
      <c r="R224" s="3">
        <v>423.68</v>
      </c>
      <c r="S224" s="3">
        <v>565.76</v>
      </c>
      <c r="T224" s="3">
        <v>33.28</v>
      </c>
      <c r="U224" s="3">
        <v>629.76</v>
      </c>
      <c r="V224" s="3">
        <v>618.24</v>
      </c>
      <c r="W224" s="3">
        <v>330.24</v>
      </c>
      <c r="X224" s="3">
        <v>353.28</v>
      </c>
      <c r="Y224" s="3">
        <v>229.12</v>
      </c>
      <c r="Z224" s="3">
        <v>162.56</v>
      </c>
      <c r="AA224" s="3">
        <v>504.32</v>
      </c>
      <c r="AB224" s="3">
        <v>537.6</v>
      </c>
      <c r="AC224" s="3">
        <v>563.20000000000005</v>
      </c>
      <c r="AD224" s="3">
        <v>604.16</v>
      </c>
      <c r="AE224" s="3">
        <v>565.76</v>
      </c>
    </row>
    <row r="225" spans="2:38" x14ac:dyDescent="0.3">
      <c r="B225" t="s">
        <v>296</v>
      </c>
      <c r="D225">
        <v>5</v>
      </c>
      <c r="E225">
        <v>4</v>
      </c>
      <c r="F225">
        <v>3</v>
      </c>
      <c r="H225">
        <v>221</v>
      </c>
      <c r="I225" s="3">
        <f>AVERAGE(J225:XX225)</f>
        <v>385.4628571428571</v>
      </c>
      <c r="J225" s="3">
        <v>482.56</v>
      </c>
      <c r="K225" s="3">
        <v>488.96</v>
      </c>
      <c r="L225" s="3">
        <v>286.72000000000003</v>
      </c>
      <c r="M225" s="3">
        <v>302.08</v>
      </c>
      <c r="N225" s="3">
        <v>545.28</v>
      </c>
      <c r="O225" s="3">
        <v>482.56</v>
      </c>
      <c r="P225" s="3">
        <v>488.96</v>
      </c>
      <c r="Q225" s="3">
        <v>286.72000000000003</v>
      </c>
      <c r="R225" s="3">
        <v>302.08</v>
      </c>
      <c r="S225" s="3">
        <v>545.28</v>
      </c>
      <c r="T225" s="3">
        <v>314.88</v>
      </c>
      <c r="U225" s="3">
        <v>147.19999999999999</v>
      </c>
      <c r="V225" s="3">
        <v>80.64</v>
      </c>
      <c r="W225" s="3">
        <v>642.55999999999995</v>
      </c>
    </row>
    <row r="226" spans="2:38" x14ac:dyDescent="0.3">
      <c r="B226" t="s">
        <v>287</v>
      </c>
      <c r="D226">
        <v>86</v>
      </c>
      <c r="E226">
        <v>80</v>
      </c>
      <c r="F226">
        <v>14</v>
      </c>
      <c r="H226">
        <v>222</v>
      </c>
      <c r="I226" s="3">
        <f>AVERAGE(J226:XX226)</f>
        <v>297.57439999999997</v>
      </c>
      <c r="J226" s="3">
        <v>532.48</v>
      </c>
      <c r="K226" s="3">
        <v>544</v>
      </c>
      <c r="L226" s="3">
        <v>115.2</v>
      </c>
      <c r="M226" s="3">
        <v>634.88</v>
      </c>
      <c r="N226" s="3">
        <v>12.8</v>
      </c>
      <c r="O226" s="3">
        <v>171.52</v>
      </c>
      <c r="P226" s="3">
        <v>121.6</v>
      </c>
      <c r="Q226" s="3">
        <v>90.88</v>
      </c>
      <c r="R226" s="3">
        <v>42.24</v>
      </c>
      <c r="S226" s="3">
        <v>637.44000000000005</v>
      </c>
      <c r="T226" s="3">
        <v>532.48</v>
      </c>
      <c r="U226" s="3">
        <v>544</v>
      </c>
      <c r="V226" s="3">
        <v>115.2</v>
      </c>
      <c r="W226" s="3">
        <v>634.88</v>
      </c>
      <c r="X226" s="3">
        <v>12.8</v>
      </c>
      <c r="Y226" s="3">
        <v>171.52</v>
      </c>
      <c r="Z226" s="3">
        <v>121.6</v>
      </c>
      <c r="AA226" s="3">
        <v>90.88</v>
      </c>
      <c r="AB226" s="3">
        <v>42.24</v>
      </c>
      <c r="AC226" s="3">
        <v>637.44000000000005</v>
      </c>
      <c r="AD226" s="3">
        <v>422.4</v>
      </c>
      <c r="AE226" s="3">
        <v>209.92</v>
      </c>
      <c r="AF226" s="3">
        <v>455.68</v>
      </c>
      <c r="AG226" s="3">
        <v>184.32</v>
      </c>
      <c r="AH226" s="3">
        <v>360.96</v>
      </c>
    </row>
    <row r="227" spans="2:38" x14ac:dyDescent="0.3">
      <c r="B227" t="s">
        <v>297</v>
      </c>
      <c r="D227">
        <v>10</v>
      </c>
      <c r="E227">
        <v>6</v>
      </c>
      <c r="F227">
        <v>4</v>
      </c>
      <c r="H227">
        <v>223</v>
      </c>
      <c r="I227" s="3">
        <f>AVERAGE(J227:XX227)</f>
        <v>336.55172413793105</v>
      </c>
      <c r="J227" s="3">
        <v>307.2</v>
      </c>
      <c r="K227" s="3">
        <v>581.12</v>
      </c>
      <c r="L227" s="3">
        <v>266.24</v>
      </c>
      <c r="M227" s="3">
        <v>245.76</v>
      </c>
      <c r="N227" s="3">
        <v>506.88</v>
      </c>
      <c r="O227" s="3">
        <v>332.8</v>
      </c>
      <c r="P227" s="3">
        <v>513.28</v>
      </c>
      <c r="Q227" s="3">
        <v>199.68</v>
      </c>
      <c r="R227" s="3">
        <v>320</v>
      </c>
      <c r="S227" s="3">
        <v>197.12</v>
      </c>
      <c r="T227" s="3">
        <v>171.52</v>
      </c>
      <c r="U227" s="3">
        <v>436.48</v>
      </c>
      <c r="V227" s="3">
        <v>307.2</v>
      </c>
      <c r="W227" s="3">
        <v>581.12</v>
      </c>
      <c r="X227" s="3">
        <v>266.24</v>
      </c>
      <c r="Y227" s="3">
        <v>245.76</v>
      </c>
      <c r="Z227" s="3">
        <v>506.88</v>
      </c>
      <c r="AA227" s="3">
        <v>332.8</v>
      </c>
      <c r="AB227" s="3">
        <v>513.28</v>
      </c>
      <c r="AC227" s="3">
        <v>199.68</v>
      </c>
      <c r="AD227" s="3">
        <v>320</v>
      </c>
      <c r="AE227" s="3">
        <v>197.12</v>
      </c>
      <c r="AF227" s="3">
        <v>171.52</v>
      </c>
      <c r="AG227" s="3">
        <v>436.48</v>
      </c>
      <c r="AH227" s="3">
        <v>128</v>
      </c>
      <c r="AI227" s="3">
        <v>569.6</v>
      </c>
      <c r="AJ227" s="3">
        <v>384</v>
      </c>
      <c r="AK227" s="3">
        <v>313.60000000000002</v>
      </c>
      <c r="AL227" s="3">
        <v>208.64</v>
      </c>
    </row>
    <row r="228" spans="2:38" x14ac:dyDescent="0.3">
      <c r="B228" t="s">
        <v>298</v>
      </c>
      <c r="D228">
        <v>49</v>
      </c>
      <c r="E228">
        <v>26</v>
      </c>
      <c r="F228">
        <v>9</v>
      </c>
      <c r="H228">
        <v>224</v>
      </c>
      <c r="I228" s="3">
        <f>AVERAGE(J228:XX228)</f>
        <v>375.55200000000002</v>
      </c>
      <c r="J228" s="3">
        <v>390.4</v>
      </c>
      <c r="K228" s="3">
        <v>424.96</v>
      </c>
      <c r="L228" s="3">
        <v>481.28</v>
      </c>
      <c r="M228" s="3">
        <v>390.4</v>
      </c>
      <c r="N228" s="3">
        <v>424.96</v>
      </c>
      <c r="O228" s="3">
        <v>481.28</v>
      </c>
      <c r="P228" s="3">
        <v>163.84</v>
      </c>
      <c r="Q228" s="3">
        <v>486.4</v>
      </c>
      <c r="R228" s="3">
        <v>322.56</v>
      </c>
      <c r="S228" s="3">
        <v>189.44</v>
      </c>
    </row>
    <row r="229" spans="2:38" x14ac:dyDescent="0.3">
      <c r="B229" t="s">
        <v>283</v>
      </c>
      <c r="D229">
        <v>80</v>
      </c>
      <c r="E229">
        <v>57</v>
      </c>
      <c r="F229">
        <v>12</v>
      </c>
      <c r="H229">
        <v>225</v>
      </c>
      <c r="I229" s="3">
        <f>AVERAGE(J229:XX229)</f>
        <v>255.02476190476196</v>
      </c>
      <c r="J229" s="3">
        <v>307.2</v>
      </c>
      <c r="K229" s="3">
        <v>17.920000000000002</v>
      </c>
      <c r="L229" s="3">
        <v>573.44000000000005</v>
      </c>
      <c r="M229" s="3">
        <v>61.44</v>
      </c>
      <c r="N229" s="3">
        <v>427.52</v>
      </c>
      <c r="O229" s="3">
        <v>2.56</v>
      </c>
      <c r="P229" s="3">
        <v>215.04</v>
      </c>
      <c r="Q229" s="3">
        <v>307.2</v>
      </c>
      <c r="R229" s="3">
        <v>17.920000000000002</v>
      </c>
      <c r="S229" s="3">
        <v>573.44000000000005</v>
      </c>
      <c r="T229" s="3">
        <v>61.44</v>
      </c>
      <c r="U229" s="3">
        <v>427.52</v>
      </c>
      <c r="V229" s="3">
        <v>2.56</v>
      </c>
      <c r="W229" s="3">
        <v>215.04</v>
      </c>
      <c r="X229" s="3">
        <v>408.32</v>
      </c>
      <c r="Y229" s="3">
        <v>200.96</v>
      </c>
      <c r="Z229" s="3">
        <v>410.88</v>
      </c>
      <c r="AA229" s="3">
        <v>235.52</v>
      </c>
      <c r="AB229" s="3">
        <v>358.4</v>
      </c>
      <c r="AC229" s="3">
        <v>153.6</v>
      </c>
      <c r="AD229" s="3">
        <v>377.6</v>
      </c>
    </row>
    <row r="230" spans="2:38" x14ac:dyDescent="0.3">
      <c r="B230" t="s">
        <v>290</v>
      </c>
      <c r="D230">
        <v>5</v>
      </c>
      <c r="E230">
        <v>3</v>
      </c>
      <c r="F230">
        <v>1</v>
      </c>
      <c r="H230">
        <v>226</v>
      </c>
      <c r="I230" s="3">
        <f>AVERAGE(J230:XX230)</f>
        <v>341.71259259259256</v>
      </c>
      <c r="J230" s="3">
        <v>216.32</v>
      </c>
      <c r="K230" s="3">
        <v>245.76</v>
      </c>
      <c r="L230" s="3">
        <v>435.2</v>
      </c>
      <c r="M230" s="3">
        <v>74.239999999999995</v>
      </c>
      <c r="N230" s="3">
        <v>409.6</v>
      </c>
      <c r="O230" s="3">
        <v>491.52</v>
      </c>
      <c r="P230" s="3">
        <v>517.12</v>
      </c>
      <c r="Q230" s="3">
        <v>424.96</v>
      </c>
      <c r="R230" s="3">
        <v>211.2</v>
      </c>
      <c r="S230" s="3">
        <v>600.32000000000005</v>
      </c>
      <c r="T230" s="3">
        <v>446.72</v>
      </c>
      <c r="U230" s="3">
        <v>216.32</v>
      </c>
      <c r="V230" s="3">
        <v>245.76</v>
      </c>
      <c r="W230" s="3">
        <v>435.2</v>
      </c>
      <c r="X230" s="3">
        <v>74.239999999999995</v>
      </c>
      <c r="Y230" s="3">
        <v>409.6</v>
      </c>
      <c r="Z230" s="3">
        <v>491.52</v>
      </c>
      <c r="AA230" s="3">
        <v>517.12</v>
      </c>
      <c r="AB230" s="3">
        <v>424.96</v>
      </c>
      <c r="AC230" s="3">
        <v>211.2</v>
      </c>
      <c r="AD230" s="3">
        <v>600.32000000000005</v>
      </c>
      <c r="AE230" s="3">
        <v>446.72</v>
      </c>
      <c r="AF230" s="3">
        <v>216.32</v>
      </c>
      <c r="AG230" s="3">
        <v>17.920000000000002</v>
      </c>
      <c r="AH230" s="3">
        <v>153.6</v>
      </c>
      <c r="AI230" s="3">
        <v>64</v>
      </c>
      <c r="AJ230" s="3">
        <v>628.48</v>
      </c>
    </row>
    <row r="231" spans="2:38" x14ac:dyDescent="0.3">
      <c r="B231" t="s">
        <v>299</v>
      </c>
      <c r="D231">
        <v>14</v>
      </c>
      <c r="E231">
        <v>8</v>
      </c>
      <c r="F231">
        <v>5</v>
      </c>
      <c r="H231">
        <v>227</v>
      </c>
      <c r="I231" s="3">
        <f>AVERAGE(J231:XX231)</f>
        <v>301.78461538461534</v>
      </c>
      <c r="J231" s="3">
        <v>344.32</v>
      </c>
      <c r="K231" s="3">
        <v>275.2</v>
      </c>
      <c r="L231" s="3">
        <v>192</v>
      </c>
      <c r="M231" s="3">
        <v>243.2</v>
      </c>
      <c r="N231" s="3">
        <v>344.32</v>
      </c>
      <c r="O231" s="3">
        <v>275.2</v>
      </c>
      <c r="P231" s="3">
        <v>192</v>
      </c>
      <c r="Q231" s="3">
        <v>243.2</v>
      </c>
      <c r="R231" s="3">
        <v>380.16</v>
      </c>
      <c r="S231" s="3">
        <v>596.48</v>
      </c>
      <c r="T231" s="3">
        <v>432.64</v>
      </c>
      <c r="U231" s="3">
        <v>309.76</v>
      </c>
      <c r="V231" s="3">
        <v>94.72</v>
      </c>
    </row>
    <row r="232" spans="2:38" x14ac:dyDescent="0.3">
      <c r="B232" t="s">
        <v>277</v>
      </c>
      <c r="D232">
        <v>25</v>
      </c>
      <c r="E232">
        <v>14</v>
      </c>
      <c r="F232">
        <v>7</v>
      </c>
      <c r="H232">
        <v>228</v>
      </c>
      <c r="I232" s="3">
        <f>AVERAGE(J232:XX232)</f>
        <v>242.34666666666666</v>
      </c>
      <c r="J232" s="3">
        <v>209.92</v>
      </c>
      <c r="K232" s="3">
        <v>209.92</v>
      </c>
      <c r="L232" s="3">
        <v>307.2</v>
      </c>
    </row>
    <row r="233" spans="2:38" x14ac:dyDescent="0.3">
      <c r="B233" t="s">
        <v>279</v>
      </c>
      <c r="D233">
        <v>37</v>
      </c>
      <c r="E233">
        <v>21</v>
      </c>
      <c r="F233">
        <v>8</v>
      </c>
      <c r="H233">
        <v>229</v>
      </c>
      <c r="I233" s="3">
        <f>AVERAGE(J233:XX233)</f>
        <v>272.32</v>
      </c>
      <c r="J233" s="3">
        <v>634.88</v>
      </c>
      <c r="K233" s="3">
        <v>20.48</v>
      </c>
      <c r="L233" s="3">
        <v>177.92</v>
      </c>
      <c r="M233" s="3">
        <v>634.88</v>
      </c>
      <c r="N233" s="3">
        <v>20.48</v>
      </c>
      <c r="O233" s="3">
        <v>177.92</v>
      </c>
      <c r="P233" s="3">
        <v>76.8</v>
      </c>
      <c r="Q233" s="3">
        <v>435.2</v>
      </c>
    </row>
    <row r="234" spans="2:38" x14ac:dyDescent="0.3">
      <c r="B234" t="s">
        <v>299</v>
      </c>
      <c r="D234">
        <v>14</v>
      </c>
      <c r="E234">
        <v>8</v>
      </c>
      <c r="F234">
        <v>5</v>
      </c>
      <c r="H234">
        <v>230</v>
      </c>
      <c r="I234" s="3">
        <f>AVERAGE(J234:XX234)</f>
        <v>429.26545454545447</v>
      </c>
      <c r="J234" s="3">
        <v>634.88</v>
      </c>
      <c r="K234" s="3">
        <v>478.72</v>
      </c>
      <c r="L234" s="3">
        <v>257.27999999999997</v>
      </c>
      <c r="M234" s="3">
        <v>496.64</v>
      </c>
      <c r="N234" s="3">
        <v>241.92</v>
      </c>
      <c r="O234" s="3">
        <v>634.88</v>
      </c>
      <c r="P234" s="3">
        <v>478.72</v>
      </c>
      <c r="Q234" s="3">
        <v>257.27999999999997</v>
      </c>
      <c r="R234" s="3">
        <v>496.64</v>
      </c>
      <c r="S234" s="3">
        <v>241.92</v>
      </c>
      <c r="T234" s="3">
        <v>503.04</v>
      </c>
    </row>
    <row r="235" spans="2:38" x14ac:dyDescent="0.3">
      <c r="B235" t="s">
        <v>300</v>
      </c>
      <c r="D235">
        <v>84</v>
      </c>
      <c r="E235">
        <v>70</v>
      </c>
      <c r="F235">
        <v>13</v>
      </c>
      <c r="H235">
        <v>231</v>
      </c>
      <c r="I235" s="3">
        <f>AVERAGE(J235:XX235)</f>
        <v>312.95999999999998</v>
      </c>
      <c r="J235" s="3">
        <v>271.36</v>
      </c>
      <c r="K235" s="3">
        <v>271.36</v>
      </c>
      <c r="L235" s="3">
        <v>514.55999999999995</v>
      </c>
      <c r="M235" s="3">
        <v>194.56</v>
      </c>
    </row>
    <row r="236" spans="2:38" x14ac:dyDescent="0.3">
      <c r="B236" t="s">
        <v>273</v>
      </c>
      <c r="D236">
        <v>36</v>
      </c>
      <c r="E236">
        <v>20</v>
      </c>
      <c r="F236">
        <v>8</v>
      </c>
      <c r="H236">
        <v>232</v>
      </c>
      <c r="I236" s="3">
        <f>AVERAGE(J236:XX236)</f>
        <v>313.14823529411768</v>
      </c>
      <c r="J236" s="3">
        <v>203.52</v>
      </c>
      <c r="K236" s="3">
        <v>143.36000000000001</v>
      </c>
      <c r="L236" s="3">
        <v>225.28</v>
      </c>
      <c r="M236" s="3">
        <v>634.88</v>
      </c>
      <c r="N236" s="3">
        <v>394.24</v>
      </c>
      <c r="O236" s="3">
        <v>250.88</v>
      </c>
      <c r="P236" s="3">
        <v>353.28</v>
      </c>
      <c r="Q236" s="3">
        <v>203.52</v>
      </c>
      <c r="R236" s="3">
        <v>143.36000000000001</v>
      </c>
      <c r="S236" s="3">
        <v>225.28</v>
      </c>
      <c r="T236" s="3">
        <v>634.88</v>
      </c>
      <c r="U236" s="3">
        <v>394.24</v>
      </c>
      <c r="V236" s="3">
        <v>250.88</v>
      </c>
      <c r="W236" s="3">
        <v>353.28</v>
      </c>
      <c r="X236" s="3">
        <v>485.12</v>
      </c>
      <c r="Y236" s="3">
        <v>363.52</v>
      </c>
      <c r="Z236" s="3">
        <v>64</v>
      </c>
    </row>
    <row r="237" spans="2:38" x14ac:dyDescent="0.3">
      <c r="B237" t="s">
        <v>297</v>
      </c>
      <c r="D237">
        <v>10</v>
      </c>
      <c r="E237">
        <v>6</v>
      </c>
      <c r="F237">
        <v>4</v>
      </c>
      <c r="H237">
        <v>233</v>
      </c>
      <c r="I237" s="3">
        <f>AVERAGE(J237:XX237)</f>
        <v>375.29599999999999</v>
      </c>
      <c r="J237" s="3">
        <v>634.88</v>
      </c>
      <c r="K237" s="3">
        <v>368.64</v>
      </c>
      <c r="L237" s="3">
        <v>634.88</v>
      </c>
      <c r="M237" s="3">
        <v>179.2</v>
      </c>
      <c r="N237" s="3">
        <v>58.88</v>
      </c>
      <c r="O237" s="3">
        <v>634.88</v>
      </c>
      <c r="P237" s="3">
        <v>368.64</v>
      </c>
      <c r="Q237" s="3">
        <v>634.88</v>
      </c>
      <c r="R237" s="3">
        <v>179.2</v>
      </c>
      <c r="S237" s="3">
        <v>58.88</v>
      </c>
    </row>
    <row r="238" spans="2:38" x14ac:dyDescent="0.3">
      <c r="B238" t="s">
        <v>301</v>
      </c>
      <c r="D238">
        <v>10</v>
      </c>
      <c r="E238">
        <v>7</v>
      </c>
      <c r="F238">
        <v>5</v>
      </c>
      <c r="H238">
        <v>234</v>
      </c>
      <c r="I238" s="3">
        <f>AVERAGE(J238:XX238)</f>
        <v>324.38857142857142</v>
      </c>
      <c r="J238" s="3">
        <v>307.2</v>
      </c>
      <c r="K238" s="3">
        <v>307.2</v>
      </c>
      <c r="L238" s="3">
        <v>593.91999999999996</v>
      </c>
      <c r="M238" s="3">
        <v>378.88</v>
      </c>
      <c r="N238" s="3">
        <v>89.6</v>
      </c>
      <c r="O238" s="3">
        <v>422.4</v>
      </c>
      <c r="P238" s="3">
        <v>171.52</v>
      </c>
    </row>
    <row r="239" spans="2:38" x14ac:dyDescent="0.3">
      <c r="B239" t="s">
        <v>302</v>
      </c>
      <c r="D239">
        <v>12</v>
      </c>
      <c r="E239">
        <v>26</v>
      </c>
      <c r="F239">
        <v>9</v>
      </c>
      <c r="H239">
        <v>235</v>
      </c>
      <c r="I239" s="3">
        <f>AVERAGE(J239:XX239)</f>
        <v>193.92000000000002</v>
      </c>
      <c r="J239" s="3">
        <v>89.6</v>
      </c>
      <c r="K239" s="3">
        <v>348.16</v>
      </c>
      <c r="L239" s="3">
        <v>122.88</v>
      </c>
      <c r="M239" s="3">
        <v>215.04</v>
      </c>
      <c r="N239" s="3">
        <v>89.6</v>
      </c>
      <c r="O239" s="3">
        <v>348.16</v>
      </c>
      <c r="P239" s="3">
        <v>122.88</v>
      </c>
      <c r="Q239" s="3">
        <v>215.04</v>
      </c>
    </row>
    <row r="240" spans="2:38" x14ac:dyDescent="0.3">
      <c r="B240" t="s">
        <v>303</v>
      </c>
      <c r="D240">
        <v>64</v>
      </c>
      <c r="E240">
        <v>36</v>
      </c>
      <c r="F240">
        <v>10</v>
      </c>
      <c r="H240">
        <v>236</v>
      </c>
      <c r="I240" s="3">
        <f>AVERAGE(J240:XX240)</f>
        <v>49.493333333333332</v>
      </c>
      <c r="J240" s="3">
        <v>61.44</v>
      </c>
      <c r="K240" s="3">
        <v>61.44</v>
      </c>
      <c r="L240" s="3">
        <v>25.6</v>
      </c>
    </row>
    <row r="241" spans="2:22" x14ac:dyDescent="0.3">
      <c r="B241" t="s">
        <v>304</v>
      </c>
      <c r="D241">
        <v>48</v>
      </c>
      <c r="E241">
        <v>26</v>
      </c>
      <c r="F241">
        <v>9</v>
      </c>
      <c r="H241">
        <v>237</v>
      </c>
      <c r="I241" s="3">
        <f>AVERAGE(J241:XX241)</f>
        <v>260.48</v>
      </c>
      <c r="J241" s="3">
        <v>348.16</v>
      </c>
      <c r="K241" s="3">
        <v>348.16</v>
      </c>
      <c r="L241" s="3">
        <v>327.68</v>
      </c>
      <c r="M241" s="3">
        <v>17.920000000000002</v>
      </c>
    </row>
    <row r="242" spans="2:22" x14ac:dyDescent="0.3">
      <c r="B242" t="s">
        <v>283</v>
      </c>
      <c r="D242">
        <v>80</v>
      </c>
      <c r="E242">
        <v>57</v>
      </c>
      <c r="F242">
        <v>12</v>
      </c>
      <c r="H242">
        <v>238</v>
      </c>
      <c r="I242" s="3">
        <f>AVERAGE(J242:XX242)</f>
        <v>465.92</v>
      </c>
      <c r="J242" s="3">
        <v>581.12</v>
      </c>
      <c r="K242" s="3">
        <v>350.72</v>
      </c>
      <c r="L242" s="3">
        <v>581.12</v>
      </c>
      <c r="M242" s="3">
        <v>350.72</v>
      </c>
    </row>
    <row r="243" spans="2:22" x14ac:dyDescent="0.3">
      <c r="B243" t="s">
        <v>305</v>
      </c>
      <c r="D243">
        <v>6</v>
      </c>
      <c r="E243">
        <v>4</v>
      </c>
      <c r="F243">
        <v>3</v>
      </c>
      <c r="H243">
        <v>239</v>
      </c>
      <c r="I243" s="3">
        <f>AVERAGE(J243:XX243)</f>
        <v>158.72</v>
      </c>
      <c r="J243" s="3">
        <v>158.72</v>
      </c>
    </row>
    <row r="244" spans="2:22" x14ac:dyDescent="0.3">
      <c r="B244" t="s">
        <v>287</v>
      </c>
      <c r="D244">
        <v>86</v>
      </c>
      <c r="E244">
        <v>80</v>
      </c>
      <c r="F244">
        <v>14</v>
      </c>
      <c r="H244">
        <v>240</v>
      </c>
      <c r="I244" s="3" t="e">
        <f>AVERAGE(J244:XX244)</f>
        <v>#DIV/0!</v>
      </c>
    </row>
    <row r="245" spans="2:22" x14ac:dyDescent="0.3">
      <c r="B245" t="s">
        <v>273</v>
      </c>
      <c r="D245">
        <v>36</v>
      </c>
      <c r="E245">
        <v>20</v>
      </c>
      <c r="F245">
        <v>8</v>
      </c>
      <c r="H245">
        <v>241</v>
      </c>
      <c r="I245" s="3">
        <f>AVERAGE(J245:XX245)</f>
        <v>634.88</v>
      </c>
      <c r="J245" s="3">
        <v>634.88</v>
      </c>
      <c r="K245" s="3">
        <v>634.88</v>
      </c>
      <c r="L245" s="3">
        <v>634.88</v>
      </c>
      <c r="M245" s="3">
        <v>634.88</v>
      </c>
    </row>
    <row r="246" spans="2:22" x14ac:dyDescent="0.3">
      <c r="B246" t="s">
        <v>283</v>
      </c>
      <c r="D246">
        <v>80</v>
      </c>
      <c r="E246">
        <v>57</v>
      </c>
      <c r="F246">
        <v>12</v>
      </c>
      <c r="H246">
        <v>242</v>
      </c>
      <c r="I246" s="3" t="e">
        <f>AVERAGE(J246:XX246)</f>
        <v>#DIV/0!</v>
      </c>
    </row>
    <row r="247" spans="2:22" x14ac:dyDescent="0.3">
      <c r="B247" t="s">
        <v>273</v>
      </c>
      <c r="D247">
        <v>36</v>
      </c>
      <c r="E247">
        <v>20</v>
      </c>
      <c r="F247">
        <v>8</v>
      </c>
      <c r="H247">
        <v>243</v>
      </c>
      <c r="I247" s="3">
        <f>AVERAGE(J247:XX247)</f>
        <v>373.95692307692303</v>
      </c>
      <c r="J247" s="3">
        <v>419.84</v>
      </c>
      <c r="K247" s="3">
        <v>168.96</v>
      </c>
      <c r="L247" s="3">
        <v>168.96</v>
      </c>
      <c r="M247" s="3">
        <v>583.67999999999995</v>
      </c>
      <c r="N247" s="3">
        <v>419.84</v>
      </c>
      <c r="O247" s="3">
        <v>168.96</v>
      </c>
      <c r="P247" s="3">
        <v>168.96</v>
      </c>
      <c r="Q247" s="3">
        <v>583.67999999999995</v>
      </c>
      <c r="R247" s="3">
        <v>560.64</v>
      </c>
      <c r="S247" s="3">
        <v>588.79999999999995</v>
      </c>
      <c r="T247" s="3">
        <v>360.96</v>
      </c>
      <c r="U247" s="3">
        <v>138.24</v>
      </c>
      <c r="V247" s="3">
        <v>529.91999999999996</v>
      </c>
    </row>
    <row r="248" spans="2:22" x14ac:dyDescent="0.3">
      <c r="B248" t="s">
        <v>247</v>
      </c>
      <c r="D248">
        <v>5</v>
      </c>
      <c r="E248">
        <v>3</v>
      </c>
      <c r="F248">
        <v>2</v>
      </c>
      <c r="H248">
        <v>244</v>
      </c>
      <c r="I248" s="3">
        <f>AVERAGE(J248:XX248)</f>
        <v>207.36</v>
      </c>
      <c r="J248" s="3">
        <v>207.36</v>
      </c>
    </row>
    <row r="249" spans="2:22" x14ac:dyDescent="0.3">
      <c r="B249" t="s">
        <v>306</v>
      </c>
      <c r="D249">
        <v>5</v>
      </c>
      <c r="E249">
        <v>7</v>
      </c>
      <c r="F249">
        <v>5</v>
      </c>
      <c r="H249">
        <v>245</v>
      </c>
      <c r="I249" s="3">
        <f>AVERAGE(J249:XX249)</f>
        <v>384</v>
      </c>
      <c r="J249" s="3">
        <v>307.2</v>
      </c>
      <c r="K249" s="3">
        <v>460.8</v>
      </c>
      <c r="L249" s="3">
        <v>307.2</v>
      </c>
      <c r="M249" s="3">
        <v>460.8</v>
      </c>
    </row>
    <row r="250" spans="2:22" x14ac:dyDescent="0.3">
      <c r="B250" t="s">
        <v>307</v>
      </c>
      <c r="D250">
        <v>24</v>
      </c>
      <c r="E250">
        <v>13</v>
      </c>
      <c r="F250">
        <v>7</v>
      </c>
      <c r="H250">
        <v>246</v>
      </c>
      <c r="I250" s="3" t="e">
        <f>AVERAGE(J250:XX250)</f>
        <v>#DIV/0!</v>
      </c>
    </row>
    <row r="251" spans="2:22" x14ac:dyDescent="0.3">
      <c r="B251" t="s">
        <v>273</v>
      </c>
      <c r="D251">
        <v>36</v>
      </c>
      <c r="E251">
        <v>20</v>
      </c>
      <c r="F251">
        <v>8</v>
      </c>
      <c r="H251">
        <v>247</v>
      </c>
      <c r="I251" s="3" t="e">
        <f>AVERAGE(J251:XX251)</f>
        <v>#DIV/0!</v>
      </c>
    </row>
    <row r="252" spans="2:22" x14ac:dyDescent="0.3">
      <c r="B252" t="s">
        <v>308</v>
      </c>
      <c r="D252">
        <v>76</v>
      </c>
      <c r="E252">
        <v>46</v>
      </c>
      <c r="F252">
        <v>11</v>
      </c>
      <c r="H252">
        <v>248</v>
      </c>
      <c r="I252" s="3" t="e">
        <f>AVERAGE(J252:XX252)</f>
        <v>#DIV/0!</v>
      </c>
    </row>
    <row r="253" spans="2:22" x14ac:dyDescent="0.3">
      <c r="B253" t="s">
        <v>273</v>
      </c>
      <c r="D253">
        <v>36</v>
      </c>
      <c r="E253">
        <v>20</v>
      </c>
      <c r="F253">
        <v>8</v>
      </c>
      <c r="H253">
        <v>249</v>
      </c>
      <c r="I253" s="3" t="e">
        <f>AVERAGE(J253:XX253)</f>
        <v>#DIV/0!</v>
      </c>
    </row>
    <row r="254" spans="2:22" x14ac:dyDescent="0.3">
      <c r="B254" t="s">
        <v>291</v>
      </c>
      <c r="D254">
        <v>84</v>
      </c>
      <c r="E254">
        <v>71</v>
      </c>
      <c r="F254">
        <v>13</v>
      </c>
      <c r="H254">
        <v>250</v>
      </c>
      <c r="I254" s="3" t="e">
        <f>AVERAGE(J254:XX254)</f>
        <v>#DIV/0!</v>
      </c>
    </row>
    <row r="255" spans="2:22" x14ac:dyDescent="0.3">
      <c r="B255" t="s">
        <v>275</v>
      </c>
      <c r="D255">
        <v>19</v>
      </c>
      <c r="E255">
        <v>9</v>
      </c>
      <c r="F255">
        <v>6</v>
      </c>
      <c r="H255">
        <v>251</v>
      </c>
      <c r="I255" s="3" t="e">
        <f>AVERAGE(J255:XX255)</f>
        <v>#DIV/0!</v>
      </c>
    </row>
    <row r="256" spans="2:22" x14ac:dyDescent="0.3">
      <c r="B256" t="s">
        <v>300</v>
      </c>
      <c r="D256">
        <v>84</v>
      </c>
      <c r="E256">
        <v>70</v>
      </c>
      <c r="F256">
        <v>13</v>
      </c>
      <c r="H256">
        <v>252</v>
      </c>
      <c r="I256" s="3" t="e">
        <f>AVERAGE(J256:XX256)</f>
        <v>#DIV/0!</v>
      </c>
    </row>
    <row r="257" spans="2:9" x14ac:dyDescent="0.3">
      <c r="B257" t="s">
        <v>309</v>
      </c>
      <c r="D257">
        <v>7</v>
      </c>
      <c r="E257">
        <v>4</v>
      </c>
      <c r="F257">
        <v>3</v>
      </c>
      <c r="H257">
        <v>253</v>
      </c>
      <c r="I257" s="3" t="e">
        <f>AVERAGE(J257:XX257)</f>
        <v>#DIV/0!</v>
      </c>
    </row>
    <row r="258" spans="2:9" x14ac:dyDescent="0.3">
      <c r="B258" t="s">
        <v>295</v>
      </c>
      <c r="D258">
        <v>4</v>
      </c>
      <c r="E258">
        <v>2</v>
      </c>
      <c r="F258">
        <v>1</v>
      </c>
      <c r="H258">
        <v>254</v>
      </c>
      <c r="I258" s="3" t="e">
        <f>AVERAGE(J258:XX258)</f>
        <v>#DIV/0!</v>
      </c>
    </row>
    <row r="259" spans="2:9" x14ac:dyDescent="0.3">
      <c r="B259" t="s">
        <v>295</v>
      </c>
      <c r="D259">
        <v>4</v>
      </c>
      <c r="E259">
        <v>2</v>
      </c>
      <c r="F259">
        <v>1</v>
      </c>
      <c r="H259">
        <v>255</v>
      </c>
      <c r="I259" s="3" t="e">
        <f>AVERAGE(J259:XX259)</f>
        <v>#DIV/0!</v>
      </c>
    </row>
    <row r="260" spans="2:9" x14ac:dyDescent="0.3">
      <c r="B260" t="s">
        <v>310</v>
      </c>
      <c r="D260">
        <v>80</v>
      </c>
      <c r="E260">
        <v>56</v>
      </c>
      <c r="F260">
        <v>12</v>
      </c>
    </row>
    <row r="261" spans="2:9" x14ac:dyDescent="0.3">
      <c r="B261" t="s">
        <v>247</v>
      </c>
      <c r="D261">
        <v>5</v>
      </c>
      <c r="E261">
        <v>3</v>
      </c>
      <c r="F261">
        <v>2</v>
      </c>
    </row>
    <row r="262" spans="2:9" x14ac:dyDescent="0.3">
      <c r="B262" t="s">
        <v>311</v>
      </c>
      <c r="D262">
        <v>5</v>
      </c>
      <c r="E262">
        <v>79</v>
      </c>
      <c r="F262">
        <v>14</v>
      </c>
    </row>
    <row r="263" spans="2:9" x14ac:dyDescent="0.3">
      <c r="B263" t="s">
        <v>312</v>
      </c>
      <c r="D263">
        <v>19</v>
      </c>
      <c r="E263">
        <v>10</v>
      </c>
      <c r="F263">
        <v>6</v>
      </c>
    </row>
    <row r="264" spans="2:9" x14ac:dyDescent="0.3">
      <c r="B264" t="s">
        <v>274</v>
      </c>
      <c r="D264">
        <v>11</v>
      </c>
      <c r="E264">
        <v>7</v>
      </c>
      <c r="F264">
        <v>4</v>
      </c>
    </row>
    <row r="265" spans="2:9" x14ac:dyDescent="0.3">
      <c r="B265" t="s">
        <v>283</v>
      </c>
      <c r="D265">
        <v>80</v>
      </c>
      <c r="E265">
        <v>57</v>
      </c>
      <c r="F265">
        <v>12</v>
      </c>
    </row>
    <row r="266" spans="2:9" x14ac:dyDescent="0.3">
      <c r="B266" t="s">
        <v>283</v>
      </c>
      <c r="D266">
        <v>80</v>
      </c>
      <c r="E266">
        <v>57</v>
      </c>
      <c r="F266">
        <v>12</v>
      </c>
    </row>
    <row r="267" spans="2:9" x14ac:dyDescent="0.3">
      <c r="B267" t="s">
        <v>273</v>
      </c>
      <c r="D267">
        <v>36</v>
      </c>
      <c r="E267">
        <v>20</v>
      </c>
      <c r="F267">
        <v>8</v>
      </c>
    </row>
    <row r="268" spans="2:9" x14ac:dyDescent="0.3">
      <c r="B268" t="s">
        <v>287</v>
      </c>
      <c r="D268">
        <v>86</v>
      </c>
      <c r="E268">
        <v>80</v>
      </c>
      <c r="F268">
        <v>14</v>
      </c>
    </row>
    <row r="269" spans="2:9" x14ac:dyDescent="0.3">
      <c r="B269" t="s">
        <v>283</v>
      </c>
      <c r="D269">
        <v>80</v>
      </c>
      <c r="E269">
        <v>57</v>
      </c>
      <c r="F269">
        <v>12</v>
      </c>
    </row>
    <row r="270" spans="2:9" x14ac:dyDescent="0.3">
      <c r="B270" t="s">
        <v>313</v>
      </c>
      <c r="D270">
        <v>26</v>
      </c>
      <c r="E270">
        <v>13</v>
      </c>
      <c r="F270">
        <v>7</v>
      </c>
    </row>
    <row r="271" spans="2:9" x14ac:dyDescent="0.3">
      <c r="B271" t="s">
        <v>314</v>
      </c>
      <c r="D271">
        <v>13</v>
      </c>
      <c r="E271">
        <v>7</v>
      </c>
      <c r="F271">
        <v>5</v>
      </c>
    </row>
    <row r="272" spans="2:9" x14ac:dyDescent="0.3">
      <c r="B272" t="s">
        <v>290</v>
      </c>
      <c r="D272">
        <v>5</v>
      </c>
      <c r="E272">
        <v>3</v>
      </c>
      <c r="F272">
        <v>1</v>
      </c>
    </row>
    <row r="273" spans="2:6" x14ac:dyDescent="0.3">
      <c r="B273" t="s">
        <v>309</v>
      </c>
      <c r="D273">
        <v>7</v>
      </c>
      <c r="E273">
        <v>4</v>
      </c>
      <c r="F273">
        <v>3</v>
      </c>
    </row>
    <row r="274" spans="2:6" x14ac:dyDescent="0.3">
      <c r="B274" t="s">
        <v>278</v>
      </c>
      <c r="D274">
        <v>18</v>
      </c>
      <c r="E274">
        <v>9</v>
      </c>
      <c r="F274">
        <v>6</v>
      </c>
    </row>
    <row r="275" spans="2:6" x14ac:dyDescent="0.3">
      <c r="B275" t="s">
        <v>315</v>
      </c>
      <c r="D275">
        <v>18</v>
      </c>
      <c r="E275">
        <v>45</v>
      </c>
      <c r="F275">
        <v>11</v>
      </c>
    </row>
    <row r="276" spans="2:6" x14ac:dyDescent="0.3">
      <c r="B276" t="s">
        <v>295</v>
      </c>
      <c r="D276">
        <v>4</v>
      </c>
      <c r="E276">
        <v>2</v>
      </c>
      <c r="F276">
        <v>1</v>
      </c>
    </row>
    <row r="277" spans="2:6" x14ac:dyDescent="0.3">
      <c r="B277" t="s">
        <v>278</v>
      </c>
      <c r="D277">
        <v>18</v>
      </c>
      <c r="E277">
        <v>9</v>
      </c>
      <c r="F277">
        <v>6</v>
      </c>
    </row>
    <row r="278" spans="2:6" x14ac:dyDescent="0.3">
      <c r="B278" t="s">
        <v>300</v>
      </c>
      <c r="D278">
        <v>84</v>
      </c>
      <c r="E278">
        <v>70</v>
      </c>
      <c r="F278">
        <v>13</v>
      </c>
    </row>
    <row r="279" spans="2:6" x14ac:dyDescent="0.3">
      <c r="B279" t="s">
        <v>283</v>
      </c>
      <c r="D279">
        <v>80</v>
      </c>
      <c r="E279">
        <v>57</v>
      </c>
      <c r="F279">
        <v>12</v>
      </c>
    </row>
    <row r="280" spans="2:6" x14ac:dyDescent="0.3">
      <c r="B280" t="s">
        <v>316</v>
      </c>
      <c r="D280">
        <v>12</v>
      </c>
      <c r="E280">
        <v>7</v>
      </c>
      <c r="F280">
        <v>5</v>
      </c>
    </row>
    <row r="281" spans="2:6" x14ac:dyDescent="0.3">
      <c r="B281" t="s">
        <v>305</v>
      </c>
      <c r="D281">
        <v>6</v>
      </c>
      <c r="E281">
        <v>4</v>
      </c>
      <c r="F281">
        <v>3</v>
      </c>
    </row>
    <row r="282" spans="2:6" x14ac:dyDescent="0.3">
      <c r="B282" t="s">
        <v>295</v>
      </c>
      <c r="D282">
        <v>4</v>
      </c>
      <c r="E282">
        <v>2</v>
      </c>
      <c r="F282">
        <v>1</v>
      </c>
    </row>
    <row r="283" spans="2:6" x14ac:dyDescent="0.3">
      <c r="B283" t="s">
        <v>109</v>
      </c>
      <c r="D283">
        <v>4</v>
      </c>
      <c r="E283">
        <v>2</v>
      </c>
      <c r="F283">
        <v>2</v>
      </c>
    </row>
    <row r="284" spans="2:6" x14ac:dyDescent="0.3">
      <c r="B284" t="s">
        <v>317</v>
      </c>
      <c r="D284">
        <v>5</v>
      </c>
      <c r="E284">
        <v>3</v>
      </c>
      <c r="F284">
        <v>3</v>
      </c>
    </row>
    <row r="285" spans="2:6" x14ac:dyDescent="0.3">
      <c r="B285" t="s">
        <v>88</v>
      </c>
      <c r="D285">
        <v>17</v>
      </c>
      <c r="E285">
        <v>10</v>
      </c>
      <c r="F285">
        <v>6</v>
      </c>
    </row>
    <row r="286" spans="2:6" x14ac:dyDescent="0.3">
      <c r="B286" t="s">
        <v>294</v>
      </c>
      <c r="D286">
        <v>86</v>
      </c>
      <c r="E286">
        <v>79</v>
      </c>
      <c r="F286">
        <v>14</v>
      </c>
    </row>
    <row r="287" spans="2:6" x14ac:dyDescent="0.3">
      <c r="B287" t="s">
        <v>290</v>
      </c>
      <c r="D287">
        <v>5</v>
      </c>
      <c r="E287">
        <v>3</v>
      </c>
      <c r="F287">
        <v>1</v>
      </c>
    </row>
    <row r="288" spans="2:6" x14ac:dyDescent="0.3">
      <c r="B288" t="s">
        <v>306</v>
      </c>
      <c r="D288">
        <v>5</v>
      </c>
      <c r="E288">
        <v>7</v>
      </c>
      <c r="F288">
        <v>5</v>
      </c>
    </row>
    <row r="289" spans="2:6" x14ac:dyDescent="0.3">
      <c r="B289" t="s">
        <v>318</v>
      </c>
      <c r="D289">
        <v>89</v>
      </c>
      <c r="E289">
        <v>91</v>
      </c>
      <c r="F289">
        <v>15</v>
      </c>
    </row>
    <row r="290" spans="2:6" x14ac:dyDescent="0.3">
      <c r="B290" t="s">
        <v>297</v>
      </c>
      <c r="D290">
        <v>10</v>
      </c>
      <c r="E290">
        <v>6</v>
      </c>
      <c r="F290">
        <v>4</v>
      </c>
    </row>
    <row r="291" spans="2:6" x14ac:dyDescent="0.3">
      <c r="B291" t="s">
        <v>303</v>
      </c>
      <c r="D291">
        <v>64</v>
      </c>
      <c r="E291">
        <v>36</v>
      </c>
      <c r="F291">
        <v>10</v>
      </c>
    </row>
    <row r="292" spans="2:6" x14ac:dyDescent="0.3">
      <c r="B292" t="s">
        <v>283</v>
      </c>
      <c r="D292">
        <v>80</v>
      </c>
      <c r="E292">
        <v>57</v>
      </c>
      <c r="F292">
        <v>12</v>
      </c>
    </row>
    <row r="293" spans="2:6" x14ac:dyDescent="0.3">
      <c r="B293" t="s">
        <v>319</v>
      </c>
      <c r="D293">
        <v>26</v>
      </c>
      <c r="E293">
        <v>20</v>
      </c>
      <c r="F293">
        <v>7</v>
      </c>
    </row>
    <row r="294" spans="2:6" x14ac:dyDescent="0.3">
      <c r="B294" t="s">
        <v>320</v>
      </c>
      <c r="D294">
        <v>52</v>
      </c>
      <c r="E294">
        <v>27</v>
      </c>
      <c r="F294">
        <v>8</v>
      </c>
    </row>
    <row r="295" spans="2:6" x14ac:dyDescent="0.3">
      <c r="B295" t="s">
        <v>305</v>
      </c>
      <c r="D295">
        <v>6</v>
      </c>
      <c r="E295">
        <v>4</v>
      </c>
      <c r="F295">
        <v>3</v>
      </c>
    </row>
    <row r="296" spans="2:6" x14ac:dyDescent="0.3">
      <c r="B296" t="s">
        <v>321</v>
      </c>
      <c r="D296">
        <v>86</v>
      </c>
      <c r="E296">
        <v>77</v>
      </c>
      <c r="F296">
        <v>12</v>
      </c>
    </row>
    <row r="297" spans="2:6" x14ac:dyDescent="0.3">
      <c r="B297" t="s">
        <v>247</v>
      </c>
      <c r="D297">
        <v>5</v>
      </c>
      <c r="E297">
        <v>3</v>
      </c>
      <c r="F297">
        <v>2</v>
      </c>
    </row>
    <row r="298" spans="2:6" x14ac:dyDescent="0.3">
      <c r="B298" t="s">
        <v>322</v>
      </c>
      <c r="D298">
        <v>73</v>
      </c>
      <c r="E298">
        <v>41</v>
      </c>
      <c r="F298">
        <v>9</v>
      </c>
    </row>
    <row r="299" spans="2:6" x14ac:dyDescent="0.3">
      <c r="B299" t="s">
        <v>323</v>
      </c>
      <c r="D299">
        <v>52</v>
      </c>
      <c r="E299">
        <v>28</v>
      </c>
      <c r="F299">
        <v>8</v>
      </c>
    </row>
    <row r="300" spans="2:6" x14ac:dyDescent="0.3">
      <c r="B300" t="s">
        <v>324</v>
      </c>
      <c r="D300">
        <v>88</v>
      </c>
      <c r="E300">
        <v>91</v>
      </c>
      <c r="F300">
        <v>13</v>
      </c>
    </row>
    <row r="301" spans="2:6" x14ac:dyDescent="0.3">
      <c r="B301" t="s">
        <v>295</v>
      </c>
      <c r="D301">
        <v>4</v>
      </c>
      <c r="E301">
        <v>2</v>
      </c>
      <c r="F301">
        <v>1</v>
      </c>
    </row>
    <row r="302" spans="2:6" x14ac:dyDescent="0.3">
      <c r="B302" t="s">
        <v>325</v>
      </c>
      <c r="D302">
        <v>4</v>
      </c>
      <c r="E302">
        <v>76</v>
      </c>
      <c r="F302">
        <v>12</v>
      </c>
    </row>
    <row r="303" spans="2:6" x14ac:dyDescent="0.3">
      <c r="B303" t="s">
        <v>326</v>
      </c>
      <c r="D303">
        <v>35</v>
      </c>
      <c r="E303">
        <v>19</v>
      </c>
      <c r="F303">
        <v>7</v>
      </c>
    </row>
    <row r="304" spans="2:6" x14ac:dyDescent="0.3">
      <c r="B304" t="s">
        <v>327</v>
      </c>
      <c r="D304">
        <v>86</v>
      </c>
      <c r="E304">
        <v>75</v>
      </c>
      <c r="F304">
        <v>12</v>
      </c>
    </row>
    <row r="305" spans="2:6" x14ac:dyDescent="0.3">
      <c r="B305" t="s">
        <v>317</v>
      </c>
      <c r="D305">
        <v>5</v>
      </c>
      <c r="E305">
        <v>3</v>
      </c>
      <c r="F305">
        <v>3</v>
      </c>
    </row>
    <row r="306" spans="2:6" x14ac:dyDescent="0.3">
      <c r="B306" t="s">
        <v>209</v>
      </c>
      <c r="D306">
        <v>3</v>
      </c>
      <c r="E306">
        <v>1</v>
      </c>
      <c r="F306">
        <v>1</v>
      </c>
    </row>
    <row r="307" spans="2:6" x14ac:dyDescent="0.3">
      <c r="B307" t="s">
        <v>328</v>
      </c>
      <c r="D307">
        <v>83</v>
      </c>
      <c r="E307">
        <v>63</v>
      </c>
      <c r="F307">
        <v>11</v>
      </c>
    </row>
    <row r="308" spans="2:6" x14ac:dyDescent="0.3">
      <c r="B308" t="s">
        <v>329</v>
      </c>
      <c r="D308">
        <v>72</v>
      </c>
      <c r="E308">
        <v>39</v>
      </c>
      <c r="F308">
        <v>9</v>
      </c>
    </row>
    <row r="309" spans="2:6" x14ac:dyDescent="0.3">
      <c r="B309" t="s">
        <v>328</v>
      </c>
      <c r="D309">
        <v>83</v>
      </c>
      <c r="E309">
        <v>63</v>
      </c>
      <c r="F309">
        <v>11</v>
      </c>
    </row>
    <row r="310" spans="2:6" x14ac:dyDescent="0.3">
      <c r="B310" t="s">
        <v>330</v>
      </c>
      <c r="D310">
        <v>78</v>
      </c>
      <c r="E310">
        <v>50</v>
      </c>
      <c r="F310">
        <v>10</v>
      </c>
    </row>
    <row r="311" spans="2:6" x14ac:dyDescent="0.3">
      <c r="B311" t="s">
        <v>328</v>
      </c>
      <c r="D311">
        <v>83</v>
      </c>
      <c r="E311">
        <v>63</v>
      </c>
      <c r="F311">
        <v>11</v>
      </c>
    </row>
    <row r="312" spans="2:6" x14ac:dyDescent="0.3">
      <c r="B312" t="s">
        <v>331</v>
      </c>
      <c r="D312">
        <v>86</v>
      </c>
      <c r="E312">
        <v>76</v>
      </c>
      <c r="F312">
        <v>12</v>
      </c>
    </row>
    <row r="313" spans="2:6" x14ac:dyDescent="0.3">
      <c r="B313" t="s">
        <v>332</v>
      </c>
      <c r="D313">
        <v>88</v>
      </c>
      <c r="E313">
        <v>89</v>
      </c>
      <c r="F313">
        <v>13</v>
      </c>
    </row>
    <row r="314" spans="2:6" x14ac:dyDescent="0.3">
      <c r="B314" t="s">
        <v>333</v>
      </c>
      <c r="D314">
        <v>22</v>
      </c>
      <c r="E314">
        <v>10</v>
      </c>
      <c r="F314">
        <v>6</v>
      </c>
    </row>
    <row r="315" spans="2:6" x14ac:dyDescent="0.3">
      <c r="B315" t="s">
        <v>334</v>
      </c>
      <c r="D315">
        <v>22</v>
      </c>
      <c r="E315">
        <v>51</v>
      </c>
      <c r="F315">
        <v>10</v>
      </c>
    </row>
    <row r="316" spans="2:6" x14ac:dyDescent="0.3">
      <c r="B316" t="s">
        <v>335</v>
      </c>
      <c r="D316">
        <v>51</v>
      </c>
      <c r="E316">
        <v>27</v>
      </c>
      <c r="F316">
        <v>8</v>
      </c>
    </row>
    <row r="317" spans="2:6" x14ac:dyDescent="0.3">
      <c r="B317" t="s">
        <v>109</v>
      </c>
      <c r="D317">
        <v>4</v>
      </c>
      <c r="E317">
        <v>2</v>
      </c>
      <c r="F317">
        <v>2</v>
      </c>
    </row>
    <row r="318" spans="2:6" x14ac:dyDescent="0.3">
      <c r="B318" t="s">
        <v>328</v>
      </c>
      <c r="D318">
        <v>83</v>
      </c>
      <c r="E318">
        <v>63</v>
      </c>
      <c r="F318">
        <v>11</v>
      </c>
    </row>
    <row r="319" spans="2:6" x14ac:dyDescent="0.3">
      <c r="B319" t="s">
        <v>332</v>
      </c>
      <c r="D319">
        <v>88</v>
      </c>
      <c r="E319">
        <v>89</v>
      </c>
      <c r="F319">
        <v>13</v>
      </c>
    </row>
    <row r="320" spans="2:6" x14ac:dyDescent="0.3">
      <c r="B320" t="s">
        <v>316</v>
      </c>
      <c r="D320">
        <v>12</v>
      </c>
      <c r="E320">
        <v>7</v>
      </c>
      <c r="F320">
        <v>5</v>
      </c>
    </row>
    <row r="321" spans="2:6" x14ac:dyDescent="0.3">
      <c r="B321" t="s">
        <v>333</v>
      </c>
      <c r="D321">
        <v>22</v>
      </c>
      <c r="E321">
        <v>10</v>
      </c>
      <c r="F321">
        <v>6</v>
      </c>
    </row>
    <row r="322" spans="2:6" x14ac:dyDescent="0.3">
      <c r="B322" t="s">
        <v>336</v>
      </c>
      <c r="D322">
        <v>78</v>
      </c>
      <c r="E322">
        <v>51</v>
      </c>
      <c r="F322">
        <v>10</v>
      </c>
    </row>
    <row r="323" spans="2:6" x14ac:dyDescent="0.3">
      <c r="B323" t="s">
        <v>317</v>
      </c>
      <c r="D323">
        <v>5</v>
      </c>
      <c r="E323">
        <v>3</v>
      </c>
      <c r="F323">
        <v>3</v>
      </c>
    </row>
    <row r="324" spans="2:6" x14ac:dyDescent="0.3">
      <c r="B324" t="s">
        <v>336</v>
      </c>
      <c r="D324">
        <v>78</v>
      </c>
      <c r="E324">
        <v>51</v>
      </c>
      <c r="F324">
        <v>10</v>
      </c>
    </row>
    <row r="325" spans="2:6" x14ac:dyDescent="0.3">
      <c r="B325" t="s">
        <v>328</v>
      </c>
      <c r="D325">
        <v>83</v>
      </c>
      <c r="E325">
        <v>63</v>
      </c>
      <c r="F325">
        <v>11</v>
      </c>
    </row>
    <row r="326" spans="2:6" x14ac:dyDescent="0.3">
      <c r="B326" t="s">
        <v>332</v>
      </c>
      <c r="D326">
        <v>88</v>
      </c>
      <c r="E326">
        <v>89</v>
      </c>
      <c r="F326">
        <v>13</v>
      </c>
    </row>
    <row r="327" spans="2:6" x14ac:dyDescent="0.3">
      <c r="B327" t="s">
        <v>333</v>
      </c>
      <c r="D327">
        <v>22</v>
      </c>
      <c r="E327">
        <v>10</v>
      </c>
      <c r="F327">
        <v>6</v>
      </c>
    </row>
    <row r="328" spans="2:6" x14ac:dyDescent="0.3">
      <c r="B328" t="s">
        <v>333</v>
      </c>
      <c r="D328">
        <v>22</v>
      </c>
      <c r="E328">
        <v>10</v>
      </c>
      <c r="F328">
        <v>6</v>
      </c>
    </row>
    <row r="329" spans="2:6" x14ac:dyDescent="0.3">
      <c r="B329" t="s">
        <v>332</v>
      </c>
      <c r="D329">
        <v>88</v>
      </c>
      <c r="E329">
        <v>89</v>
      </c>
      <c r="F329">
        <v>13</v>
      </c>
    </row>
    <row r="330" spans="2:6" x14ac:dyDescent="0.3">
      <c r="B330" t="s">
        <v>328</v>
      </c>
      <c r="D330">
        <v>83</v>
      </c>
      <c r="E330">
        <v>63</v>
      </c>
      <c r="F330">
        <v>11</v>
      </c>
    </row>
    <row r="331" spans="2:6" x14ac:dyDescent="0.3">
      <c r="B331" t="s">
        <v>337</v>
      </c>
      <c r="D331">
        <v>8</v>
      </c>
      <c r="E331">
        <v>4</v>
      </c>
      <c r="F331">
        <v>4</v>
      </c>
    </row>
    <row r="332" spans="2:6" x14ac:dyDescent="0.3">
      <c r="B332" t="s">
        <v>316</v>
      </c>
      <c r="D332">
        <v>12</v>
      </c>
      <c r="E332">
        <v>7</v>
      </c>
      <c r="F332">
        <v>5</v>
      </c>
    </row>
    <row r="333" spans="2:6" x14ac:dyDescent="0.3">
      <c r="B333" t="s">
        <v>335</v>
      </c>
      <c r="D333">
        <v>51</v>
      </c>
      <c r="E333">
        <v>27</v>
      </c>
      <c r="F333">
        <v>8</v>
      </c>
    </row>
    <row r="334" spans="2:6" x14ac:dyDescent="0.3">
      <c r="B334" t="s">
        <v>332</v>
      </c>
      <c r="D334">
        <v>88</v>
      </c>
      <c r="E334">
        <v>89</v>
      </c>
      <c r="F334">
        <v>13</v>
      </c>
    </row>
    <row r="335" spans="2:6" x14ac:dyDescent="0.3">
      <c r="B335" t="s">
        <v>333</v>
      </c>
      <c r="D335">
        <v>22</v>
      </c>
      <c r="E335">
        <v>10</v>
      </c>
      <c r="F335">
        <v>6</v>
      </c>
    </row>
    <row r="336" spans="2:6" x14ac:dyDescent="0.3">
      <c r="B336" t="s">
        <v>338</v>
      </c>
      <c r="D336">
        <v>88</v>
      </c>
      <c r="E336">
        <v>90</v>
      </c>
      <c r="F336">
        <v>13</v>
      </c>
    </row>
    <row r="337" spans="2:6" x14ac:dyDescent="0.3">
      <c r="B337" t="s">
        <v>316</v>
      </c>
      <c r="D337">
        <v>12</v>
      </c>
      <c r="E337">
        <v>7</v>
      </c>
      <c r="F337">
        <v>5</v>
      </c>
    </row>
    <row r="338" spans="2:6" x14ac:dyDescent="0.3">
      <c r="B338" t="s">
        <v>335</v>
      </c>
      <c r="D338">
        <v>51</v>
      </c>
      <c r="E338">
        <v>27</v>
      </c>
      <c r="F338">
        <v>8</v>
      </c>
    </row>
    <row r="339" spans="2:6" x14ac:dyDescent="0.3">
      <c r="B339" t="s">
        <v>326</v>
      </c>
      <c r="D339">
        <v>35</v>
      </c>
      <c r="E339">
        <v>19</v>
      </c>
      <c r="F339">
        <v>7</v>
      </c>
    </row>
    <row r="340" spans="2:6" x14ac:dyDescent="0.3">
      <c r="B340" t="s">
        <v>331</v>
      </c>
      <c r="D340">
        <v>86</v>
      </c>
      <c r="E340">
        <v>76</v>
      </c>
      <c r="F340">
        <v>12</v>
      </c>
    </row>
    <row r="341" spans="2:6" x14ac:dyDescent="0.3">
      <c r="B341" t="s">
        <v>328</v>
      </c>
      <c r="D341">
        <v>83</v>
      </c>
      <c r="E341">
        <v>63</v>
      </c>
      <c r="F341">
        <v>11</v>
      </c>
    </row>
    <row r="342" spans="2:6" x14ac:dyDescent="0.3">
      <c r="B342" t="s">
        <v>339</v>
      </c>
      <c r="D342">
        <v>71</v>
      </c>
      <c r="E342">
        <v>40</v>
      </c>
      <c r="F342">
        <v>9</v>
      </c>
    </row>
    <row r="343" spans="2:6" x14ac:dyDescent="0.3">
      <c r="B343" t="s">
        <v>316</v>
      </c>
      <c r="D343">
        <v>12</v>
      </c>
      <c r="E343">
        <v>7</v>
      </c>
      <c r="F343">
        <v>5</v>
      </c>
    </row>
    <row r="344" spans="2:6" x14ac:dyDescent="0.3">
      <c r="B344" t="s">
        <v>340</v>
      </c>
      <c r="D344">
        <v>93</v>
      </c>
      <c r="E344">
        <v>118</v>
      </c>
      <c r="F344">
        <v>15</v>
      </c>
    </row>
    <row r="345" spans="2:6" x14ac:dyDescent="0.3">
      <c r="B345" t="s">
        <v>335</v>
      </c>
      <c r="D345">
        <v>51</v>
      </c>
      <c r="E345">
        <v>27</v>
      </c>
      <c r="F345">
        <v>8</v>
      </c>
    </row>
    <row r="346" spans="2:6" x14ac:dyDescent="0.3">
      <c r="B346" t="s">
        <v>316</v>
      </c>
      <c r="D346">
        <v>12</v>
      </c>
      <c r="E346">
        <v>7</v>
      </c>
      <c r="F346">
        <v>5</v>
      </c>
    </row>
    <row r="347" spans="2:6" x14ac:dyDescent="0.3">
      <c r="B347" t="s">
        <v>341</v>
      </c>
      <c r="D347">
        <v>93</v>
      </c>
      <c r="E347">
        <v>119</v>
      </c>
      <c r="F347">
        <v>15</v>
      </c>
    </row>
    <row r="348" spans="2:6" x14ac:dyDescent="0.3">
      <c r="B348" t="s">
        <v>342</v>
      </c>
      <c r="D348">
        <v>90</v>
      </c>
      <c r="E348">
        <v>103</v>
      </c>
      <c r="F348">
        <v>14</v>
      </c>
    </row>
    <row r="349" spans="2:6" x14ac:dyDescent="0.3">
      <c r="B349" t="s">
        <v>331</v>
      </c>
      <c r="D349">
        <v>86</v>
      </c>
      <c r="E349">
        <v>76</v>
      </c>
      <c r="F349">
        <v>12</v>
      </c>
    </row>
    <row r="350" spans="2:6" x14ac:dyDescent="0.3">
      <c r="B350" t="s">
        <v>341</v>
      </c>
      <c r="D350">
        <v>93</v>
      </c>
      <c r="E350">
        <v>119</v>
      </c>
      <c r="F350">
        <v>15</v>
      </c>
    </row>
    <row r="351" spans="2:6" x14ac:dyDescent="0.3">
      <c r="B351" t="s">
        <v>317</v>
      </c>
      <c r="D351">
        <v>5</v>
      </c>
      <c r="E351">
        <v>3</v>
      </c>
      <c r="F351">
        <v>3</v>
      </c>
    </row>
    <row r="352" spans="2:6" x14ac:dyDescent="0.3">
      <c r="B352" t="s">
        <v>332</v>
      </c>
      <c r="D352">
        <v>88</v>
      </c>
      <c r="E352">
        <v>89</v>
      </c>
      <c r="F352">
        <v>13</v>
      </c>
    </row>
    <row r="353" spans="2:6" x14ac:dyDescent="0.3">
      <c r="B353" t="s">
        <v>317</v>
      </c>
      <c r="D353">
        <v>5</v>
      </c>
      <c r="E353">
        <v>3</v>
      </c>
      <c r="F353">
        <v>3</v>
      </c>
    </row>
    <row r="354" spans="2:6" x14ac:dyDescent="0.3">
      <c r="B354" t="s">
        <v>343</v>
      </c>
      <c r="D354">
        <v>5</v>
      </c>
      <c r="E354">
        <v>105</v>
      </c>
      <c r="F354">
        <v>14</v>
      </c>
    </row>
    <row r="355" spans="2:6" x14ac:dyDescent="0.3">
      <c r="B355" t="s">
        <v>341</v>
      </c>
      <c r="D355">
        <v>93</v>
      </c>
      <c r="E355">
        <v>119</v>
      </c>
      <c r="F355">
        <v>15</v>
      </c>
    </row>
    <row r="356" spans="2:6" x14ac:dyDescent="0.3">
      <c r="B356" t="s">
        <v>342</v>
      </c>
      <c r="D356">
        <v>90</v>
      </c>
      <c r="E356">
        <v>103</v>
      </c>
      <c r="F356">
        <v>14</v>
      </c>
    </row>
    <row r="357" spans="2:6" x14ac:dyDescent="0.3">
      <c r="B357" t="s">
        <v>317</v>
      </c>
      <c r="D357">
        <v>5</v>
      </c>
      <c r="E357">
        <v>3</v>
      </c>
      <c r="F357">
        <v>3</v>
      </c>
    </row>
    <row r="358" spans="2:6" x14ac:dyDescent="0.3">
      <c r="B358" t="s">
        <v>328</v>
      </c>
      <c r="D358">
        <v>83</v>
      </c>
      <c r="E358">
        <v>63</v>
      </c>
      <c r="F358">
        <v>11</v>
      </c>
    </row>
    <row r="359" spans="2:6" x14ac:dyDescent="0.3">
      <c r="B359" t="s">
        <v>336</v>
      </c>
      <c r="D359">
        <v>78</v>
      </c>
      <c r="E359">
        <v>51</v>
      </c>
      <c r="F359">
        <v>10</v>
      </c>
    </row>
    <row r="360" spans="2:6" x14ac:dyDescent="0.3">
      <c r="B360" t="s">
        <v>329</v>
      </c>
      <c r="D360">
        <v>72</v>
      </c>
      <c r="E360">
        <v>39</v>
      </c>
      <c r="F360">
        <v>9</v>
      </c>
    </row>
    <row r="361" spans="2:6" x14ac:dyDescent="0.3">
      <c r="B361" t="s">
        <v>317</v>
      </c>
      <c r="D361">
        <v>5</v>
      </c>
      <c r="E361">
        <v>3</v>
      </c>
      <c r="F361">
        <v>3</v>
      </c>
    </row>
    <row r="362" spans="2:6" x14ac:dyDescent="0.3">
      <c r="B362" t="s">
        <v>337</v>
      </c>
      <c r="D362">
        <v>8</v>
      </c>
      <c r="E362">
        <v>4</v>
      </c>
      <c r="F362">
        <v>4</v>
      </c>
    </row>
    <row r="363" spans="2:6" x14ac:dyDescent="0.3">
      <c r="B363" t="s">
        <v>337</v>
      </c>
      <c r="D363">
        <v>8</v>
      </c>
      <c r="E363">
        <v>4</v>
      </c>
      <c r="F363">
        <v>4</v>
      </c>
    </row>
    <row r="364" spans="2:6" x14ac:dyDescent="0.3">
      <c r="B364" t="s">
        <v>209</v>
      </c>
      <c r="D364">
        <v>3</v>
      </c>
      <c r="E364">
        <v>1</v>
      </c>
      <c r="F364">
        <v>1</v>
      </c>
    </row>
    <row r="365" spans="2:6" x14ac:dyDescent="0.3">
      <c r="B365" t="s">
        <v>333</v>
      </c>
      <c r="D365">
        <v>22</v>
      </c>
      <c r="E365">
        <v>10</v>
      </c>
      <c r="F365">
        <v>6</v>
      </c>
    </row>
    <row r="366" spans="2:6" x14ac:dyDescent="0.3">
      <c r="B366" t="s">
        <v>333</v>
      </c>
      <c r="D366">
        <v>22</v>
      </c>
      <c r="E366">
        <v>10</v>
      </c>
      <c r="F366">
        <v>6</v>
      </c>
    </row>
    <row r="367" spans="2:6" x14ac:dyDescent="0.3">
      <c r="B367" t="s">
        <v>344</v>
      </c>
      <c r="D367">
        <v>22</v>
      </c>
      <c r="E367">
        <v>105</v>
      </c>
      <c r="F367">
        <v>14</v>
      </c>
    </row>
    <row r="368" spans="2:6" x14ac:dyDescent="0.3">
      <c r="B368" t="s">
        <v>326</v>
      </c>
      <c r="D368">
        <v>35</v>
      </c>
      <c r="E368">
        <v>19</v>
      </c>
      <c r="F368">
        <v>7</v>
      </c>
    </row>
    <row r="369" spans="2:6" x14ac:dyDescent="0.3">
      <c r="B369" t="s">
        <v>336</v>
      </c>
      <c r="D369">
        <v>78</v>
      </c>
      <c r="E369">
        <v>51</v>
      </c>
      <c r="F369">
        <v>10</v>
      </c>
    </row>
    <row r="370" spans="2:6" x14ac:dyDescent="0.3">
      <c r="B370" t="s">
        <v>317</v>
      </c>
      <c r="D370">
        <v>5</v>
      </c>
      <c r="E370">
        <v>3</v>
      </c>
      <c r="F370">
        <v>3</v>
      </c>
    </row>
    <row r="371" spans="2:6" x14ac:dyDescent="0.3">
      <c r="B371" t="s">
        <v>326</v>
      </c>
      <c r="D371">
        <v>35</v>
      </c>
      <c r="E371">
        <v>19</v>
      </c>
      <c r="F371">
        <v>7</v>
      </c>
    </row>
    <row r="372" spans="2:6" x14ac:dyDescent="0.3">
      <c r="B372" t="s">
        <v>317</v>
      </c>
      <c r="D372">
        <v>5</v>
      </c>
      <c r="E372">
        <v>3</v>
      </c>
      <c r="F372">
        <v>3</v>
      </c>
    </row>
    <row r="373" spans="2:6" x14ac:dyDescent="0.3">
      <c r="B373" t="s">
        <v>326</v>
      </c>
      <c r="D373">
        <v>35</v>
      </c>
      <c r="E373">
        <v>19</v>
      </c>
      <c r="F373">
        <v>7</v>
      </c>
    </row>
    <row r="374" spans="2:6" x14ac:dyDescent="0.3">
      <c r="B374" t="s">
        <v>341</v>
      </c>
      <c r="D374">
        <v>93</v>
      </c>
      <c r="E374">
        <v>119</v>
      </c>
      <c r="F374">
        <v>15</v>
      </c>
    </row>
    <row r="375" spans="2:6" x14ac:dyDescent="0.3">
      <c r="B375" t="s">
        <v>342</v>
      </c>
      <c r="D375">
        <v>90</v>
      </c>
      <c r="E375">
        <v>103</v>
      </c>
      <c r="F375">
        <v>14</v>
      </c>
    </row>
    <row r="376" spans="2:6" x14ac:dyDescent="0.3">
      <c r="B376" t="s">
        <v>342</v>
      </c>
      <c r="D376">
        <v>90</v>
      </c>
      <c r="E376">
        <v>103</v>
      </c>
      <c r="F376">
        <v>14</v>
      </c>
    </row>
    <row r="377" spans="2:6" x14ac:dyDescent="0.3">
      <c r="B377" t="s">
        <v>335</v>
      </c>
      <c r="D377">
        <v>51</v>
      </c>
      <c r="E377">
        <v>27</v>
      </c>
      <c r="F377">
        <v>8</v>
      </c>
    </row>
    <row r="378" spans="2:6" x14ac:dyDescent="0.3">
      <c r="B378" t="s">
        <v>329</v>
      </c>
      <c r="D378">
        <v>72</v>
      </c>
      <c r="E378">
        <v>39</v>
      </c>
      <c r="F378">
        <v>9</v>
      </c>
    </row>
    <row r="379" spans="2:6" x14ac:dyDescent="0.3">
      <c r="B379" t="s">
        <v>317</v>
      </c>
      <c r="D379">
        <v>5</v>
      </c>
      <c r="E379">
        <v>3</v>
      </c>
      <c r="F379">
        <v>3</v>
      </c>
    </row>
    <row r="380" spans="2:6" x14ac:dyDescent="0.3">
      <c r="B380" t="s">
        <v>341</v>
      </c>
      <c r="D380">
        <v>93</v>
      </c>
      <c r="E380">
        <v>119</v>
      </c>
      <c r="F380">
        <v>15</v>
      </c>
    </row>
    <row r="381" spans="2:6" x14ac:dyDescent="0.3">
      <c r="B381" t="s">
        <v>326</v>
      </c>
      <c r="D381">
        <v>35</v>
      </c>
      <c r="E381">
        <v>19</v>
      </c>
      <c r="F381">
        <v>7</v>
      </c>
    </row>
    <row r="382" spans="2:6" x14ac:dyDescent="0.3">
      <c r="B382" t="s">
        <v>109</v>
      </c>
      <c r="D382">
        <v>4</v>
      </c>
      <c r="E382">
        <v>2</v>
      </c>
      <c r="F382">
        <v>2</v>
      </c>
    </row>
    <row r="383" spans="2:6" x14ac:dyDescent="0.3">
      <c r="B383" t="s">
        <v>326</v>
      </c>
      <c r="D383">
        <v>35</v>
      </c>
      <c r="E383">
        <v>19</v>
      </c>
      <c r="F383">
        <v>7</v>
      </c>
    </row>
    <row r="384" spans="2:6" x14ac:dyDescent="0.3">
      <c r="B384" t="s">
        <v>329</v>
      </c>
      <c r="D384">
        <v>72</v>
      </c>
      <c r="E384">
        <v>39</v>
      </c>
      <c r="F384">
        <v>9</v>
      </c>
    </row>
    <row r="385" spans="2:6" x14ac:dyDescent="0.3">
      <c r="B385" t="s">
        <v>326</v>
      </c>
      <c r="D385">
        <v>35</v>
      </c>
      <c r="E385">
        <v>19</v>
      </c>
      <c r="F385">
        <v>7</v>
      </c>
    </row>
    <row r="386" spans="2:6" x14ac:dyDescent="0.3">
      <c r="B386" t="s">
        <v>328</v>
      </c>
      <c r="D386">
        <v>83</v>
      </c>
      <c r="E386">
        <v>63</v>
      </c>
      <c r="F386">
        <v>11</v>
      </c>
    </row>
    <row r="387" spans="2:6" x14ac:dyDescent="0.3">
      <c r="B387" t="s">
        <v>345</v>
      </c>
      <c r="D387">
        <v>36</v>
      </c>
      <c r="E387">
        <v>19</v>
      </c>
      <c r="F387">
        <v>7</v>
      </c>
    </row>
    <row r="388" spans="2:6" x14ac:dyDescent="0.3">
      <c r="B388" t="s">
        <v>316</v>
      </c>
      <c r="D388">
        <v>12</v>
      </c>
      <c r="E388">
        <v>7</v>
      </c>
      <c r="F388">
        <v>5</v>
      </c>
    </row>
    <row r="389" spans="2:6" x14ac:dyDescent="0.3">
      <c r="B389" t="s">
        <v>327</v>
      </c>
      <c r="D389">
        <v>86</v>
      </c>
      <c r="E389">
        <v>75</v>
      </c>
      <c r="F389">
        <v>12</v>
      </c>
    </row>
    <row r="390" spans="2:6" x14ac:dyDescent="0.3">
      <c r="B390" t="s">
        <v>333</v>
      </c>
      <c r="D390">
        <v>22</v>
      </c>
      <c r="E390">
        <v>10</v>
      </c>
      <c r="F390">
        <v>6</v>
      </c>
    </row>
    <row r="391" spans="2:6" x14ac:dyDescent="0.3">
      <c r="B391" t="s">
        <v>346</v>
      </c>
      <c r="D391">
        <v>22</v>
      </c>
      <c r="E391">
        <v>19</v>
      </c>
      <c r="F391">
        <v>7</v>
      </c>
    </row>
    <row r="392" spans="2:6" x14ac:dyDescent="0.3">
      <c r="B392" t="s">
        <v>335</v>
      </c>
      <c r="D392">
        <v>51</v>
      </c>
      <c r="E392">
        <v>27</v>
      </c>
      <c r="F392">
        <v>8</v>
      </c>
    </row>
    <row r="393" spans="2:6" x14ac:dyDescent="0.3">
      <c r="B393" t="s">
        <v>340</v>
      </c>
      <c r="D393">
        <v>93</v>
      </c>
      <c r="E393">
        <v>118</v>
      </c>
      <c r="F393">
        <v>15</v>
      </c>
    </row>
    <row r="394" spans="2:6" x14ac:dyDescent="0.3">
      <c r="B394" t="s">
        <v>209</v>
      </c>
      <c r="D394">
        <v>3</v>
      </c>
      <c r="E394">
        <v>1</v>
      </c>
      <c r="F394">
        <v>1</v>
      </c>
    </row>
    <row r="395" spans="2:6" x14ac:dyDescent="0.3">
      <c r="B395" t="s">
        <v>316</v>
      </c>
      <c r="D395">
        <v>12</v>
      </c>
      <c r="E395">
        <v>7</v>
      </c>
      <c r="F395">
        <v>5</v>
      </c>
    </row>
    <row r="396" spans="2:6" x14ac:dyDescent="0.3">
      <c r="B396" t="s">
        <v>328</v>
      </c>
      <c r="D396">
        <v>83</v>
      </c>
      <c r="E396">
        <v>63</v>
      </c>
      <c r="F396">
        <v>11</v>
      </c>
    </row>
    <row r="397" spans="2:6" x14ac:dyDescent="0.3">
      <c r="B397" t="s">
        <v>336</v>
      </c>
      <c r="D397">
        <v>78</v>
      </c>
      <c r="E397">
        <v>51</v>
      </c>
      <c r="F397">
        <v>10</v>
      </c>
    </row>
    <row r="398" spans="2:6" x14ac:dyDescent="0.3">
      <c r="B398" t="s">
        <v>109</v>
      </c>
      <c r="D398">
        <v>4</v>
      </c>
      <c r="E398">
        <v>2</v>
      </c>
      <c r="F398">
        <v>2</v>
      </c>
    </row>
    <row r="399" spans="2:6" x14ac:dyDescent="0.3">
      <c r="B399" t="s">
        <v>341</v>
      </c>
      <c r="D399">
        <v>93</v>
      </c>
      <c r="E399">
        <v>119</v>
      </c>
      <c r="F399">
        <v>15</v>
      </c>
    </row>
    <row r="400" spans="2:6" x14ac:dyDescent="0.3">
      <c r="B400" t="s">
        <v>209</v>
      </c>
      <c r="D400">
        <v>3</v>
      </c>
      <c r="E400">
        <v>1</v>
      </c>
      <c r="F400">
        <v>1</v>
      </c>
    </row>
    <row r="401" spans="2:6" x14ac:dyDescent="0.3">
      <c r="B401" t="s">
        <v>347</v>
      </c>
      <c r="D401">
        <v>91</v>
      </c>
      <c r="E401">
        <v>104</v>
      </c>
      <c r="F401">
        <v>14</v>
      </c>
    </row>
    <row r="402" spans="2:6" x14ac:dyDescent="0.3">
      <c r="B402" t="s">
        <v>317</v>
      </c>
      <c r="D402">
        <v>5</v>
      </c>
      <c r="E402">
        <v>3</v>
      </c>
      <c r="F402">
        <v>3</v>
      </c>
    </row>
    <row r="403" spans="2:6" x14ac:dyDescent="0.3">
      <c r="B403" t="s">
        <v>328</v>
      </c>
      <c r="D403">
        <v>83</v>
      </c>
      <c r="E403">
        <v>63</v>
      </c>
      <c r="F403">
        <v>11</v>
      </c>
    </row>
    <row r="404" spans="2:6" x14ac:dyDescent="0.3">
      <c r="B404" t="s">
        <v>109</v>
      </c>
      <c r="D404">
        <v>4</v>
      </c>
      <c r="E404">
        <v>2</v>
      </c>
      <c r="F404">
        <v>2</v>
      </c>
    </row>
    <row r="405" spans="2:6" x14ac:dyDescent="0.3">
      <c r="B405" t="s">
        <v>336</v>
      </c>
      <c r="D405">
        <v>78</v>
      </c>
      <c r="E405">
        <v>51</v>
      </c>
      <c r="F405">
        <v>10</v>
      </c>
    </row>
    <row r="406" spans="2:6" x14ac:dyDescent="0.3">
      <c r="B406" t="s">
        <v>317</v>
      </c>
      <c r="D406">
        <v>5</v>
      </c>
      <c r="E406">
        <v>3</v>
      </c>
      <c r="F406">
        <v>3</v>
      </c>
    </row>
    <row r="407" spans="2:6" x14ac:dyDescent="0.3">
      <c r="B407" t="s">
        <v>330</v>
      </c>
      <c r="D407">
        <v>78</v>
      </c>
      <c r="E407">
        <v>50</v>
      </c>
      <c r="F407">
        <v>10</v>
      </c>
    </row>
    <row r="408" spans="2:6" x14ac:dyDescent="0.3">
      <c r="B408" t="s">
        <v>332</v>
      </c>
      <c r="D408">
        <v>88</v>
      </c>
      <c r="E408">
        <v>89</v>
      </c>
      <c r="F408">
        <v>13</v>
      </c>
    </row>
    <row r="409" spans="2:6" x14ac:dyDescent="0.3">
      <c r="B409" t="s">
        <v>348</v>
      </c>
      <c r="D409">
        <v>8</v>
      </c>
      <c r="E409">
        <v>5</v>
      </c>
      <c r="F409">
        <v>4</v>
      </c>
    </row>
    <row r="410" spans="2:6" x14ac:dyDescent="0.3">
      <c r="B410" t="s">
        <v>341</v>
      </c>
      <c r="D410">
        <v>93</v>
      </c>
      <c r="E410">
        <v>119</v>
      </c>
      <c r="F410">
        <v>15</v>
      </c>
    </row>
    <row r="411" spans="2:6" x14ac:dyDescent="0.3">
      <c r="B411" t="s">
        <v>345</v>
      </c>
      <c r="D411">
        <v>36</v>
      </c>
      <c r="E411">
        <v>19</v>
      </c>
      <c r="F411">
        <v>7</v>
      </c>
    </row>
    <row r="412" spans="2:6" x14ac:dyDescent="0.3">
      <c r="B412" t="s">
        <v>349</v>
      </c>
      <c r="D412">
        <v>83</v>
      </c>
      <c r="E412">
        <v>64</v>
      </c>
      <c r="F412">
        <v>11</v>
      </c>
    </row>
    <row r="413" spans="2:6" x14ac:dyDescent="0.3">
      <c r="B413" t="s">
        <v>348</v>
      </c>
      <c r="D413">
        <v>8</v>
      </c>
      <c r="E413">
        <v>5</v>
      </c>
      <c r="F413">
        <v>4</v>
      </c>
    </row>
    <row r="414" spans="2:6" x14ac:dyDescent="0.3">
      <c r="B414" t="s">
        <v>349</v>
      </c>
      <c r="D414">
        <v>83</v>
      </c>
      <c r="E414">
        <v>64</v>
      </c>
      <c r="F414">
        <v>11</v>
      </c>
    </row>
    <row r="415" spans="2:6" x14ac:dyDescent="0.3">
      <c r="B415" t="s">
        <v>349</v>
      </c>
      <c r="D415">
        <v>83</v>
      </c>
      <c r="E415">
        <v>64</v>
      </c>
      <c r="F415">
        <v>11</v>
      </c>
    </row>
    <row r="416" spans="2:6" x14ac:dyDescent="0.3">
      <c r="B416" t="s">
        <v>317</v>
      </c>
      <c r="D416">
        <v>5</v>
      </c>
      <c r="E416">
        <v>3</v>
      </c>
      <c r="F416">
        <v>3</v>
      </c>
    </row>
    <row r="417" spans="2:6" x14ac:dyDescent="0.3">
      <c r="B417" t="s">
        <v>341</v>
      </c>
      <c r="D417">
        <v>93</v>
      </c>
      <c r="E417">
        <v>119</v>
      </c>
      <c r="F417">
        <v>15</v>
      </c>
    </row>
    <row r="418" spans="2:6" x14ac:dyDescent="0.3">
      <c r="B418" t="s">
        <v>350</v>
      </c>
      <c r="D418">
        <v>72</v>
      </c>
      <c r="E418">
        <v>40</v>
      </c>
      <c r="F418">
        <v>9</v>
      </c>
    </row>
    <row r="419" spans="2:6" x14ac:dyDescent="0.3">
      <c r="B419" t="s">
        <v>327</v>
      </c>
      <c r="D419">
        <v>86</v>
      </c>
      <c r="E419">
        <v>75</v>
      </c>
      <c r="F419">
        <v>12</v>
      </c>
    </row>
    <row r="420" spans="2:6" x14ac:dyDescent="0.3">
      <c r="B420" t="s">
        <v>316</v>
      </c>
      <c r="D420">
        <v>12</v>
      </c>
      <c r="E420">
        <v>7</v>
      </c>
      <c r="F420">
        <v>5</v>
      </c>
    </row>
    <row r="421" spans="2:6" x14ac:dyDescent="0.3">
      <c r="B421" t="s">
        <v>341</v>
      </c>
      <c r="D421">
        <v>93</v>
      </c>
      <c r="E421">
        <v>119</v>
      </c>
      <c r="F421">
        <v>15</v>
      </c>
    </row>
    <row r="422" spans="2:6" x14ac:dyDescent="0.3">
      <c r="B422" t="s">
        <v>342</v>
      </c>
      <c r="D422">
        <v>90</v>
      </c>
      <c r="E422">
        <v>103</v>
      </c>
      <c r="F422">
        <v>14</v>
      </c>
    </row>
    <row r="423" spans="2:6" x14ac:dyDescent="0.3">
      <c r="B423" t="s">
        <v>295</v>
      </c>
      <c r="D423">
        <v>4</v>
      </c>
      <c r="E423">
        <v>2</v>
      </c>
      <c r="F423">
        <v>1</v>
      </c>
    </row>
    <row r="424" spans="2:6" x14ac:dyDescent="0.3">
      <c r="B424" t="s">
        <v>327</v>
      </c>
      <c r="D424">
        <v>86</v>
      </c>
      <c r="E424">
        <v>75</v>
      </c>
      <c r="F424">
        <v>12</v>
      </c>
    </row>
    <row r="425" spans="2:6" x14ac:dyDescent="0.3">
      <c r="B425" t="s">
        <v>314</v>
      </c>
      <c r="D425">
        <v>13</v>
      </c>
      <c r="E425">
        <v>7</v>
      </c>
      <c r="F425">
        <v>5</v>
      </c>
    </row>
    <row r="426" spans="2:6" x14ac:dyDescent="0.3">
      <c r="B426" t="s">
        <v>320</v>
      </c>
      <c r="D426">
        <v>52</v>
      </c>
      <c r="E426">
        <v>27</v>
      </c>
      <c r="F426">
        <v>8</v>
      </c>
    </row>
    <row r="427" spans="2:6" x14ac:dyDescent="0.3">
      <c r="B427" t="s">
        <v>295</v>
      </c>
      <c r="D427">
        <v>4</v>
      </c>
      <c r="E427">
        <v>2</v>
      </c>
      <c r="F427">
        <v>1</v>
      </c>
    </row>
    <row r="428" spans="2:6" x14ac:dyDescent="0.3">
      <c r="B428" t="s">
        <v>351</v>
      </c>
      <c r="D428">
        <v>9</v>
      </c>
      <c r="E428">
        <v>5</v>
      </c>
      <c r="F428">
        <v>4</v>
      </c>
    </row>
    <row r="429" spans="2:6" x14ac:dyDescent="0.3">
      <c r="B429" t="s">
        <v>320</v>
      </c>
      <c r="D429">
        <v>52</v>
      </c>
      <c r="E429">
        <v>27</v>
      </c>
      <c r="F429">
        <v>8</v>
      </c>
    </row>
    <row r="430" spans="2:6" x14ac:dyDescent="0.3">
      <c r="B430" t="s">
        <v>352</v>
      </c>
      <c r="D430">
        <v>91</v>
      </c>
      <c r="E430">
        <v>106</v>
      </c>
      <c r="F430">
        <v>14</v>
      </c>
    </row>
    <row r="431" spans="2:6" x14ac:dyDescent="0.3">
      <c r="B431" t="s">
        <v>349</v>
      </c>
      <c r="D431">
        <v>83</v>
      </c>
      <c r="E431">
        <v>64</v>
      </c>
      <c r="F431">
        <v>11</v>
      </c>
    </row>
    <row r="432" spans="2:6" x14ac:dyDescent="0.3">
      <c r="B432" t="s">
        <v>353</v>
      </c>
      <c r="D432">
        <v>36</v>
      </c>
      <c r="E432">
        <v>20</v>
      </c>
      <c r="F432">
        <v>7</v>
      </c>
    </row>
    <row r="433" spans="2:6" x14ac:dyDescent="0.3">
      <c r="B433" t="s">
        <v>327</v>
      </c>
      <c r="D433">
        <v>86</v>
      </c>
      <c r="E433">
        <v>75</v>
      </c>
      <c r="F433">
        <v>12</v>
      </c>
    </row>
    <row r="434" spans="2:6" x14ac:dyDescent="0.3">
      <c r="B434" t="s">
        <v>349</v>
      </c>
      <c r="D434">
        <v>83</v>
      </c>
      <c r="E434">
        <v>64</v>
      </c>
      <c r="F434">
        <v>11</v>
      </c>
    </row>
    <row r="435" spans="2:6" x14ac:dyDescent="0.3">
      <c r="B435" t="s">
        <v>354</v>
      </c>
      <c r="D435">
        <v>79</v>
      </c>
      <c r="E435">
        <v>51</v>
      </c>
      <c r="F435">
        <v>10</v>
      </c>
    </row>
    <row r="436" spans="2:6" x14ac:dyDescent="0.3">
      <c r="B436" t="s">
        <v>338</v>
      </c>
      <c r="D436">
        <v>88</v>
      </c>
      <c r="E436">
        <v>90</v>
      </c>
      <c r="F436">
        <v>13</v>
      </c>
    </row>
    <row r="437" spans="2:6" x14ac:dyDescent="0.3">
      <c r="B437" t="s">
        <v>247</v>
      </c>
      <c r="D437">
        <v>5</v>
      </c>
      <c r="E437">
        <v>3</v>
      </c>
      <c r="F437">
        <v>2</v>
      </c>
    </row>
    <row r="438" spans="2:6" x14ac:dyDescent="0.3">
      <c r="B438" t="s">
        <v>355</v>
      </c>
      <c r="D438">
        <v>91</v>
      </c>
      <c r="E438">
        <v>105</v>
      </c>
      <c r="F438">
        <v>14</v>
      </c>
    </row>
    <row r="439" spans="2:6" x14ac:dyDescent="0.3">
      <c r="B439" t="s">
        <v>349</v>
      </c>
      <c r="D439">
        <v>83</v>
      </c>
      <c r="E439">
        <v>64</v>
      </c>
      <c r="F439">
        <v>11</v>
      </c>
    </row>
    <row r="440" spans="2:6" x14ac:dyDescent="0.3">
      <c r="B440" t="s">
        <v>351</v>
      </c>
      <c r="D440">
        <v>9</v>
      </c>
      <c r="E440">
        <v>5</v>
      </c>
      <c r="F440">
        <v>4</v>
      </c>
    </row>
    <row r="441" spans="2:6" x14ac:dyDescent="0.3">
      <c r="B441" t="s">
        <v>356</v>
      </c>
      <c r="D441">
        <v>73</v>
      </c>
      <c r="E441">
        <v>40</v>
      </c>
      <c r="F441">
        <v>9</v>
      </c>
    </row>
    <row r="442" spans="2:6" x14ac:dyDescent="0.3">
      <c r="B442" t="s">
        <v>357</v>
      </c>
      <c r="D442">
        <v>13</v>
      </c>
      <c r="E442">
        <v>8</v>
      </c>
      <c r="F442">
        <v>5</v>
      </c>
    </row>
    <row r="443" spans="2:6" x14ac:dyDescent="0.3">
      <c r="B443" t="s">
        <v>358</v>
      </c>
      <c r="D443">
        <v>83</v>
      </c>
      <c r="E443">
        <v>65</v>
      </c>
      <c r="F443">
        <v>11</v>
      </c>
    </row>
    <row r="444" spans="2:6" x14ac:dyDescent="0.3">
      <c r="B444" t="s">
        <v>297</v>
      </c>
      <c r="D444">
        <v>10</v>
      </c>
      <c r="E444">
        <v>6</v>
      </c>
      <c r="F444">
        <v>4</v>
      </c>
    </row>
    <row r="445" spans="2:6" x14ac:dyDescent="0.3">
      <c r="B445" t="s">
        <v>322</v>
      </c>
      <c r="D445">
        <v>73</v>
      </c>
      <c r="E445">
        <v>41</v>
      </c>
      <c r="F445">
        <v>9</v>
      </c>
    </row>
    <row r="446" spans="2:6" x14ac:dyDescent="0.3">
      <c r="B446" t="s">
        <v>297</v>
      </c>
      <c r="D446">
        <v>10</v>
      </c>
      <c r="E446">
        <v>6</v>
      </c>
      <c r="F446">
        <v>4</v>
      </c>
    </row>
    <row r="447" spans="2:6" x14ac:dyDescent="0.3">
      <c r="B447" t="s">
        <v>324</v>
      </c>
      <c r="D447">
        <v>88</v>
      </c>
      <c r="E447">
        <v>91</v>
      </c>
      <c r="F447">
        <v>13</v>
      </c>
    </row>
    <row r="448" spans="2:6" x14ac:dyDescent="0.3">
      <c r="B448" t="s">
        <v>292</v>
      </c>
      <c r="D448">
        <v>6</v>
      </c>
      <c r="E448">
        <v>4</v>
      </c>
      <c r="F448">
        <v>2</v>
      </c>
    </row>
    <row r="449" spans="2:6" x14ac:dyDescent="0.3">
      <c r="B449" t="s">
        <v>359</v>
      </c>
      <c r="D449">
        <v>7</v>
      </c>
      <c r="E449">
        <v>5</v>
      </c>
      <c r="F449">
        <v>3</v>
      </c>
    </row>
    <row r="450" spans="2:6" x14ac:dyDescent="0.3">
      <c r="B450" t="s">
        <v>297</v>
      </c>
      <c r="D450">
        <v>10</v>
      </c>
      <c r="E450">
        <v>6</v>
      </c>
      <c r="F450">
        <v>4</v>
      </c>
    </row>
    <row r="451" spans="2:6" x14ac:dyDescent="0.3">
      <c r="B451" t="s">
        <v>309</v>
      </c>
      <c r="D451">
        <v>7</v>
      </c>
      <c r="E451">
        <v>4</v>
      </c>
      <c r="F451">
        <v>3</v>
      </c>
    </row>
    <row r="452" spans="2:6" x14ac:dyDescent="0.3">
      <c r="B452" t="s">
        <v>360</v>
      </c>
      <c r="D452">
        <v>86</v>
      </c>
      <c r="E452">
        <v>78</v>
      </c>
      <c r="F452">
        <v>12</v>
      </c>
    </row>
    <row r="453" spans="2:6" x14ac:dyDescent="0.3">
      <c r="B453" t="s">
        <v>360</v>
      </c>
      <c r="D453">
        <v>86</v>
      </c>
      <c r="E453">
        <v>78</v>
      </c>
      <c r="F453">
        <v>12</v>
      </c>
    </row>
    <row r="454" spans="2:6" x14ac:dyDescent="0.3">
      <c r="B454" t="s">
        <v>361</v>
      </c>
      <c r="D454">
        <v>88</v>
      </c>
      <c r="E454">
        <v>93</v>
      </c>
      <c r="F454">
        <v>13</v>
      </c>
    </row>
    <row r="455" spans="2:6" x14ac:dyDescent="0.3">
      <c r="B455" t="s">
        <v>362</v>
      </c>
      <c r="D455">
        <v>91</v>
      </c>
      <c r="E455">
        <v>107</v>
      </c>
      <c r="F455">
        <v>14</v>
      </c>
    </row>
    <row r="456" spans="2:6" x14ac:dyDescent="0.3">
      <c r="B456" t="s">
        <v>363</v>
      </c>
      <c r="D456">
        <v>93</v>
      </c>
      <c r="E456">
        <v>123</v>
      </c>
      <c r="F456">
        <v>15</v>
      </c>
    </row>
    <row r="457" spans="2:6" x14ac:dyDescent="0.3">
      <c r="B457" t="s">
        <v>362</v>
      </c>
      <c r="D457">
        <v>91</v>
      </c>
      <c r="E457">
        <v>107</v>
      </c>
      <c r="F457">
        <v>14</v>
      </c>
    </row>
    <row r="458" spans="2:6" x14ac:dyDescent="0.3">
      <c r="B458" t="s">
        <v>364</v>
      </c>
      <c r="D458">
        <v>80</v>
      </c>
      <c r="E458">
        <v>56</v>
      </c>
      <c r="F458">
        <v>10</v>
      </c>
    </row>
    <row r="459" spans="2:6" x14ac:dyDescent="0.3">
      <c r="B459" t="s">
        <v>299</v>
      </c>
      <c r="D459">
        <v>14</v>
      </c>
      <c r="E459">
        <v>8</v>
      </c>
      <c r="F459">
        <v>5</v>
      </c>
    </row>
    <row r="460" spans="2:6" x14ac:dyDescent="0.3">
      <c r="B460" t="s">
        <v>365</v>
      </c>
      <c r="D460">
        <v>53</v>
      </c>
      <c r="E460">
        <v>1203</v>
      </c>
      <c r="F460">
        <v>8</v>
      </c>
    </row>
    <row r="461" spans="2:6" x14ac:dyDescent="0.3">
      <c r="B461" t="s">
        <v>366</v>
      </c>
      <c r="D461">
        <v>122</v>
      </c>
      <c r="E461">
        <v>1203</v>
      </c>
      <c r="F461">
        <v>8</v>
      </c>
    </row>
    <row r="462" spans="2:6" x14ac:dyDescent="0.3">
      <c r="B462" t="s">
        <v>367</v>
      </c>
      <c r="D462">
        <v>145</v>
      </c>
      <c r="E462">
        <v>2417</v>
      </c>
      <c r="F462">
        <v>11</v>
      </c>
    </row>
    <row r="463" spans="2:6" x14ac:dyDescent="0.3">
      <c r="B463" t="s">
        <v>368</v>
      </c>
      <c r="D463">
        <v>145</v>
      </c>
      <c r="E463">
        <v>2417</v>
      </c>
      <c r="F463">
        <v>0</v>
      </c>
    </row>
    <row r="464" spans="2:6" x14ac:dyDescent="0.3">
      <c r="B464" t="s">
        <v>369</v>
      </c>
      <c r="D464">
        <v>147</v>
      </c>
      <c r="E464">
        <v>2780</v>
      </c>
      <c r="F464">
        <v>11</v>
      </c>
    </row>
    <row r="465" spans="2:6" x14ac:dyDescent="0.3">
      <c r="B465" t="s">
        <v>370</v>
      </c>
      <c r="D465">
        <v>146</v>
      </c>
      <c r="E465">
        <v>2520</v>
      </c>
      <c r="F465">
        <v>10</v>
      </c>
    </row>
    <row r="466" spans="2:6" x14ac:dyDescent="0.3">
      <c r="B466" t="s">
        <v>371</v>
      </c>
      <c r="D466">
        <v>89</v>
      </c>
      <c r="E466">
        <v>2806</v>
      </c>
      <c r="F466">
        <v>4</v>
      </c>
    </row>
    <row r="467" spans="2:6" x14ac:dyDescent="0.3">
      <c r="B467" t="s">
        <v>372</v>
      </c>
      <c r="D467">
        <v>35</v>
      </c>
      <c r="E467">
        <v>2806</v>
      </c>
      <c r="F467">
        <v>6</v>
      </c>
    </row>
    <row r="468" spans="2:6" x14ac:dyDescent="0.3">
      <c r="B468" t="s">
        <v>373</v>
      </c>
      <c r="D468">
        <v>96</v>
      </c>
      <c r="E468">
        <v>234</v>
      </c>
      <c r="F468">
        <v>14</v>
      </c>
    </row>
    <row r="469" spans="2:6" x14ac:dyDescent="0.3">
      <c r="B469" t="s">
        <v>374</v>
      </c>
      <c r="D469">
        <v>97</v>
      </c>
      <c r="E469">
        <v>244</v>
      </c>
      <c r="F469">
        <v>15</v>
      </c>
    </row>
    <row r="470" spans="2:6" x14ac:dyDescent="0.3">
      <c r="B470" t="s">
        <v>375</v>
      </c>
      <c r="D470">
        <v>94</v>
      </c>
      <c r="E470">
        <v>211</v>
      </c>
      <c r="F470">
        <v>6</v>
      </c>
    </row>
    <row r="471" spans="2:6" x14ac:dyDescent="0.3">
      <c r="B471" t="s">
        <v>376</v>
      </c>
      <c r="D471">
        <v>85</v>
      </c>
      <c r="E471">
        <v>122</v>
      </c>
      <c r="F471">
        <v>3</v>
      </c>
    </row>
    <row r="472" spans="2:6" x14ac:dyDescent="0.3">
      <c r="B472" t="s">
        <v>377</v>
      </c>
      <c r="D472">
        <v>7</v>
      </c>
      <c r="E472">
        <v>129</v>
      </c>
      <c r="F472">
        <v>6</v>
      </c>
    </row>
    <row r="473" spans="2:6" x14ac:dyDescent="0.3">
      <c r="B473" t="s">
        <v>11</v>
      </c>
      <c r="D473">
        <v>2</v>
      </c>
      <c r="E473">
        <v>2</v>
      </c>
      <c r="F473">
        <v>3</v>
      </c>
    </row>
    <row r="474" spans="2:6" x14ac:dyDescent="0.3">
      <c r="B474" t="s">
        <v>12</v>
      </c>
      <c r="D474">
        <v>2</v>
      </c>
      <c r="E474">
        <v>2</v>
      </c>
      <c r="F474">
        <v>0</v>
      </c>
    </row>
    <row r="475" spans="2:6" x14ac:dyDescent="0.3">
      <c r="B475" t="s">
        <v>13</v>
      </c>
      <c r="D475">
        <v>2</v>
      </c>
      <c r="E475">
        <v>4</v>
      </c>
      <c r="F475">
        <v>10</v>
      </c>
    </row>
    <row r="476" spans="2:6" x14ac:dyDescent="0.3">
      <c r="B476" t="s">
        <v>14</v>
      </c>
      <c r="D476">
        <v>1</v>
      </c>
      <c r="E476">
        <v>1</v>
      </c>
      <c r="F476">
        <v>5</v>
      </c>
    </row>
    <row r="477" spans="2:6" x14ac:dyDescent="0.3">
      <c r="B477" t="s">
        <v>15</v>
      </c>
      <c r="D477">
        <v>1</v>
      </c>
      <c r="E477">
        <v>7</v>
      </c>
      <c r="F477">
        <v>13</v>
      </c>
    </row>
    <row r="478" spans="2:6" x14ac:dyDescent="0.3">
      <c r="B478" t="s">
        <v>16</v>
      </c>
      <c r="D478">
        <v>2</v>
      </c>
      <c r="E478">
        <v>2</v>
      </c>
      <c r="F478">
        <v>7</v>
      </c>
    </row>
    <row r="479" spans="2:6" x14ac:dyDescent="0.3">
      <c r="B479" t="s">
        <v>14</v>
      </c>
      <c r="D479">
        <v>1</v>
      </c>
      <c r="E479">
        <v>1</v>
      </c>
      <c r="F479">
        <v>5</v>
      </c>
    </row>
    <row r="480" spans="2:6" x14ac:dyDescent="0.3">
      <c r="B480" t="s">
        <v>17</v>
      </c>
      <c r="D480">
        <v>0</v>
      </c>
      <c r="E480">
        <v>0</v>
      </c>
      <c r="F480">
        <v>4</v>
      </c>
    </row>
    <row r="481" spans="2:6" x14ac:dyDescent="0.3">
      <c r="B481" t="s">
        <v>18</v>
      </c>
      <c r="D481">
        <v>4</v>
      </c>
      <c r="E481">
        <v>4</v>
      </c>
      <c r="F481">
        <v>10</v>
      </c>
    </row>
    <row r="482" spans="2:6" x14ac:dyDescent="0.3">
      <c r="B482" t="s">
        <v>19</v>
      </c>
      <c r="D482">
        <v>2</v>
      </c>
      <c r="E482">
        <v>2</v>
      </c>
      <c r="F482">
        <v>8</v>
      </c>
    </row>
    <row r="483" spans="2:6" x14ac:dyDescent="0.3">
      <c r="B483" t="s">
        <v>20</v>
      </c>
      <c r="D483">
        <v>5</v>
      </c>
      <c r="E483">
        <v>6</v>
      </c>
      <c r="F483">
        <v>12</v>
      </c>
    </row>
    <row r="484" spans="2:6" x14ac:dyDescent="0.3">
      <c r="B484" t="s">
        <v>21</v>
      </c>
      <c r="D484">
        <v>6</v>
      </c>
      <c r="E484">
        <v>7</v>
      </c>
      <c r="F484">
        <v>13</v>
      </c>
    </row>
    <row r="485" spans="2:6" x14ac:dyDescent="0.3">
      <c r="B485" t="s">
        <v>22</v>
      </c>
      <c r="D485">
        <v>0</v>
      </c>
      <c r="E485">
        <v>0</v>
      </c>
      <c r="F485">
        <v>3</v>
      </c>
    </row>
    <row r="486" spans="2:6" x14ac:dyDescent="0.3">
      <c r="B486" t="s">
        <v>23</v>
      </c>
      <c r="D486">
        <v>4</v>
      </c>
      <c r="E486">
        <v>3</v>
      </c>
      <c r="F486">
        <v>9</v>
      </c>
    </row>
    <row r="487" spans="2:6" x14ac:dyDescent="0.3">
      <c r="B487" t="s">
        <v>24</v>
      </c>
      <c r="D487">
        <v>5</v>
      </c>
      <c r="E487">
        <v>5</v>
      </c>
      <c r="F487">
        <v>11</v>
      </c>
    </row>
    <row r="488" spans="2:6" x14ac:dyDescent="0.3">
      <c r="B488" t="s">
        <v>25</v>
      </c>
      <c r="D488">
        <v>7</v>
      </c>
      <c r="E488">
        <v>8</v>
      </c>
      <c r="F488">
        <v>14</v>
      </c>
    </row>
    <row r="489" spans="2:6" x14ac:dyDescent="0.3">
      <c r="B489" t="s">
        <v>26</v>
      </c>
      <c r="D489">
        <v>4</v>
      </c>
      <c r="E489">
        <v>5</v>
      </c>
      <c r="F489">
        <v>11</v>
      </c>
    </row>
    <row r="490" spans="2:6" x14ac:dyDescent="0.3">
      <c r="B490" t="s">
        <v>19</v>
      </c>
      <c r="D490">
        <v>2</v>
      </c>
      <c r="E490">
        <v>2</v>
      </c>
      <c r="F490">
        <v>8</v>
      </c>
    </row>
    <row r="491" spans="2:6" x14ac:dyDescent="0.3">
      <c r="B491" t="s">
        <v>27</v>
      </c>
      <c r="D491">
        <v>8</v>
      </c>
      <c r="E491">
        <v>9</v>
      </c>
      <c r="F491">
        <v>15</v>
      </c>
    </row>
    <row r="492" spans="2:6" x14ac:dyDescent="0.3">
      <c r="B492" t="s">
        <v>25</v>
      </c>
      <c r="D492">
        <v>7</v>
      </c>
      <c r="E492">
        <v>8</v>
      </c>
      <c r="F492">
        <v>14</v>
      </c>
    </row>
    <row r="493" spans="2:6" x14ac:dyDescent="0.3">
      <c r="B493" t="s">
        <v>20</v>
      </c>
      <c r="D493">
        <v>5</v>
      </c>
      <c r="E493">
        <v>6</v>
      </c>
      <c r="F493">
        <v>12</v>
      </c>
    </row>
    <row r="494" spans="2:6" x14ac:dyDescent="0.3">
      <c r="B494" t="s">
        <v>25</v>
      </c>
      <c r="D494">
        <v>7</v>
      </c>
      <c r="E494">
        <v>8</v>
      </c>
      <c r="F494">
        <v>14</v>
      </c>
    </row>
    <row r="495" spans="2:6" x14ac:dyDescent="0.3">
      <c r="B495" t="s">
        <v>28</v>
      </c>
      <c r="D495">
        <v>1</v>
      </c>
      <c r="E495">
        <v>0</v>
      </c>
      <c r="F495">
        <v>2</v>
      </c>
    </row>
    <row r="496" spans="2:6" x14ac:dyDescent="0.3">
      <c r="B496" t="s">
        <v>29</v>
      </c>
      <c r="D496">
        <v>1</v>
      </c>
      <c r="E496">
        <v>0</v>
      </c>
      <c r="F496">
        <v>6</v>
      </c>
    </row>
    <row r="497" spans="2:6" x14ac:dyDescent="0.3">
      <c r="B497" t="s">
        <v>25</v>
      </c>
      <c r="D497">
        <v>7</v>
      </c>
      <c r="E497">
        <v>8</v>
      </c>
      <c r="F497">
        <v>14</v>
      </c>
    </row>
    <row r="499" spans="2:6" x14ac:dyDescent="0.3">
      <c r="B499" t="s">
        <v>30</v>
      </c>
      <c r="D499">
        <v>65</v>
      </c>
      <c r="E499">
        <v>80</v>
      </c>
      <c r="F499">
        <v>44</v>
      </c>
    </row>
    <row r="500" spans="2:6" x14ac:dyDescent="0.3">
      <c r="B500" t="s">
        <v>31</v>
      </c>
      <c r="D500">
        <v>43</v>
      </c>
      <c r="E500">
        <v>52</v>
      </c>
      <c r="F500">
        <v>36</v>
      </c>
    </row>
    <row r="501" spans="2:6" x14ac:dyDescent="0.3">
      <c r="B501" t="s">
        <v>32</v>
      </c>
      <c r="D501">
        <v>36</v>
      </c>
      <c r="E501">
        <v>45</v>
      </c>
      <c r="F501">
        <v>33</v>
      </c>
    </row>
    <row r="502" spans="2:6" x14ac:dyDescent="0.3">
      <c r="B502" t="s">
        <v>33</v>
      </c>
      <c r="D502">
        <v>49</v>
      </c>
      <c r="E502">
        <v>59</v>
      </c>
      <c r="F502">
        <v>38</v>
      </c>
    </row>
    <row r="503" spans="2:6" x14ac:dyDescent="0.3">
      <c r="B503" t="s">
        <v>34</v>
      </c>
      <c r="D503">
        <v>85</v>
      </c>
      <c r="E503">
        <v>165</v>
      </c>
      <c r="F503">
        <v>63</v>
      </c>
    </row>
    <row r="504" spans="2:6" x14ac:dyDescent="0.3">
      <c r="B504" t="s">
        <v>35</v>
      </c>
      <c r="D504">
        <v>33</v>
      </c>
      <c r="E504">
        <v>39</v>
      </c>
      <c r="F504">
        <v>31</v>
      </c>
    </row>
    <row r="505" spans="2:6" x14ac:dyDescent="0.3">
      <c r="B505" t="s">
        <v>36</v>
      </c>
      <c r="D505">
        <v>75</v>
      </c>
      <c r="E505">
        <v>91</v>
      </c>
      <c r="F505">
        <v>47</v>
      </c>
    </row>
    <row r="506" spans="2:6" x14ac:dyDescent="0.3">
      <c r="B506" t="s">
        <v>25</v>
      </c>
      <c r="D506">
        <v>7</v>
      </c>
      <c r="E506">
        <v>8</v>
      </c>
      <c r="F506">
        <v>14</v>
      </c>
    </row>
    <row r="507" spans="2:6" x14ac:dyDescent="0.3">
      <c r="B507" t="s">
        <v>37</v>
      </c>
      <c r="D507">
        <v>101</v>
      </c>
      <c r="E507">
        <v>421</v>
      </c>
      <c r="F507">
        <v>100</v>
      </c>
    </row>
    <row r="508" spans="2:6" x14ac:dyDescent="0.3">
      <c r="B508" t="s">
        <v>38</v>
      </c>
      <c r="D508">
        <v>94</v>
      </c>
      <c r="E508">
        <v>282</v>
      </c>
      <c r="F508">
        <v>82</v>
      </c>
    </row>
    <row r="509" spans="2:6" x14ac:dyDescent="0.3">
      <c r="B509" t="s">
        <v>39</v>
      </c>
      <c r="D509">
        <v>94</v>
      </c>
      <c r="E509">
        <v>276</v>
      </c>
      <c r="F509">
        <v>81</v>
      </c>
    </row>
    <row r="510" spans="2:6" x14ac:dyDescent="0.3">
      <c r="B510" t="s">
        <v>40</v>
      </c>
      <c r="D510">
        <v>92</v>
      </c>
      <c r="E510">
        <v>250</v>
      </c>
      <c r="F510">
        <v>77</v>
      </c>
    </row>
    <row r="511" spans="2:6" x14ac:dyDescent="0.3">
      <c r="B511" t="s">
        <v>41</v>
      </c>
      <c r="D511">
        <v>90</v>
      </c>
      <c r="E511">
        <v>231</v>
      </c>
      <c r="F511">
        <v>74</v>
      </c>
    </row>
    <row r="512" spans="2:6" x14ac:dyDescent="0.3">
      <c r="B512" t="s">
        <v>42</v>
      </c>
      <c r="D512">
        <v>0</v>
      </c>
      <c r="E512">
        <v>0</v>
      </c>
      <c r="F512">
        <v>1</v>
      </c>
    </row>
    <row r="513" spans="2:6" x14ac:dyDescent="0.3">
      <c r="B513" t="s">
        <v>43</v>
      </c>
      <c r="D513">
        <v>98</v>
      </c>
      <c r="E513">
        <v>342</v>
      </c>
      <c r="F513">
        <v>90</v>
      </c>
    </row>
    <row r="514" spans="2:6" x14ac:dyDescent="0.3">
      <c r="B514" t="s">
        <v>44</v>
      </c>
      <c r="D514">
        <v>57</v>
      </c>
      <c r="E514">
        <v>70</v>
      </c>
      <c r="F514">
        <v>41</v>
      </c>
    </row>
    <row r="515" spans="2:6" x14ac:dyDescent="0.3">
      <c r="B515" t="s">
        <v>45</v>
      </c>
      <c r="D515">
        <v>85</v>
      </c>
      <c r="E515">
        <v>161</v>
      </c>
      <c r="F515">
        <v>62</v>
      </c>
    </row>
    <row r="516" spans="2:6" x14ac:dyDescent="0.3">
      <c r="B516" t="s">
        <v>46</v>
      </c>
      <c r="D516">
        <v>9</v>
      </c>
      <c r="E516">
        <v>10</v>
      </c>
      <c r="F516">
        <v>15</v>
      </c>
    </row>
    <row r="517" spans="2:6" x14ac:dyDescent="0.3">
      <c r="B517" t="s">
        <v>47</v>
      </c>
      <c r="D517">
        <v>100</v>
      </c>
      <c r="E517">
        <v>406</v>
      </c>
      <c r="F517">
        <v>98</v>
      </c>
    </row>
    <row r="518" spans="2:6" x14ac:dyDescent="0.3">
      <c r="B518" t="s">
        <v>48</v>
      </c>
      <c r="D518">
        <v>38</v>
      </c>
      <c r="E518">
        <v>46</v>
      </c>
      <c r="F518">
        <v>33</v>
      </c>
    </row>
    <row r="519" spans="2:6" x14ac:dyDescent="0.3">
      <c r="B519" t="s">
        <v>49</v>
      </c>
      <c r="D519">
        <v>42</v>
      </c>
      <c r="E519">
        <v>50</v>
      </c>
      <c r="F519">
        <v>35</v>
      </c>
    </row>
    <row r="520" spans="2:6" x14ac:dyDescent="0.3">
      <c r="B520" t="s">
        <v>50</v>
      </c>
      <c r="D520">
        <v>94</v>
      </c>
      <c r="E520">
        <v>277</v>
      </c>
      <c r="F520">
        <v>81</v>
      </c>
    </row>
    <row r="521" spans="2:6" x14ac:dyDescent="0.3">
      <c r="B521" t="s">
        <v>51</v>
      </c>
      <c r="D521">
        <v>90</v>
      </c>
      <c r="E521">
        <v>232</v>
      </c>
      <c r="F521">
        <v>74</v>
      </c>
    </row>
    <row r="522" spans="2:6" x14ac:dyDescent="0.3">
      <c r="B522" t="s">
        <v>52</v>
      </c>
      <c r="D522">
        <v>29</v>
      </c>
      <c r="E522">
        <v>34</v>
      </c>
      <c r="F522">
        <v>29</v>
      </c>
    </row>
    <row r="523" spans="2:6" x14ac:dyDescent="0.3">
      <c r="B523" t="s">
        <v>53</v>
      </c>
      <c r="D523">
        <v>63</v>
      </c>
      <c r="E523">
        <v>78</v>
      </c>
      <c r="F523">
        <v>43</v>
      </c>
    </row>
    <row r="524" spans="2:6" x14ac:dyDescent="0.3">
      <c r="B524" t="s">
        <v>54</v>
      </c>
      <c r="D524">
        <v>90</v>
      </c>
      <c r="E524">
        <v>233</v>
      </c>
      <c r="F524">
        <v>74</v>
      </c>
    </row>
    <row r="525" spans="2:6" x14ac:dyDescent="0.3">
      <c r="B525" t="s">
        <v>55</v>
      </c>
      <c r="D525">
        <v>94</v>
      </c>
      <c r="E525">
        <v>286</v>
      </c>
      <c r="F525">
        <v>82</v>
      </c>
    </row>
    <row r="526" spans="2:6" x14ac:dyDescent="0.3">
      <c r="B526" t="s">
        <v>56</v>
      </c>
      <c r="D526">
        <v>39</v>
      </c>
      <c r="E526">
        <v>49</v>
      </c>
      <c r="F526">
        <v>34</v>
      </c>
    </row>
    <row r="527" spans="2:6" x14ac:dyDescent="0.3">
      <c r="B527" t="s">
        <v>57</v>
      </c>
      <c r="D527">
        <v>79</v>
      </c>
      <c r="E527">
        <v>118</v>
      </c>
      <c r="F527">
        <v>53</v>
      </c>
    </row>
    <row r="528" spans="2:6" x14ac:dyDescent="0.3">
      <c r="B528" t="s">
        <v>58</v>
      </c>
      <c r="D528">
        <v>31</v>
      </c>
      <c r="E528">
        <v>37</v>
      </c>
      <c r="F528">
        <v>30</v>
      </c>
    </row>
    <row r="529" spans="2:6" x14ac:dyDescent="0.3">
      <c r="B529" t="s">
        <v>59</v>
      </c>
      <c r="D529">
        <v>94</v>
      </c>
      <c r="E529">
        <v>285</v>
      </c>
      <c r="F529">
        <v>82</v>
      </c>
    </row>
    <row r="530" spans="2:6" x14ac:dyDescent="0.3">
      <c r="B530" t="s">
        <v>60</v>
      </c>
      <c r="D530">
        <v>85</v>
      </c>
      <c r="E530">
        <v>157</v>
      </c>
      <c r="F530">
        <v>61</v>
      </c>
    </row>
    <row r="531" spans="2:6" x14ac:dyDescent="0.3">
      <c r="B531" t="s">
        <v>61</v>
      </c>
      <c r="D531">
        <v>92</v>
      </c>
      <c r="E531">
        <v>252</v>
      </c>
      <c r="F531">
        <v>77</v>
      </c>
    </row>
    <row r="532" spans="2:6" x14ac:dyDescent="0.3">
      <c r="B532" t="s">
        <v>62</v>
      </c>
      <c r="D532">
        <v>95</v>
      </c>
      <c r="E532">
        <v>299</v>
      </c>
      <c r="F532">
        <v>84</v>
      </c>
    </row>
    <row r="533" spans="2:6" x14ac:dyDescent="0.3">
      <c r="B533" t="s">
        <v>63</v>
      </c>
      <c r="D533">
        <v>89</v>
      </c>
      <c r="E533">
        <v>220</v>
      </c>
      <c r="F533">
        <v>72</v>
      </c>
    </row>
    <row r="534" spans="2:6" x14ac:dyDescent="0.3">
      <c r="B534" t="s">
        <v>64</v>
      </c>
      <c r="D534">
        <v>11</v>
      </c>
      <c r="E534">
        <v>13</v>
      </c>
      <c r="F534">
        <v>17</v>
      </c>
    </row>
    <row r="535" spans="2:6" x14ac:dyDescent="0.3">
      <c r="B535" t="s">
        <v>65</v>
      </c>
      <c r="D535">
        <v>9</v>
      </c>
      <c r="E535">
        <v>11</v>
      </c>
      <c r="F535">
        <v>16</v>
      </c>
    </row>
    <row r="536" spans="2:6" x14ac:dyDescent="0.3">
      <c r="B536" t="s">
        <v>66</v>
      </c>
      <c r="D536">
        <v>11</v>
      </c>
      <c r="E536">
        <v>12</v>
      </c>
      <c r="F536">
        <v>17</v>
      </c>
    </row>
    <row r="537" spans="2:6" x14ac:dyDescent="0.3">
      <c r="B537" t="s">
        <v>67</v>
      </c>
      <c r="D537">
        <v>36</v>
      </c>
      <c r="E537">
        <v>42</v>
      </c>
      <c r="F537">
        <v>32</v>
      </c>
    </row>
    <row r="538" spans="2:6" x14ac:dyDescent="0.3">
      <c r="B538" t="s">
        <v>68</v>
      </c>
      <c r="D538">
        <v>86</v>
      </c>
      <c r="E538">
        <v>173</v>
      </c>
      <c r="F538">
        <v>64</v>
      </c>
    </row>
    <row r="539" spans="2:6" x14ac:dyDescent="0.3">
      <c r="B539" t="s">
        <v>69</v>
      </c>
      <c r="D539">
        <v>82</v>
      </c>
      <c r="E539">
        <v>141</v>
      </c>
      <c r="F539">
        <v>58</v>
      </c>
    </row>
    <row r="540" spans="2:6" x14ac:dyDescent="0.3">
      <c r="B540" t="s">
        <v>70</v>
      </c>
      <c r="D540">
        <v>96</v>
      </c>
      <c r="E540">
        <v>307</v>
      </c>
      <c r="F540">
        <v>85</v>
      </c>
    </row>
    <row r="541" spans="2:6" x14ac:dyDescent="0.3">
      <c r="B541" t="s">
        <v>71</v>
      </c>
      <c r="D541">
        <v>27</v>
      </c>
      <c r="E541">
        <v>31</v>
      </c>
      <c r="F541">
        <v>28</v>
      </c>
    </row>
    <row r="542" spans="2:6" x14ac:dyDescent="0.3">
      <c r="B542" t="s">
        <v>72</v>
      </c>
      <c r="D542">
        <v>0</v>
      </c>
      <c r="E542">
        <v>0</v>
      </c>
      <c r="F542">
        <v>2</v>
      </c>
    </row>
    <row r="543" spans="2:6" x14ac:dyDescent="0.3">
      <c r="B543" t="s">
        <v>73</v>
      </c>
      <c r="D543">
        <v>0</v>
      </c>
      <c r="E543">
        <v>384</v>
      </c>
      <c r="F543">
        <v>95</v>
      </c>
    </row>
    <row r="544" spans="2:6" x14ac:dyDescent="0.3">
      <c r="B544" t="s">
        <v>378</v>
      </c>
      <c r="D544">
        <v>3</v>
      </c>
      <c r="E544">
        <v>4</v>
      </c>
      <c r="F544">
        <v>10</v>
      </c>
    </row>
    <row r="546" spans="2:6" x14ac:dyDescent="0.3">
      <c r="B546" t="s">
        <v>74</v>
      </c>
      <c r="D546">
        <v>145</v>
      </c>
      <c r="E546">
        <v>4988</v>
      </c>
      <c r="F546">
        <v>209</v>
      </c>
    </row>
    <row r="547" spans="2:6" x14ac:dyDescent="0.3">
      <c r="B547" t="s">
        <v>75</v>
      </c>
      <c r="D547">
        <v>136</v>
      </c>
      <c r="E547">
        <v>3028</v>
      </c>
      <c r="F547">
        <v>160</v>
      </c>
    </row>
    <row r="548" spans="2:6" x14ac:dyDescent="0.3">
      <c r="B548" t="s">
        <v>76</v>
      </c>
      <c r="D548">
        <v>132</v>
      </c>
      <c r="E548">
        <v>2339</v>
      </c>
      <c r="F548">
        <v>140</v>
      </c>
    </row>
    <row r="549" spans="2:6" x14ac:dyDescent="0.3">
      <c r="B549" t="s">
        <v>77</v>
      </c>
      <c r="D549">
        <v>147</v>
      </c>
      <c r="E549">
        <v>5568</v>
      </c>
      <c r="F549">
        <v>212</v>
      </c>
    </row>
    <row r="550" spans="2:6" x14ac:dyDescent="0.3">
      <c r="B550" t="s">
        <v>78</v>
      </c>
      <c r="D550">
        <v>129</v>
      </c>
      <c r="E550">
        <v>2076</v>
      </c>
      <c r="F550">
        <v>129</v>
      </c>
    </row>
    <row r="551" spans="2:6" x14ac:dyDescent="0.3">
      <c r="B551" t="s">
        <v>79</v>
      </c>
      <c r="D551">
        <v>151</v>
      </c>
      <c r="E551">
        <v>7320</v>
      </c>
      <c r="F551">
        <v>241</v>
      </c>
    </row>
    <row r="552" spans="2:6" x14ac:dyDescent="0.3">
      <c r="B552" t="s">
        <v>80</v>
      </c>
      <c r="D552">
        <v>147</v>
      </c>
      <c r="E552">
        <v>5584</v>
      </c>
      <c r="F552">
        <v>208</v>
      </c>
    </row>
    <row r="553" spans="2:6" x14ac:dyDescent="0.3">
      <c r="B553" t="s">
        <v>81</v>
      </c>
      <c r="D553">
        <v>123</v>
      </c>
      <c r="E553">
        <v>1498</v>
      </c>
      <c r="F553">
        <v>108</v>
      </c>
    </row>
    <row r="554" spans="2:6" x14ac:dyDescent="0.3">
      <c r="B554" t="s">
        <v>82</v>
      </c>
      <c r="D554">
        <v>153</v>
      </c>
      <c r="E554">
        <v>8142</v>
      </c>
      <c r="F554">
        <v>251</v>
      </c>
    </row>
    <row r="555" spans="2:6" x14ac:dyDescent="0.3">
      <c r="B555" t="s">
        <v>83</v>
      </c>
      <c r="D555">
        <v>142</v>
      </c>
      <c r="E555">
        <v>4404</v>
      </c>
      <c r="F555">
        <v>183</v>
      </c>
    </row>
    <row r="556" spans="2:6" x14ac:dyDescent="0.3">
      <c r="B556" t="s">
        <v>84</v>
      </c>
      <c r="D556">
        <v>142</v>
      </c>
      <c r="E556">
        <v>4384</v>
      </c>
      <c r="F556">
        <v>183</v>
      </c>
    </row>
    <row r="557" spans="2:6" x14ac:dyDescent="0.3">
      <c r="B557" t="s">
        <v>379</v>
      </c>
      <c r="D557">
        <v>128</v>
      </c>
      <c r="E557">
        <v>2034</v>
      </c>
      <c r="F557">
        <v>125</v>
      </c>
    </row>
    <row r="558" spans="2:6" x14ac:dyDescent="0.3">
      <c r="B558" t="s">
        <v>380</v>
      </c>
      <c r="D558">
        <v>131</v>
      </c>
      <c r="E558">
        <v>2352</v>
      </c>
      <c r="F558">
        <v>135</v>
      </c>
    </row>
    <row r="560" spans="2:6" x14ac:dyDescent="0.3">
      <c r="B560" t="s">
        <v>381</v>
      </c>
      <c r="D560">
        <v>146</v>
      </c>
      <c r="E560">
        <v>2617</v>
      </c>
      <c r="F560">
        <v>115</v>
      </c>
    </row>
    <row r="561" spans="2:6" x14ac:dyDescent="0.3">
      <c r="B561" t="s">
        <v>382</v>
      </c>
      <c r="D561">
        <v>162</v>
      </c>
      <c r="E561">
        <v>7068</v>
      </c>
      <c r="F561">
        <v>190</v>
      </c>
    </row>
    <row r="563" spans="2:6" x14ac:dyDescent="0.3">
      <c r="B563" t="s">
        <v>383</v>
      </c>
      <c r="D563">
        <v>159</v>
      </c>
      <c r="E563">
        <v>6352</v>
      </c>
      <c r="F563">
        <v>206</v>
      </c>
    </row>
    <row r="564" spans="2:6" x14ac:dyDescent="0.3">
      <c r="B564" t="s">
        <v>384</v>
      </c>
      <c r="D564">
        <v>147</v>
      </c>
      <c r="E564">
        <v>3305</v>
      </c>
      <c r="F564">
        <v>148</v>
      </c>
    </row>
    <row r="565" spans="2:6" x14ac:dyDescent="0.3">
      <c r="B565" t="s">
        <v>385</v>
      </c>
      <c r="D565">
        <v>149</v>
      </c>
      <c r="E565">
        <v>3855</v>
      </c>
      <c r="F565">
        <v>159</v>
      </c>
    </row>
    <row r="566" spans="2:6" x14ac:dyDescent="0.3">
      <c r="B566" t="s">
        <v>386</v>
      </c>
      <c r="D566">
        <v>147</v>
      </c>
      <c r="E566">
        <v>3260</v>
      </c>
      <c r="F566">
        <v>146</v>
      </c>
    </row>
    <row r="567" spans="2:6" x14ac:dyDescent="0.3">
      <c r="B567" t="s">
        <v>387</v>
      </c>
      <c r="D567">
        <v>148</v>
      </c>
      <c r="E567">
        <v>3483</v>
      </c>
      <c r="F567">
        <v>151</v>
      </c>
    </row>
    <row r="568" spans="2:6" x14ac:dyDescent="0.3">
      <c r="B568" t="s">
        <v>388</v>
      </c>
      <c r="D568">
        <v>143</v>
      </c>
      <c r="E568">
        <v>2704</v>
      </c>
      <c r="F568">
        <v>133</v>
      </c>
    </row>
    <row r="569" spans="2:6" x14ac:dyDescent="0.3">
      <c r="B569" t="s">
        <v>389</v>
      </c>
      <c r="D569">
        <v>134</v>
      </c>
      <c r="E569">
        <v>1552</v>
      </c>
      <c r="F569">
        <v>101</v>
      </c>
    </row>
    <row r="570" spans="2:6" x14ac:dyDescent="0.3">
      <c r="B570" t="s">
        <v>390</v>
      </c>
      <c r="D570">
        <v>134</v>
      </c>
      <c r="E570">
        <v>8006</v>
      </c>
      <c r="F570">
        <v>229</v>
      </c>
    </row>
    <row r="571" spans="2:6" x14ac:dyDescent="0.3">
      <c r="B571" t="s">
        <v>391</v>
      </c>
      <c r="D571">
        <v>149</v>
      </c>
      <c r="E571">
        <v>3775</v>
      </c>
      <c r="F571">
        <v>156</v>
      </c>
    </row>
    <row r="572" spans="2:6" x14ac:dyDescent="0.3">
      <c r="B572" t="s">
        <v>392</v>
      </c>
      <c r="D572">
        <v>149</v>
      </c>
      <c r="E572">
        <v>3685</v>
      </c>
      <c r="F572">
        <v>154</v>
      </c>
    </row>
    <row r="573" spans="2:6" x14ac:dyDescent="0.3">
      <c r="B573" t="s">
        <v>393</v>
      </c>
      <c r="D573">
        <v>161</v>
      </c>
      <c r="E573">
        <v>7352</v>
      </c>
      <c r="F573">
        <v>217</v>
      </c>
    </row>
    <row r="574" spans="2:6" x14ac:dyDescent="0.3">
      <c r="B574" t="s">
        <v>394</v>
      </c>
      <c r="D574">
        <v>7</v>
      </c>
      <c r="E574">
        <v>9472</v>
      </c>
      <c r="F574">
        <v>245</v>
      </c>
    </row>
    <row r="575" spans="2:6" x14ac:dyDescent="0.3">
      <c r="B575" t="s">
        <v>395</v>
      </c>
      <c r="D575">
        <v>206</v>
      </c>
      <c r="E575">
        <v>65008</v>
      </c>
      <c r="F575">
        <v>251</v>
      </c>
    </row>
    <row r="576" spans="2:6" x14ac:dyDescent="0.3">
      <c r="B576" t="s">
        <v>396</v>
      </c>
      <c r="D576">
        <v>207</v>
      </c>
      <c r="E576">
        <v>576</v>
      </c>
      <c r="F576">
        <v>252</v>
      </c>
    </row>
    <row r="577" spans="2:6" x14ac:dyDescent="0.3">
      <c r="B577" t="s">
        <v>397</v>
      </c>
      <c r="D577">
        <v>175</v>
      </c>
      <c r="E577">
        <v>11168</v>
      </c>
      <c r="F577">
        <v>102</v>
      </c>
    </row>
    <row r="578" spans="2:6" x14ac:dyDescent="0.3">
      <c r="B578" t="s">
        <v>398</v>
      </c>
      <c r="D578">
        <v>207</v>
      </c>
      <c r="E578">
        <v>1600</v>
      </c>
      <c r="F578">
        <v>253</v>
      </c>
    </row>
    <row r="579" spans="2:6" x14ac:dyDescent="0.3">
      <c r="B579" t="s">
        <v>399</v>
      </c>
      <c r="D579">
        <v>207</v>
      </c>
      <c r="E579">
        <v>544</v>
      </c>
      <c r="F579">
        <v>251</v>
      </c>
    </row>
    <row r="580" spans="2:6" x14ac:dyDescent="0.3">
      <c r="B580" t="s">
        <v>400</v>
      </c>
      <c r="D580">
        <v>193</v>
      </c>
      <c r="E580">
        <v>29568</v>
      </c>
      <c r="F580">
        <v>166</v>
      </c>
    </row>
    <row r="581" spans="2:6" x14ac:dyDescent="0.3">
      <c r="B581" t="s">
        <v>401</v>
      </c>
      <c r="D581">
        <v>175</v>
      </c>
      <c r="E581">
        <v>10820</v>
      </c>
      <c r="F581">
        <v>100</v>
      </c>
    </row>
    <row r="582" spans="2:6" x14ac:dyDescent="0.3">
      <c r="B582" t="s">
        <v>402</v>
      </c>
      <c r="D582">
        <v>202</v>
      </c>
      <c r="E582">
        <v>51632</v>
      </c>
      <c r="F582">
        <v>220</v>
      </c>
    </row>
    <row r="583" spans="2:6" x14ac:dyDescent="0.3">
      <c r="B583" t="s">
        <v>403</v>
      </c>
      <c r="D583">
        <v>190</v>
      </c>
      <c r="E583">
        <v>26168</v>
      </c>
      <c r="F583">
        <v>156</v>
      </c>
    </row>
    <row r="584" spans="2:6" x14ac:dyDescent="0.3">
      <c r="B584" t="s">
        <v>404</v>
      </c>
      <c r="D584">
        <v>188</v>
      </c>
      <c r="E584">
        <v>23272</v>
      </c>
      <c r="F584">
        <v>147</v>
      </c>
    </row>
    <row r="585" spans="2:6" x14ac:dyDescent="0.3">
      <c r="B585" t="s">
        <v>405</v>
      </c>
      <c r="D585">
        <v>200</v>
      </c>
      <c r="E585">
        <v>45696</v>
      </c>
      <c r="F585">
        <v>207</v>
      </c>
    </row>
    <row r="586" spans="2:6" x14ac:dyDescent="0.3">
      <c r="B586" t="s">
        <v>406</v>
      </c>
      <c r="D586">
        <v>184</v>
      </c>
      <c r="E586">
        <v>17912</v>
      </c>
      <c r="F586">
        <v>129</v>
      </c>
    </row>
    <row r="587" spans="2:6" x14ac:dyDescent="0.3">
      <c r="B587" t="s">
        <v>407</v>
      </c>
      <c r="D587">
        <v>184</v>
      </c>
      <c r="E587">
        <v>25528</v>
      </c>
      <c r="F587">
        <v>154</v>
      </c>
    </row>
    <row r="588" spans="2:6" x14ac:dyDescent="0.3">
      <c r="B588" t="s">
        <v>408</v>
      </c>
      <c r="D588">
        <v>208</v>
      </c>
      <c r="E588">
        <v>2144</v>
      </c>
      <c r="F588">
        <v>254</v>
      </c>
    </row>
    <row r="589" spans="2:6" x14ac:dyDescent="0.3">
      <c r="B589" t="s">
        <v>409</v>
      </c>
      <c r="D589">
        <v>192</v>
      </c>
      <c r="E589">
        <v>28912</v>
      </c>
      <c r="F589">
        <v>164</v>
      </c>
    </row>
    <row r="590" spans="2:6" x14ac:dyDescent="0.3">
      <c r="B590" t="s">
        <v>410</v>
      </c>
      <c r="D590">
        <v>206</v>
      </c>
      <c r="E590">
        <v>62576</v>
      </c>
      <c r="F590">
        <v>243</v>
      </c>
    </row>
    <row r="591" spans="2:6" x14ac:dyDescent="0.3">
      <c r="B591" t="s">
        <v>411</v>
      </c>
      <c r="D591">
        <v>199</v>
      </c>
      <c r="E591">
        <v>43632</v>
      </c>
      <c r="F591">
        <v>202</v>
      </c>
    </row>
    <row r="592" spans="2:6" x14ac:dyDescent="0.3">
      <c r="B592" t="s">
        <v>412</v>
      </c>
      <c r="D592">
        <v>204</v>
      </c>
      <c r="E592">
        <v>57088</v>
      </c>
      <c r="F592">
        <v>232</v>
      </c>
    </row>
    <row r="593" spans="2:6" x14ac:dyDescent="0.3">
      <c r="B593" t="s">
        <v>413</v>
      </c>
      <c r="D593">
        <v>203</v>
      </c>
      <c r="E593">
        <v>54032</v>
      </c>
      <c r="F593">
        <v>225</v>
      </c>
    </row>
    <row r="594" spans="2:6" x14ac:dyDescent="0.3">
      <c r="B594" t="s">
        <v>414</v>
      </c>
      <c r="D594">
        <v>206</v>
      </c>
      <c r="E594">
        <v>61056</v>
      </c>
      <c r="F594">
        <v>240</v>
      </c>
    </row>
    <row r="595" spans="2:6" x14ac:dyDescent="0.3">
      <c r="B595" t="s">
        <v>415</v>
      </c>
      <c r="D595">
        <v>178</v>
      </c>
      <c r="E595">
        <v>12932</v>
      </c>
      <c r="F595">
        <v>109</v>
      </c>
    </row>
    <row r="596" spans="2:6" x14ac:dyDescent="0.3">
      <c r="B596" t="s">
        <v>416</v>
      </c>
      <c r="D596">
        <v>198</v>
      </c>
      <c r="E596">
        <v>41104</v>
      </c>
      <c r="F596">
        <v>195</v>
      </c>
    </row>
    <row r="597" spans="2:6" x14ac:dyDescent="0.3">
      <c r="B597" t="s">
        <v>417</v>
      </c>
      <c r="D597">
        <v>187</v>
      </c>
      <c r="E597">
        <v>21360</v>
      </c>
      <c r="F597">
        <v>140</v>
      </c>
    </row>
    <row r="598" spans="2:6" x14ac:dyDescent="0.3">
      <c r="B598" t="s">
        <v>418</v>
      </c>
      <c r="D598">
        <v>182</v>
      </c>
      <c r="E598">
        <v>15768</v>
      </c>
      <c r="F598">
        <v>120</v>
      </c>
    </row>
    <row r="599" spans="2:6" x14ac:dyDescent="0.3">
      <c r="B599" t="s">
        <v>419</v>
      </c>
      <c r="D599">
        <v>203</v>
      </c>
      <c r="E599">
        <v>52192</v>
      </c>
      <c r="F599">
        <v>220</v>
      </c>
    </row>
    <row r="600" spans="2:6" x14ac:dyDescent="0.3">
      <c r="B600" t="s">
        <v>420</v>
      </c>
      <c r="D600">
        <v>191</v>
      </c>
      <c r="E600">
        <v>26832</v>
      </c>
      <c r="F600">
        <v>157</v>
      </c>
    </row>
    <row r="601" spans="2:6" x14ac:dyDescent="0.3">
      <c r="B601" t="s">
        <v>421</v>
      </c>
      <c r="D601">
        <v>191</v>
      </c>
      <c r="E601">
        <v>608</v>
      </c>
      <c r="F601">
        <v>249</v>
      </c>
    </row>
    <row r="602" spans="2:6" x14ac:dyDescent="0.3">
      <c r="B602" t="s">
        <v>422</v>
      </c>
      <c r="D602">
        <v>196</v>
      </c>
      <c r="E602">
        <v>35040</v>
      </c>
      <c r="F602">
        <v>180</v>
      </c>
    </row>
    <row r="603" spans="2:6" x14ac:dyDescent="0.3">
      <c r="B603" t="s">
        <v>423</v>
      </c>
      <c r="D603">
        <v>186</v>
      </c>
      <c r="E603">
        <v>20152</v>
      </c>
      <c r="F603">
        <v>136</v>
      </c>
    </row>
    <row r="604" spans="2:6" x14ac:dyDescent="0.3">
      <c r="B604" t="s">
        <v>424</v>
      </c>
      <c r="D604">
        <v>186</v>
      </c>
      <c r="E604">
        <v>30328</v>
      </c>
      <c r="F604">
        <v>167</v>
      </c>
    </row>
    <row r="605" spans="2:6" x14ac:dyDescent="0.3">
      <c r="B605" t="s">
        <v>425</v>
      </c>
      <c r="D605">
        <v>196</v>
      </c>
      <c r="E605">
        <v>34016</v>
      </c>
      <c r="F605">
        <v>177</v>
      </c>
    </row>
    <row r="606" spans="2:6" x14ac:dyDescent="0.3">
      <c r="B606" t="s">
        <v>426</v>
      </c>
      <c r="D606">
        <v>207</v>
      </c>
      <c r="E606">
        <v>384</v>
      </c>
      <c r="F606">
        <v>249</v>
      </c>
    </row>
    <row r="607" spans="2:6" x14ac:dyDescent="0.3">
      <c r="B607" t="s">
        <v>427</v>
      </c>
      <c r="D607">
        <v>197</v>
      </c>
      <c r="E607">
        <v>38544</v>
      </c>
      <c r="F607">
        <v>189</v>
      </c>
    </row>
    <row r="608" spans="2:6" x14ac:dyDescent="0.3">
      <c r="B608" t="s">
        <v>428</v>
      </c>
      <c r="D608">
        <v>182</v>
      </c>
      <c r="E608">
        <v>15180</v>
      </c>
      <c r="F608">
        <v>118</v>
      </c>
    </row>
    <row r="609" spans="2:6" x14ac:dyDescent="0.3">
      <c r="B609" t="s">
        <v>429</v>
      </c>
      <c r="D609">
        <v>205</v>
      </c>
      <c r="E609">
        <v>58208</v>
      </c>
      <c r="F609">
        <v>233</v>
      </c>
    </row>
    <row r="610" spans="2:6" x14ac:dyDescent="0.3">
      <c r="B610" t="s">
        <v>430</v>
      </c>
      <c r="D610">
        <v>202</v>
      </c>
      <c r="E610">
        <v>50048</v>
      </c>
      <c r="F610">
        <v>216</v>
      </c>
    </row>
    <row r="611" spans="2:6" x14ac:dyDescent="0.3">
      <c r="B611" t="s">
        <v>431</v>
      </c>
      <c r="D611">
        <v>208</v>
      </c>
      <c r="E611">
        <v>1280</v>
      </c>
      <c r="F611">
        <v>251</v>
      </c>
    </row>
    <row r="612" spans="2:6" x14ac:dyDescent="0.3">
      <c r="B612" t="s">
        <v>432</v>
      </c>
      <c r="D612">
        <v>200</v>
      </c>
      <c r="E612">
        <v>45216</v>
      </c>
      <c r="F612">
        <v>205</v>
      </c>
    </row>
    <row r="613" spans="2:6" x14ac:dyDescent="0.3">
      <c r="B613" t="s">
        <v>433</v>
      </c>
      <c r="D613">
        <v>184</v>
      </c>
      <c r="E613">
        <v>17648</v>
      </c>
      <c r="F613">
        <v>127</v>
      </c>
    </row>
    <row r="614" spans="2:6" x14ac:dyDescent="0.3">
      <c r="B614" t="s">
        <v>434</v>
      </c>
      <c r="D614">
        <v>184</v>
      </c>
      <c r="E614">
        <v>17408</v>
      </c>
      <c r="F614">
        <v>126</v>
      </c>
    </row>
    <row r="615" spans="2:6" x14ac:dyDescent="0.3">
      <c r="B615" t="s">
        <v>435</v>
      </c>
      <c r="D615">
        <v>208</v>
      </c>
      <c r="E615">
        <v>2912</v>
      </c>
      <c r="F615">
        <v>253</v>
      </c>
    </row>
    <row r="616" spans="2:6" x14ac:dyDescent="0.3">
      <c r="B616" t="s">
        <v>436</v>
      </c>
      <c r="D616">
        <v>201</v>
      </c>
      <c r="E616">
        <v>48048</v>
      </c>
      <c r="F616">
        <v>211</v>
      </c>
    </row>
    <row r="617" spans="2:6" x14ac:dyDescent="0.3">
      <c r="B617" t="s">
        <v>437</v>
      </c>
      <c r="D617">
        <v>178</v>
      </c>
      <c r="E617">
        <v>12776</v>
      </c>
      <c r="F617">
        <v>108</v>
      </c>
    </row>
    <row r="618" spans="2:6" x14ac:dyDescent="0.3">
      <c r="B618" t="s">
        <v>438</v>
      </c>
      <c r="D618">
        <v>207</v>
      </c>
      <c r="E618">
        <v>64928</v>
      </c>
      <c r="F618">
        <v>246</v>
      </c>
    </row>
    <row r="619" spans="2:6" x14ac:dyDescent="0.3">
      <c r="B619" t="s">
        <v>439</v>
      </c>
      <c r="D619">
        <v>189</v>
      </c>
      <c r="E619">
        <v>23280</v>
      </c>
      <c r="F619">
        <v>146</v>
      </c>
    </row>
    <row r="620" spans="2:6" x14ac:dyDescent="0.3">
      <c r="B620" t="s">
        <v>440</v>
      </c>
      <c r="D620">
        <v>203</v>
      </c>
      <c r="E620">
        <v>52672</v>
      </c>
      <c r="F620">
        <v>221</v>
      </c>
    </row>
    <row r="621" spans="2:6" x14ac:dyDescent="0.3">
      <c r="B621" t="s">
        <v>441</v>
      </c>
      <c r="D621">
        <v>192</v>
      </c>
      <c r="E621">
        <v>27560</v>
      </c>
      <c r="F621">
        <v>159</v>
      </c>
    </row>
    <row r="622" spans="2:6" x14ac:dyDescent="0.3">
      <c r="B622" t="s">
        <v>442</v>
      </c>
      <c r="D622">
        <v>192</v>
      </c>
      <c r="E622">
        <v>27256</v>
      </c>
      <c r="F622">
        <v>158</v>
      </c>
    </row>
    <row r="623" spans="2:6" x14ac:dyDescent="0.3">
      <c r="B623" t="s">
        <v>443</v>
      </c>
      <c r="D623">
        <v>191</v>
      </c>
      <c r="E623">
        <v>25920</v>
      </c>
      <c r="F623">
        <v>154</v>
      </c>
    </row>
    <row r="624" spans="2:6" x14ac:dyDescent="0.3">
      <c r="B624" t="s">
        <v>444</v>
      </c>
      <c r="D624">
        <v>193</v>
      </c>
      <c r="E624">
        <v>29376</v>
      </c>
      <c r="F624">
        <v>164</v>
      </c>
    </row>
    <row r="625" spans="2:6" x14ac:dyDescent="0.3">
      <c r="B625" t="s">
        <v>445</v>
      </c>
      <c r="D625">
        <v>184</v>
      </c>
      <c r="E625">
        <v>17976</v>
      </c>
      <c r="F625">
        <v>128</v>
      </c>
    </row>
    <row r="626" spans="2:6" x14ac:dyDescent="0.3">
      <c r="B626" t="s">
        <v>446</v>
      </c>
      <c r="D626">
        <v>206</v>
      </c>
      <c r="E626">
        <v>59472</v>
      </c>
      <c r="F626">
        <v>235</v>
      </c>
    </row>
    <row r="627" spans="2:6" x14ac:dyDescent="0.3">
      <c r="B627" t="s">
        <v>447</v>
      </c>
      <c r="D627">
        <v>183</v>
      </c>
      <c r="E627">
        <v>16824</v>
      </c>
      <c r="F627">
        <v>124</v>
      </c>
    </row>
    <row r="628" spans="2:6" x14ac:dyDescent="0.3">
      <c r="B628" t="s">
        <v>448</v>
      </c>
      <c r="D628">
        <v>199</v>
      </c>
      <c r="E628">
        <v>42544</v>
      </c>
      <c r="F628">
        <v>198</v>
      </c>
    </row>
    <row r="629" spans="2:6" x14ac:dyDescent="0.3">
      <c r="B629" t="s">
        <v>449</v>
      </c>
      <c r="D629">
        <v>189</v>
      </c>
      <c r="E629">
        <v>23304</v>
      </c>
      <c r="F629">
        <v>146</v>
      </c>
    </row>
    <row r="630" spans="2:6" x14ac:dyDescent="0.3">
      <c r="B630" t="s">
        <v>450</v>
      </c>
      <c r="D630">
        <v>198</v>
      </c>
      <c r="E630">
        <v>52672</v>
      </c>
      <c r="F630">
        <v>221</v>
      </c>
    </row>
    <row r="631" spans="2:6" x14ac:dyDescent="0.3">
      <c r="B631" t="s">
        <v>451</v>
      </c>
      <c r="D631">
        <v>199</v>
      </c>
      <c r="E631">
        <v>43248</v>
      </c>
      <c r="F631">
        <v>200</v>
      </c>
    </row>
    <row r="632" spans="2:6" x14ac:dyDescent="0.3">
      <c r="B632" t="s">
        <v>452</v>
      </c>
      <c r="D632">
        <v>206</v>
      </c>
      <c r="E632">
        <v>59712</v>
      </c>
      <c r="F632">
        <v>236</v>
      </c>
    </row>
    <row r="633" spans="2:6" x14ac:dyDescent="0.3">
      <c r="B633" t="s">
        <v>453</v>
      </c>
      <c r="D633">
        <v>207</v>
      </c>
      <c r="E633">
        <v>61632</v>
      </c>
      <c r="F633">
        <v>240</v>
      </c>
    </row>
    <row r="634" spans="2:6" x14ac:dyDescent="0.3">
      <c r="B634" t="s">
        <v>454</v>
      </c>
      <c r="D634">
        <v>206</v>
      </c>
      <c r="E634">
        <v>60288</v>
      </c>
      <c r="F634">
        <v>237</v>
      </c>
    </row>
    <row r="635" spans="2:6" x14ac:dyDescent="0.3">
      <c r="B635" t="s">
        <v>455</v>
      </c>
      <c r="D635">
        <v>203</v>
      </c>
      <c r="E635">
        <v>52272</v>
      </c>
      <c r="F635">
        <v>220</v>
      </c>
    </row>
    <row r="636" spans="2:6" x14ac:dyDescent="0.3">
      <c r="B636" t="s">
        <v>456</v>
      </c>
      <c r="D636">
        <v>204</v>
      </c>
      <c r="E636">
        <v>53280</v>
      </c>
      <c r="F636">
        <v>222</v>
      </c>
    </row>
    <row r="637" spans="2:6" x14ac:dyDescent="0.3">
      <c r="B637" t="s">
        <v>457</v>
      </c>
      <c r="D637">
        <v>179</v>
      </c>
      <c r="E637">
        <v>13320</v>
      </c>
      <c r="F637">
        <v>110</v>
      </c>
    </row>
    <row r="638" spans="2:6" x14ac:dyDescent="0.3">
      <c r="B638" t="s">
        <v>458</v>
      </c>
      <c r="D638">
        <v>202</v>
      </c>
      <c r="E638">
        <v>48400</v>
      </c>
      <c r="F638">
        <v>211</v>
      </c>
    </row>
    <row r="639" spans="2:6" x14ac:dyDescent="0.3">
      <c r="B639" t="s">
        <v>459</v>
      </c>
      <c r="D639">
        <v>190</v>
      </c>
      <c r="E639">
        <v>24992</v>
      </c>
      <c r="F639">
        <v>151</v>
      </c>
    </row>
    <row r="640" spans="2:6" x14ac:dyDescent="0.3">
      <c r="B640" t="s">
        <v>460</v>
      </c>
      <c r="D640">
        <v>200</v>
      </c>
      <c r="E640">
        <v>44000</v>
      </c>
      <c r="F640">
        <v>201</v>
      </c>
    </row>
    <row r="641" spans="2:6" x14ac:dyDescent="0.3">
      <c r="B641" t="s">
        <v>461</v>
      </c>
      <c r="D641">
        <v>177</v>
      </c>
      <c r="E641">
        <v>12136</v>
      </c>
      <c r="F641">
        <v>105</v>
      </c>
    </row>
    <row r="642" spans="2:6" x14ac:dyDescent="0.3">
      <c r="B642" t="s">
        <v>462</v>
      </c>
      <c r="D642">
        <v>180</v>
      </c>
      <c r="E642">
        <v>14096</v>
      </c>
      <c r="F642">
        <v>113</v>
      </c>
    </row>
    <row r="643" spans="2:6" x14ac:dyDescent="0.3">
      <c r="B643" t="s">
        <v>463</v>
      </c>
      <c r="D643">
        <v>198</v>
      </c>
      <c r="E643">
        <v>39072</v>
      </c>
      <c r="F643">
        <v>189</v>
      </c>
    </row>
    <row r="644" spans="2:6" x14ac:dyDescent="0.3">
      <c r="B644" t="s">
        <v>464</v>
      </c>
      <c r="D644">
        <v>198</v>
      </c>
      <c r="E644">
        <v>38192</v>
      </c>
      <c r="F644">
        <v>187</v>
      </c>
    </row>
    <row r="645" spans="2:6" x14ac:dyDescent="0.3">
      <c r="B645" t="s">
        <v>465</v>
      </c>
      <c r="D645">
        <v>180</v>
      </c>
      <c r="E645">
        <v>13796</v>
      </c>
      <c r="F645">
        <v>112</v>
      </c>
    </row>
    <row r="646" spans="2:6" x14ac:dyDescent="0.3">
      <c r="B646" t="s">
        <v>466</v>
      </c>
      <c r="D646">
        <v>185</v>
      </c>
      <c r="E646">
        <v>18080</v>
      </c>
      <c r="F646">
        <v>128</v>
      </c>
    </row>
    <row r="647" spans="2:6" x14ac:dyDescent="0.3">
      <c r="B647" t="s">
        <v>467</v>
      </c>
      <c r="D647">
        <v>200</v>
      </c>
      <c r="E647">
        <v>44480</v>
      </c>
      <c r="F647">
        <v>202</v>
      </c>
    </row>
    <row r="648" spans="2:6" x14ac:dyDescent="0.3">
      <c r="B648" t="s">
        <v>468</v>
      </c>
      <c r="D648">
        <v>194</v>
      </c>
      <c r="E648">
        <v>30520</v>
      </c>
      <c r="F648">
        <v>167</v>
      </c>
    </row>
    <row r="649" spans="2:6" x14ac:dyDescent="0.3">
      <c r="B649" t="s">
        <v>469</v>
      </c>
      <c r="D649">
        <v>181</v>
      </c>
      <c r="E649">
        <v>14324</v>
      </c>
      <c r="F649">
        <v>114</v>
      </c>
    </row>
    <row r="650" spans="2:6" x14ac:dyDescent="0.3">
      <c r="B650" t="s">
        <v>470</v>
      </c>
      <c r="D650">
        <v>188</v>
      </c>
      <c r="E650">
        <v>22504</v>
      </c>
      <c r="F650">
        <v>143</v>
      </c>
    </row>
    <row r="651" spans="2:6" x14ac:dyDescent="0.3">
      <c r="B651" t="s">
        <v>471</v>
      </c>
      <c r="D651">
        <v>203</v>
      </c>
      <c r="E651">
        <v>51104</v>
      </c>
      <c r="F651">
        <v>217</v>
      </c>
    </row>
    <row r="652" spans="2:6" x14ac:dyDescent="0.3">
      <c r="B652" t="s">
        <v>472</v>
      </c>
      <c r="D652">
        <v>201</v>
      </c>
      <c r="E652">
        <v>47776</v>
      </c>
      <c r="F652">
        <v>210</v>
      </c>
    </row>
    <row r="653" spans="2:6" x14ac:dyDescent="0.3">
      <c r="B653" t="s">
        <v>473</v>
      </c>
      <c r="D653">
        <v>187</v>
      </c>
      <c r="E653">
        <v>20584</v>
      </c>
      <c r="F653">
        <v>137</v>
      </c>
    </row>
    <row r="654" spans="2:6" x14ac:dyDescent="0.3">
      <c r="B654" t="s">
        <v>474</v>
      </c>
      <c r="D654">
        <v>188</v>
      </c>
      <c r="E654">
        <v>21840</v>
      </c>
      <c r="F654">
        <v>141</v>
      </c>
    </row>
    <row r="655" spans="2:6" x14ac:dyDescent="0.3">
      <c r="B655" t="s">
        <v>475</v>
      </c>
      <c r="D655">
        <v>208</v>
      </c>
      <c r="E655">
        <v>65488</v>
      </c>
      <c r="F655">
        <v>247</v>
      </c>
    </row>
    <row r="656" spans="2:6" x14ac:dyDescent="0.3">
      <c r="B656" t="s">
        <v>476</v>
      </c>
      <c r="D656">
        <v>204</v>
      </c>
      <c r="E656">
        <v>53632</v>
      </c>
      <c r="F656">
        <v>223</v>
      </c>
    </row>
    <row r="657" spans="2:6" x14ac:dyDescent="0.3">
      <c r="B657" t="s">
        <v>477</v>
      </c>
      <c r="D657">
        <v>203</v>
      </c>
      <c r="E657">
        <v>50880</v>
      </c>
      <c r="F657">
        <v>217</v>
      </c>
    </row>
    <row r="658" spans="2:6" x14ac:dyDescent="0.3">
      <c r="B658" t="s">
        <v>478</v>
      </c>
      <c r="D658">
        <v>184</v>
      </c>
      <c r="E658">
        <v>17144</v>
      </c>
      <c r="F658">
        <v>125</v>
      </c>
    </row>
    <row r="659" spans="2:6" x14ac:dyDescent="0.3">
      <c r="B659" t="s">
        <v>479</v>
      </c>
      <c r="D659">
        <v>207</v>
      </c>
      <c r="E659">
        <v>63936</v>
      </c>
      <c r="F659">
        <v>244</v>
      </c>
    </row>
    <row r="660" spans="2:6" x14ac:dyDescent="0.3">
      <c r="B660" t="s">
        <v>480</v>
      </c>
      <c r="D660">
        <v>198</v>
      </c>
      <c r="E660">
        <v>40496</v>
      </c>
      <c r="F660">
        <v>193</v>
      </c>
    </row>
    <row r="661" spans="2:6" x14ac:dyDescent="0.3">
      <c r="B661" t="s">
        <v>481</v>
      </c>
      <c r="D661">
        <v>200</v>
      </c>
      <c r="E661">
        <v>43872</v>
      </c>
      <c r="F661">
        <v>201</v>
      </c>
    </row>
    <row r="662" spans="2:6" x14ac:dyDescent="0.3">
      <c r="B662" t="s">
        <v>482</v>
      </c>
      <c r="D662">
        <v>202</v>
      </c>
      <c r="E662">
        <v>48672</v>
      </c>
      <c r="F662">
        <v>212</v>
      </c>
    </row>
    <row r="663" spans="2:6" x14ac:dyDescent="0.3">
      <c r="B663" t="s">
        <v>483</v>
      </c>
      <c r="D663">
        <v>198</v>
      </c>
      <c r="E663">
        <v>38448</v>
      </c>
      <c r="F663">
        <v>188</v>
      </c>
    </row>
    <row r="664" spans="2:6" x14ac:dyDescent="0.3">
      <c r="B664" t="s">
        <v>484</v>
      </c>
      <c r="D664">
        <v>207</v>
      </c>
      <c r="E664">
        <v>62352</v>
      </c>
      <c r="F664">
        <v>241</v>
      </c>
    </row>
    <row r="665" spans="2:6" x14ac:dyDescent="0.3">
      <c r="B665" t="s">
        <v>485</v>
      </c>
      <c r="D665">
        <v>202</v>
      </c>
      <c r="E665">
        <v>50400</v>
      </c>
      <c r="F665">
        <v>216</v>
      </c>
    </row>
    <row r="666" spans="2:6" x14ac:dyDescent="0.3">
      <c r="B666" t="s">
        <v>486</v>
      </c>
      <c r="D666">
        <v>180</v>
      </c>
      <c r="E666">
        <v>13576</v>
      </c>
      <c r="F666">
        <v>111</v>
      </c>
    </row>
    <row r="667" spans="2:6" x14ac:dyDescent="0.3">
      <c r="B667" t="s">
        <v>487</v>
      </c>
      <c r="D667">
        <v>199</v>
      </c>
      <c r="E667">
        <v>41520</v>
      </c>
      <c r="F667">
        <v>195</v>
      </c>
    </row>
    <row r="668" spans="2:6" x14ac:dyDescent="0.3">
      <c r="B668" t="s">
        <v>488</v>
      </c>
      <c r="D668">
        <v>186</v>
      </c>
      <c r="E668">
        <v>20040</v>
      </c>
      <c r="F668">
        <v>135</v>
      </c>
    </row>
    <row r="669" spans="2:6" x14ac:dyDescent="0.3">
      <c r="B669" t="s">
        <v>489</v>
      </c>
      <c r="D669">
        <v>186</v>
      </c>
      <c r="E669">
        <v>38240</v>
      </c>
      <c r="F669">
        <v>187</v>
      </c>
    </row>
    <row r="670" spans="2:6" x14ac:dyDescent="0.3">
      <c r="B670" t="s">
        <v>490</v>
      </c>
      <c r="D670">
        <v>208</v>
      </c>
      <c r="E670">
        <v>2624</v>
      </c>
      <c r="F670">
        <v>252</v>
      </c>
    </row>
    <row r="671" spans="2:6" x14ac:dyDescent="0.3">
      <c r="B671" t="s">
        <v>491</v>
      </c>
      <c r="D671">
        <v>185</v>
      </c>
      <c r="E671">
        <v>18848</v>
      </c>
      <c r="F671">
        <v>131</v>
      </c>
    </row>
    <row r="672" spans="2:6" x14ac:dyDescent="0.3">
      <c r="B672" t="s">
        <v>492</v>
      </c>
      <c r="D672">
        <v>199</v>
      </c>
      <c r="E672">
        <v>40624</v>
      </c>
      <c r="F672">
        <v>193</v>
      </c>
    </row>
    <row r="673" spans="2:6" x14ac:dyDescent="0.3">
      <c r="B673" t="s">
        <v>493</v>
      </c>
      <c r="D673">
        <v>193</v>
      </c>
      <c r="E673">
        <v>28072</v>
      </c>
      <c r="F673">
        <v>160</v>
      </c>
    </row>
    <row r="674" spans="2:6" x14ac:dyDescent="0.3">
      <c r="B674" t="s">
        <v>494</v>
      </c>
      <c r="D674">
        <v>208</v>
      </c>
      <c r="E674">
        <v>3104</v>
      </c>
      <c r="F674">
        <v>253</v>
      </c>
    </row>
    <row r="675" spans="2:6" x14ac:dyDescent="0.3">
      <c r="B675" t="s">
        <v>495</v>
      </c>
      <c r="D675">
        <v>206</v>
      </c>
      <c r="E675">
        <v>58640</v>
      </c>
      <c r="F675">
        <v>233</v>
      </c>
    </row>
    <row r="676" spans="2:6" x14ac:dyDescent="0.3">
      <c r="B676" t="s">
        <v>496</v>
      </c>
      <c r="D676">
        <v>191</v>
      </c>
      <c r="E676">
        <v>25720</v>
      </c>
      <c r="F676">
        <v>153</v>
      </c>
    </row>
    <row r="677" spans="2:6" x14ac:dyDescent="0.3">
      <c r="B677" t="s">
        <v>497</v>
      </c>
      <c r="D677">
        <v>203</v>
      </c>
      <c r="E677">
        <v>52624</v>
      </c>
      <c r="F677">
        <v>220</v>
      </c>
    </row>
    <row r="678" spans="2:6" x14ac:dyDescent="0.3">
      <c r="B678" t="s">
        <v>498</v>
      </c>
      <c r="D678">
        <v>191</v>
      </c>
      <c r="E678">
        <v>25432</v>
      </c>
      <c r="F678">
        <v>152</v>
      </c>
    </row>
    <row r="679" spans="2:6" x14ac:dyDescent="0.3">
      <c r="B679" t="s">
        <v>499</v>
      </c>
      <c r="D679">
        <v>203</v>
      </c>
      <c r="E679">
        <v>50368</v>
      </c>
      <c r="F679">
        <v>215</v>
      </c>
    </row>
    <row r="680" spans="2:6" x14ac:dyDescent="0.3">
      <c r="B680" t="s">
        <v>500</v>
      </c>
      <c r="D680">
        <v>191</v>
      </c>
      <c r="E680">
        <v>26432</v>
      </c>
      <c r="F680">
        <v>155</v>
      </c>
    </row>
    <row r="681" spans="2:6" x14ac:dyDescent="0.3">
      <c r="B681" t="s">
        <v>501</v>
      </c>
      <c r="D681">
        <v>201</v>
      </c>
      <c r="E681">
        <v>45456</v>
      </c>
      <c r="F681">
        <v>204</v>
      </c>
    </row>
    <row r="682" spans="2:6" x14ac:dyDescent="0.3">
      <c r="B682" t="s">
        <v>502</v>
      </c>
      <c r="D682">
        <v>201</v>
      </c>
      <c r="E682">
        <v>2688</v>
      </c>
      <c r="F682">
        <v>252</v>
      </c>
    </row>
    <row r="683" spans="2:6" x14ac:dyDescent="0.3">
      <c r="B683" t="s">
        <v>503</v>
      </c>
      <c r="D683">
        <v>199</v>
      </c>
      <c r="E683">
        <v>41456</v>
      </c>
      <c r="F683">
        <v>195</v>
      </c>
    </row>
    <row r="684" spans="2:6" x14ac:dyDescent="0.3">
      <c r="B684" t="s">
        <v>504</v>
      </c>
      <c r="D684">
        <v>206</v>
      </c>
      <c r="E684">
        <v>60192</v>
      </c>
      <c r="F684">
        <v>236</v>
      </c>
    </row>
    <row r="685" spans="2:6" x14ac:dyDescent="0.3">
      <c r="B685" t="s">
        <v>505</v>
      </c>
      <c r="D685">
        <v>194</v>
      </c>
      <c r="E685">
        <v>29544</v>
      </c>
      <c r="F685">
        <v>164</v>
      </c>
    </row>
    <row r="686" spans="2:6" x14ac:dyDescent="0.3">
      <c r="B686" t="s">
        <v>506</v>
      </c>
      <c r="D686">
        <v>190</v>
      </c>
      <c r="E686">
        <v>24144</v>
      </c>
      <c r="F686">
        <v>148</v>
      </c>
    </row>
    <row r="687" spans="2:6" x14ac:dyDescent="0.3">
      <c r="B687" t="s">
        <v>507</v>
      </c>
      <c r="D687">
        <v>208</v>
      </c>
      <c r="E687">
        <v>896</v>
      </c>
      <c r="F687">
        <v>248</v>
      </c>
    </row>
    <row r="688" spans="2:6" x14ac:dyDescent="0.3">
      <c r="B688" t="s">
        <v>508</v>
      </c>
      <c r="D688">
        <v>178</v>
      </c>
      <c r="E688">
        <v>12164</v>
      </c>
      <c r="F688">
        <v>105</v>
      </c>
    </row>
    <row r="689" spans="2:6" x14ac:dyDescent="0.3">
      <c r="B689" t="s">
        <v>509</v>
      </c>
      <c r="D689">
        <v>199</v>
      </c>
      <c r="E689">
        <v>40416</v>
      </c>
      <c r="F689">
        <v>192</v>
      </c>
    </row>
    <row r="690" spans="2:6" x14ac:dyDescent="0.3">
      <c r="B690" t="s">
        <v>510</v>
      </c>
      <c r="D690">
        <v>197</v>
      </c>
      <c r="E690">
        <v>36304</v>
      </c>
      <c r="F690">
        <v>182</v>
      </c>
    </row>
    <row r="691" spans="2:6" x14ac:dyDescent="0.3">
      <c r="B691" t="s">
        <v>511</v>
      </c>
      <c r="D691">
        <v>184</v>
      </c>
      <c r="E691">
        <v>16712</v>
      </c>
      <c r="F691">
        <v>123</v>
      </c>
    </row>
    <row r="692" spans="2:6" x14ac:dyDescent="0.3">
      <c r="B692" t="s">
        <v>512</v>
      </c>
      <c r="D692">
        <v>194</v>
      </c>
      <c r="E692">
        <v>29608</v>
      </c>
      <c r="F692">
        <v>164</v>
      </c>
    </row>
    <row r="693" spans="2:6" x14ac:dyDescent="0.3">
      <c r="B693" t="s">
        <v>513</v>
      </c>
      <c r="D693">
        <v>191</v>
      </c>
      <c r="E693">
        <v>26472</v>
      </c>
      <c r="F693">
        <v>155</v>
      </c>
    </row>
    <row r="694" spans="2:6" x14ac:dyDescent="0.3">
      <c r="B694" t="s">
        <v>514</v>
      </c>
      <c r="D694">
        <v>193</v>
      </c>
      <c r="E694">
        <v>27856</v>
      </c>
      <c r="F694">
        <v>159</v>
      </c>
    </row>
    <row r="695" spans="2:6" x14ac:dyDescent="0.3">
      <c r="B695" t="s">
        <v>515</v>
      </c>
      <c r="D695">
        <v>191</v>
      </c>
      <c r="E695">
        <v>26456</v>
      </c>
      <c r="F695">
        <v>155</v>
      </c>
    </row>
    <row r="696" spans="2:6" x14ac:dyDescent="0.3">
      <c r="B696" t="s">
        <v>516</v>
      </c>
      <c r="D696">
        <v>192</v>
      </c>
      <c r="E696">
        <v>26816</v>
      </c>
      <c r="F696">
        <v>156</v>
      </c>
    </row>
    <row r="697" spans="2:6" x14ac:dyDescent="0.3">
      <c r="B697" t="s">
        <v>517</v>
      </c>
      <c r="D697">
        <v>184</v>
      </c>
      <c r="E697">
        <v>17552</v>
      </c>
      <c r="F697">
        <v>126</v>
      </c>
    </row>
    <row r="698" spans="2:6" x14ac:dyDescent="0.3">
      <c r="B698" t="s">
        <v>518</v>
      </c>
      <c r="D698">
        <v>194</v>
      </c>
      <c r="E698">
        <v>29616</v>
      </c>
      <c r="F698">
        <v>164</v>
      </c>
    </row>
    <row r="699" spans="2:6" x14ac:dyDescent="0.3">
      <c r="B699" t="s">
        <v>519</v>
      </c>
      <c r="D699">
        <v>187</v>
      </c>
      <c r="E699">
        <v>21320</v>
      </c>
      <c r="F699">
        <v>139</v>
      </c>
    </row>
    <row r="700" spans="2:6" x14ac:dyDescent="0.3">
      <c r="B700" t="s">
        <v>512</v>
      </c>
      <c r="D700">
        <v>194</v>
      </c>
      <c r="E700">
        <v>29608</v>
      </c>
      <c r="F700">
        <v>164</v>
      </c>
    </row>
    <row r="701" spans="2:6" x14ac:dyDescent="0.3">
      <c r="B701" t="s">
        <v>520</v>
      </c>
      <c r="D701">
        <v>205</v>
      </c>
      <c r="E701">
        <v>55456</v>
      </c>
      <c r="F701">
        <v>226</v>
      </c>
    </row>
    <row r="702" spans="2:6" x14ac:dyDescent="0.3">
      <c r="B702" t="s">
        <v>521</v>
      </c>
      <c r="D702">
        <v>202</v>
      </c>
      <c r="E702">
        <v>49280</v>
      </c>
      <c r="F702">
        <v>213</v>
      </c>
    </row>
    <row r="703" spans="2:6" x14ac:dyDescent="0.3">
      <c r="B703" t="s">
        <v>522</v>
      </c>
      <c r="D703">
        <v>204</v>
      </c>
      <c r="E703">
        <v>54880</v>
      </c>
      <c r="F703">
        <v>225</v>
      </c>
    </row>
    <row r="704" spans="2:6" x14ac:dyDescent="0.3">
      <c r="B704" t="s">
        <v>523</v>
      </c>
      <c r="D704">
        <v>203</v>
      </c>
      <c r="E704">
        <v>51632</v>
      </c>
      <c r="F704">
        <v>218</v>
      </c>
    </row>
    <row r="705" spans="2:6" x14ac:dyDescent="0.3">
      <c r="B705" t="s">
        <v>524</v>
      </c>
      <c r="D705">
        <v>195</v>
      </c>
      <c r="E705">
        <v>32440</v>
      </c>
      <c r="F705">
        <v>172</v>
      </c>
    </row>
    <row r="706" spans="2:6" x14ac:dyDescent="0.3">
      <c r="B706" t="s">
        <v>525</v>
      </c>
      <c r="D706">
        <v>195</v>
      </c>
      <c r="E706">
        <v>55920</v>
      </c>
      <c r="F706">
        <v>227</v>
      </c>
    </row>
    <row r="707" spans="2:6" x14ac:dyDescent="0.3">
      <c r="B707" t="s">
        <v>526</v>
      </c>
      <c r="D707">
        <v>201</v>
      </c>
      <c r="E707">
        <v>45808</v>
      </c>
      <c r="F707">
        <v>205</v>
      </c>
    </row>
    <row r="708" spans="2:6" x14ac:dyDescent="0.3">
      <c r="B708" t="s">
        <v>527</v>
      </c>
      <c r="D708">
        <v>206</v>
      </c>
      <c r="E708">
        <v>59760</v>
      </c>
      <c r="F708">
        <v>235</v>
      </c>
    </row>
    <row r="709" spans="2:6" x14ac:dyDescent="0.3">
      <c r="B709" t="s">
        <v>528</v>
      </c>
      <c r="D709">
        <v>181</v>
      </c>
      <c r="E709">
        <v>14368</v>
      </c>
      <c r="F709">
        <v>114</v>
      </c>
    </row>
    <row r="710" spans="2:6" x14ac:dyDescent="0.3">
      <c r="B710" t="s">
        <v>529</v>
      </c>
      <c r="D710">
        <v>195</v>
      </c>
      <c r="E710">
        <v>31064</v>
      </c>
      <c r="F710">
        <v>168</v>
      </c>
    </row>
    <row r="711" spans="2:6" x14ac:dyDescent="0.3">
      <c r="B711" t="s">
        <v>530</v>
      </c>
      <c r="D711">
        <v>204</v>
      </c>
      <c r="E711">
        <v>54528</v>
      </c>
      <c r="F711">
        <v>224</v>
      </c>
    </row>
    <row r="712" spans="2:6" x14ac:dyDescent="0.3">
      <c r="B712" t="s">
        <v>531</v>
      </c>
      <c r="D712">
        <v>191</v>
      </c>
      <c r="E712">
        <v>25448</v>
      </c>
      <c r="F712">
        <v>152</v>
      </c>
    </row>
    <row r="713" spans="2:6" x14ac:dyDescent="0.3">
      <c r="B713" t="s">
        <v>532</v>
      </c>
      <c r="D713">
        <v>187</v>
      </c>
      <c r="E713">
        <v>21032</v>
      </c>
      <c r="F713">
        <v>138</v>
      </c>
    </row>
    <row r="714" spans="2:6" x14ac:dyDescent="0.3">
      <c r="B714" t="s">
        <v>533</v>
      </c>
      <c r="D714">
        <v>208</v>
      </c>
      <c r="E714">
        <v>3072</v>
      </c>
      <c r="F714">
        <v>252</v>
      </c>
    </row>
    <row r="715" spans="2:6" x14ac:dyDescent="0.3">
      <c r="B715" t="s">
        <v>534</v>
      </c>
      <c r="D715">
        <v>184</v>
      </c>
      <c r="E715">
        <v>17520</v>
      </c>
      <c r="F715">
        <v>126</v>
      </c>
    </row>
    <row r="716" spans="2:6" x14ac:dyDescent="0.3">
      <c r="B716" t="s">
        <v>535</v>
      </c>
      <c r="D716">
        <v>198</v>
      </c>
      <c r="E716">
        <v>38752</v>
      </c>
      <c r="F716">
        <v>188</v>
      </c>
    </row>
    <row r="717" spans="2:6" x14ac:dyDescent="0.3">
      <c r="B717" t="s">
        <v>536</v>
      </c>
      <c r="D717">
        <v>208</v>
      </c>
      <c r="E717">
        <v>65216</v>
      </c>
      <c r="F717">
        <v>246</v>
      </c>
    </row>
    <row r="718" spans="2:6" x14ac:dyDescent="0.3">
      <c r="B718" t="s">
        <v>537</v>
      </c>
      <c r="D718">
        <v>198</v>
      </c>
      <c r="E718">
        <v>39424</v>
      </c>
      <c r="F718">
        <v>190</v>
      </c>
    </row>
    <row r="719" spans="2:6" x14ac:dyDescent="0.3">
      <c r="B719" t="s">
        <v>538</v>
      </c>
      <c r="D719">
        <v>198</v>
      </c>
      <c r="E719">
        <v>43248</v>
      </c>
      <c r="F719">
        <v>199</v>
      </c>
    </row>
    <row r="720" spans="2:6" x14ac:dyDescent="0.3">
      <c r="B720" t="s">
        <v>539</v>
      </c>
      <c r="D720">
        <v>198</v>
      </c>
      <c r="E720">
        <v>38720</v>
      </c>
      <c r="F720">
        <v>188</v>
      </c>
    </row>
    <row r="721" spans="2:6" x14ac:dyDescent="0.3">
      <c r="B721" t="s">
        <v>540</v>
      </c>
      <c r="D721">
        <v>198</v>
      </c>
      <c r="E721">
        <v>39552</v>
      </c>
      <c r="F721">
        <v>190</v>
      </c>
    </row>
    <row r="722" spans="2:6" x14ac:dyDescent="0.3">
      <c r="B722" t="s">
        <v>541</v>
      </c>
      <c r="D722">
        <v>205</v>
      </c>
      <c r="E722">
        <v>55488</v>
      </c>
      <c r="F722">
        <v>226</v>
      </c>
    </row>
    <row r="723" spans="2:6" x14ac:dyDescent="0.3">
      <c r="B723" t="s">
        <v>542</v>
      </c>
      <c r="D723">
        <v>182</v>
      </c>
      <c r="E723">
        <v>14620</v>
      </c>
      <c r="F723">
        <v>115</v>
      </c>
    </row>
    <row r="724" spans="2:6" x14ac:dyDescent="0.3">
      <c r="B724" t="s">
        <v>543</v>
      </c>
      <c r="D724">
        <v>199</v>
      </c>
      <c r="E724">
        <v>40448</v>
      </c>
      <c r="F724">
        <v>192</v>
      </c>
    </row>
    <row r="725" spans="2:6" x14ac:dyDescent="0.3">
      <c r="B725" t="s">
        <v>544</v>
      </c>
      <c r="D725">
        <v>204</v>
      </c>
      <c r="E725">
        <v>52640</v>
      </c>
      <c r="F725">
        <v>220</v>
      </c>
    </row>
    <row r="726" spans="2:6" x14ac:dyDescent="0.3">
      <c r="B726" t="s">
        <v>545</v>
      </c>
      <c r="D726">
        <v>187</v>
      </c>
      <c r="E726">
        <v>20712</v>
      </c>
      <c r="F726">
        <v>137</v>
      </c>
    </row>
    <row r="727" spans="2:6" x14ac:dyDescent="0.3">
      <c r="B727" t="s">
        <v>546</v>
      </c>
      <c r="D727">
        <v>183</v>
      </c>
      <c r="E727">
        <v>15704</v>
      </c>
      <c r="F727">
        <v>119</v>
      </c>
    </row>
    <row r="728" spans="2:6" x14ac:dyDescent="0.3">
      <c r="B728" t="s">
        <v>547</v>
      </c>
      <c r="D728">
        <v>189</v>
      </c>
      <c r="E728">
        <v>22920</v>
      </c>
      <c r="F728">
        <v>144</v>
      </c>
    </row>
    <row r="729" spans="2:6" x14ac:dyDescent="0.3">
      <c r="B729" t="s">
        <v>548</v>
      </c>
      <c r="D729">
        <v>185</v>
      </c>
      <c r="E729">
        <v>18992</v>
      </c>
      <c r="F729">
        <v>131</v>
      </c>
    </row>
    <row r="730" spans="2:6" x14ac:dyDescent="0.3">
      <c r="B730" t="s">
        <v>549</v>
      </c>
      <c r="D730">
        <v>176</v>
      </c>
      <c r="E730">
        <v>11340</v>
      </c>
      <c r="F730">
        <v>101</v>
      </c>
    </row>
    <row r="731" spans="2:6" x14ac:dyDescent="0.3">
      <c r="B731" t="s">
        <v>550</v>
      </c>
      <c r="D731">
        <v>176</v>
      </c>
      <c r="E731">
        <v>46000</v>
      </c>
      <c r="F731">
        <v>205</v>
      </c>
    </row>
    <row r="732" spans="2:6" x14ac:dyDescent="0.3">
      <c r="B732" t="s">
        <v>551</v>
      </c>
      <c r="D732">
        <v>208</v>
      </c>
      <c r="E732">
        <v>2240</v>
      </c>
      <c r="F732">
        <v>251</v>
      </c>
    </row>
    <row r="733" spans="2:6" x14ac:dyDescent="0.3">
      <c r="B733" t="s">
        <v>552</v>
      </c>
      <c r="D733">
        <v>177</v>
      </c>
      <c r="E733">
        <v>11776</v>
      </c>
      <c r="F733">
        <v>103</v>
      </c>
    </row>
    <row r="734" spans="2:6" x14ac:dyDescent="0.3">
      <c r="B734" t="s">
        <v>553</v>
      </c>
      <c r="D734">
        <v>208</v>
      </c>
      <c r="E734">
        <v>1760</v>
      </c>
      <c r="F734">
        <v>250</v>
      </c>
    </row>
    <row r="735" spans="2:6" x14ac:dyDescent="0.3">
      <c r="B735" t="s">
        <v>554</v>
      </c>
      <c r="D735">
        <v>192</v>
      </c>
      <c r="E735">
        <v>26760</v>
      </c>
      <c r="F735">
        <v>156</v>
      </c>
    </row>
    <row r="736" spans="2:6" x14ac:dyDescent="0.3">
      <c r="B736" t="s">
        <v>555</v>
      </c>
      <c r="D736">
        <v>201</v>
      </c>
      <c r="E736">
        <v>45856</v>
      </c>
      <c r="F736">
        <v>205</v>
      </c>
    </row>
    <row r="737" spans="2:6" x14ac:dyDescent="0.3">
      <c r="B737" t="s">
        <v>556</v>
      </c>
      <c r="D737">
        <v>197</v>
      </c>
      <c r="E737">
        <v>36256</v>
      </c>
      <c r="F737">
        <v>182</v>
      </c>
    </row>
    <row r="738" spans="2:6" x14ac:dyDescent="0.3">
      <c r="B738" t="s">
        <v>557</v>
      </c>
      <c r="D738">
        <v>208</v>
      </c>
      <c r="E738">
        <v>3520</v>
      </c>
      <c r="F738">
        <v>254</v>
      </c>
    </row>
    <row r="739" spans="2:6" x14ac:dyDescent="0.3">
      <c r="B739" t="s">
        <v>558</v>
      </c>
      <c r="D739">
        <v>202</v>
      </c>
      <c r="E739">
        <v>49168</v>
      </c>
      <c r="F739">
        <v>213</v>
      </c>
    </row>
    <row r="740" spans="2:6" x14ac:dyDescent="0.3">
      <c r="B740" t="s">
        <v>559</v>
      </c>
      <c r="D740">
        <v>195</v>
      </c>
      <c r="E740">
        <v>30608</v>
      </c>
      <c r="F740">
        <v>167</v>
      </c>
    </row>
    <row r="741" spans="2:6" x14ac:dyDescent="0.3">
      <c r="B741" t="s">
        <v>560</v>
      </c>
      <c r="D741">
        <v>207</v>
      </c>
      <c r="E741">
        <v>61120</v>
      </c>
      <c r="F741">
        <v>238</v>
      </c>
    </row>
    <row r="742" spans="2:6" x14ac:dyDescent="0.3">
      <c r="B742" t="s">
        <v>561</v>
      </c>
      <c r="D742">
        <v>195</v>
      </c>
      <c r="E742">
        <v>30240</v>
      </c>
      <c r="F742">
        <v>166</v>
      </c>
    </row>
    <row r="743" spans="2:6" x14ac:dyDescent="0.3">
      <c r="B743" t="s">
        <v>562</v>
      </c>
      <c r="D743">
        <v>183</v>
      </c>
      <c r="E743">
        <v>15412</v>
      </c>
      <c r="F743">
        <v>118</v>
      </c>
    </row>
    <row r="744" spans="2:6" x14ac:dyDescent="0.3">
      <c r="B744" t="s">
        <v>563</v>
      </c>
      <c r="D744">
        <v>195</v>
      </c>
      <c r="E744">
        <v>30312</v>
      </c>
      <c r="F744">
        <v>166</v>
      </c>
    </row>
    <row r="745" spans="2:6" x14ac:dyDescent="0.3">
      <c r="B745" t="s">
        <v>564</v>
      </c>
      <c r="D745">
        <v>176</v>
      </c>
      <c r="E745">
        <v>11060</v>
      </c>
      <c r="F745">
        <v>100</v>
      </c>
    </row>
    <row r="746" spans="2:6" x14ac:dyDescent="0.3">
      <c r="B746" t="s">
        <v>565</v>
      </c>
      <c r="D746">
        <v>176</v>
      </c>
      <c r="E746">
        <v>63808</v>
      </c>
      <c r="F746">
        <v>243</v>
      </c>
    </row>
    <row r="747" spans="2:6" x14ac:dyDescent="0.3">
      <c r="B747" t="s">
        <v>566</v>
      </c>
      <c r="D747">
        <v>183</v>
      </c>
      <c r="E747">
        <v>16384</v>
      </c>
      <c r="F747">
        <v>122</v>
      </c>
    </row>
    <row r="748" spans="2:6" x14ac:dyDescent="0.3">
      <c r="B748" t="s">
        <v>567</v>
      </c>
      <c r="D748">
        <v>199</v>
      </c>
      <c r="E748">
        <v>41552</v>
      </c>
      <c r="F748">
        <v>195</v>
      </c>
    </row>
    <row r="749" spans="2:6" x14ac:dyDescent="0.3">
      <c r="B749" t="s">
        <v>568</v>
      </c>
      <c r="D749">
        <v>199</v>
      </c>
      <c r="E749">
        <v>52</v>
      </c>
      <c r="F749">
        <v>0</v>
      </c>
    </row>
    <row r="750" spans="2:6" x14ac:dyDescent="0.3">
      <c r="B750" t="s">
        <v>569</v>
      </c>
      <c r="D750">
        <v>50</v>
      </c>
      <c r="E750">
        <v>52</v>
      </c>
      <c r="F750">
        <v>1</v>
      </c>
    </row>
    <row r="751" spans="2:6" x14ac:dyDescent="0.3">
      <c r="B751" t="s">
        <v>570</v>
      </c>
      <c r="D751">
        <v>130</v>
      </c>
      <c r="E751">
        <v>1248</v>
      </c>
      <c r="F751">
        <v>1</v>
      </c>
    </row>
    <row r="752" spans="2:6" x14ac:dyDescent="0.3">
      <c r="B752" t="s">
        <v>571</v>
      </c>
      <c r="D752">
        <v>126</v>
      </c>
      <c r="E752">
        <v>1524</v>
      </c>
      <c r="F752">
        <v>1</v>
      </c>
    </row>
    <row r="753" spans="2:6" x14ac:dyDescent="0.3">
      <c r="B753" t="s">
        <v>572</v>
      </c>
      <c r="D753">
        <v>123</v>
      </c>
      <c r="E753">
        <v>1241</v>
      </c>
      <c r="F753">
        <v>1</v>
      </c>
    </row>
    <row r="754" spans="2:6" x14ac:dyDescent="0.3">
      <c r="B754" t="s">
        <v>573</v>
      </c>
      <c r="D754">
        <v>113</v>
      </c>
      <c r="E754">
        <v>802</v>
      </c>
      <c r="F754">
        <v>1</v>
      </c>
    </row>
    <row r="755" spans="2:6" x14ac:dyDescent="0.3">
      <c r="B755" t="s">
        <v>574</v>
      </c>
      <c r="D755">
        <v>174</v>
      </c>
      <c r="E755">
        <v>22888</v>
      </c>
      <c r="F755">
        <v>1</v>
      </c>
    </row>
    <row r="756" spans="2:6" x14ac:dyDescent="0.3">
      <c r="B756" t="s">
        <v>575</v>
      </c>
      <c r="D756">
        <v>168</v>
      </c>
      <c r="E756">
        <v>18984</v>
      </c>
      <c r="F756">
        <v>1</v>
      </c>
    </row>
    <row r="757" spans="2:6" x14ac:dyDescent="0.3">
      <c r="B757" t="s">
        <v>576</v>
      </c>
      <c r="D757">
        <v>173</v>
      </c>
      <c r="E757">
        <v>22368</v>
      </c>
      <c r="F757">
        <v>1</v>
      </c>
    </row>
    <row r="758" spans="2:6" x14ac:dyDescent="0.3">
      <c r="B758" t="s">
        <v>577</v>
      </c>
      <c r="D758">
        <v>175</v>
      </c>
      <c r="E758">
        <v>23792</v>
      </c>
      <c r="F758">
        <v>1</v>
      </c>
    </row>
    <row r="759" spans="2:6" x14ac:dyDescent="0.3">
      <c r="B759" t="s">
        <v>578</v>
      </c>
      <c r="D759">
        <v>166</v>
      </c>
      <c r="E759">
        <v>14116</v>
      </c>
      <c r="F759">
        <v>1</v>
      </c>
    </row>
    <row r="760" spans="2:6" x14ac:dyDescent="0.3">
      <c r="B760" t="s">
        <v>579</v>
      </c>
      <c r="D760">
        <v>173</v>
      </c>
      <c r="E760">
        <v>21032</v>
      </c>
      <c r="F760">
        <v>1</v>
      </c>
    </row>
    <row r="761" spans="2:6" x14ac:dyDescent="0.3">
      <c r="B761" t="s">
        <v>580</v>
      </c>
      <c r="D761">
        <v>175</v>
      </c>
      <c r="E761">
        <v>25840</v>
      </c>
      <c r="F761">
        <v>1</v>
      </c>
    </row>
    <row r="762" spans="2:6" x14ac:dyDescent="0.3">
      <c r="B762" t="s">
        <v>581</v>
      </c>
      <c r="D762">
        <v>176</v>
      </c>
      <c r="E762">
        <v>28720</v>
      </c>
      <c r="F762">
        <v>1</v>
      </c>
    </row>
    <row r="763" spans="2:6" x14ac:dyDescent="0.3">
      <c r="B763" t="s">
        <v>582</v>
      </c>
      <c r="D763">
        <v>180</v>
      </c>
      <c r="E763">
        <v>34608</v>
      </c>
      <c r="F763">
        <v>1</v>
      </c>
    </row>
    <row r="764" spans="2:6" x14ac:dyDescent="0.3">
      <c r="B764" t="s">
        <v>583</v>
      </c>
      <c r="D764">
        <v>169</v>
      </c>
      <c r="E764">
        <v>36048</v>
      </c>
      <c r="F764">
        <v>1</v>
      </c>
    </row>
    <row r="765" spans="2:6" x14ac:dyDescent="0.3">
      <c r="B765" t="s">
        <v>584</v>
      </c>
      <c r="D765">
        <v>169</v>
      </c>
      <c r="E765">
        <v>38880</v>
      </c>
      <c r="F765">
        <v>1</v>
      </c>
    </row>
    <row r="766" spans="2:6" x14ac:dyDescent="0.3">
      <c r="B766" t="s">
        <v>585</v>
      </c>
      <c r="D766">
        <v>183</v>
      </c>
      <c r="E766">
        <v>43312</v>
      </c>
      <c r="F766">
        <v>1</v>
      </c>
    </row>
    <row r="767" spans="2:6" x14ac:dyDescent="0.3">
      <c r="B767" t="s">
        <v>586</v>
      </c>
      <c r="D767">
        <v>163</v>
      </c>
      <c r="E767">
        <v>27064</v>
      </c>
      <c r="F767">
        <v>1</v>
      </c>
    </row>
    <row r="768" spans="2:6" x14ac:dyDescent="0.3">
      <c r="B768" t="s">
        <v>587</v>
      </c>
      <c r="D768">
        <v>185</v>
      </c>
      <c r="E768">
        <v>52320</v>
      </c>
      <c r="F768">
        <v>1</v>
      </c>
    </row>
    <row r="769" spans="2:6" x14ac:dyDescent="0.3">
      <c r="B769" t="s">
        <v>588</v>
      </c>
      <c r="D769">
        <v>173</v>
      </c>
      <c r="E769">
        <v>25368</v>
      </c>
      <c r="F769">
        <v>1</v>
      </c>
    </row>
    <row r="770" spans="2:6" x14ac:dyDescent="0.3">
      <c r="B770" t="s">
        <v>589</v>
      </c>
      <c r="D770">
        <v>171</v>
      </c>
      <c r="E770">
        <v>53712</v>
      </c>
      <c r="F770">
        <v>1</v>
      </c>
    </row>
    <row r="771" spans="2:6" x14ac:dyDescent="0.3">
      <c r="B771" t="s">
        <v>590</v>
      </c>
      <c r="D771">
        <v>175</v>
      </c>
      <c r="E771">
        <v>55264</v>
      </c>
      <c r="F771">
        <v>1</v>
      </c>
    </row>
    <row r="772" spans="2:6" x14ac:dyDescent="0.3">
      <c r="B772" t="s">
        <v>591</v>
      </c>
      <c r="D772">
        <v>170</v>
      </c>
      <c r="E772">
        <v>18928</v>
      </c>
      <c r="F772">
        <v>1</v>
      </c>
    </row>
    <row r="773" spans="2:6" x14ac:dyDescent="0.3">
      <c r="B773" t="s">
        <v>592</v>
      </c>
      <c r="D773">
        <v>170</v>
      </c>
      <c r="E773">
        <v>20088</v>
      </c>
      <c r="F773">
        <v>1</v>
      </c>
    </row>
    <row r="774" spans="2:6" x14ac:dyDescent="0.3">
      <c r="B774" t="s">
        <v>593</v>
      </c>
      <c r="D774">
        <v>173</v>
      </c>
      <c r="E774">
        <v>59808</v>
      </c>
      <c r="F774">
        <v>1</v>
      </c>
    </row>
    <row r="775" spans="2:6" x14ac:dyDescent="0.3">
      <c r="B775" t="s">
        <v>594</v>
      </c>
      <c r="D775">
        <v>179</v>
      </c>
      <c r="E775">
        <v>44320</v>
      </c>
      <c r="F775">
        <v>1</v>
      </c>
    </row>
    <row r="776" spans="2:6" x14ac:dyDescent="0.3">
      <c r="B776" t="s">
        <v>595</v>
      </c>
      <c r="D776">
        <v>185</v>
      </c>
      <c r="E776">
        <v>47872</v>
      </c>
      <c r="F776">
        <v>1</v>
      </c>
    </row>
    <row r="777" spans="2:6" x14ac:dyDescent="0.3">
      <c r="B777" t="s">
        <v>596</v>
      </c>
      <c r="D777">
        <v>185</v>
      </c>
      <c r="E777">
        <v>61376</v>
      </c>
      <c r="F777">
        <v>1</v>
      </c>
    </row>
    <row r="778" spans="2:6" x14ac:dyDescent="0.3">
      <c r="B778" t="s">
        <v>597</v>
      </c>
      <c r="D778">
        <v>173</v>
      </c>
      <c r="E778">
        <v>22816</v>
      </c>
      <c r="F778">
        <v>1</v>
      </c>
    </row>
    <row r="779" spans="2:6" x14ac:dyDescent="0.3">
      <c r="B779" t="s">
        <v>598</v>
      </c>
      <c r="D779">
        <v>179</v>
      </c>
      <c r="E779">
        <v>30088</v>
      </c>
      <c r="F779">
        <v>1</v>
      </c>
    </row>
    <row r="781" spans="2:6" x14ac:dyDescent="0.3">
      <c r="B781" t="s">
        <v>599</v>
      </c>
      <c r="D781">
        <v>173</v>
      </c>
      <c r="E781">
        <v>23560</v>
      </c>
      <c r="F781">
        <v>1</v>
      </c>
    </row>
    <row r="782" spans="2:6" x14ac:dyDescent="0.3">
      <c r="B782" t="s">
        <v>600</v>
      </c>
      <c r="D782">
        <v>177</v>
      </c>
      <c r="E782">
        <v>24464</v>
      </c>
      <c r="F782">
        <v>1</v>
      </c>
    </row>
    <row r="783" spans="2:6" x14ac:dyDescent="0.3">
      <c r="B783" t="s">
        <v>601</v>
      </c>
      <c r="D783">
        <v>165</v>
      </c>
      <c r="E783">
        <v>16368</v>
      </c>
      <c r="F783">
        <v>1</v>
      </c>
    </row>
    <row r="784" spans="2:6" x14ac:dyDescent="0.3">
      <c r="B784" t="s">
        <v>602</v>
      </c>
      <c r="D784">
        <v>169</v>
      </c>
      <c r="E784">
        <v>16664</v>
      </c>
      <c r="F784">
        <v>1</v>
      </c>
    </row>
    <row r="785" spans="2:6" x14ac:dyDescent="0.3">
      <c r="B785" t="s">
        <v>603</v>
      </c>
      <c r="D785">
        <v>165</v>
      </c>
      <c r="E785">
        <v>13308</v>
      </c>
      <c r="F785">
        <v>1</v>
      </c>
    </row>
    <row r="786" spans="2:6" x14ac:dyDescent="0.3">
      <c r="B786" t="s">
        <v>604</v>
      </c>
      <c r="D786">
        <v>163</v>
      </c>
      <c r="E786">
        <v>11852</v>
      </c>
      <c r="F786">
        <v>1</v>
      </c>
    </row>
    <row r="787" spans="2:6" x14ac:dyDescent="0.3">
      <c r="B787" t="s">
        <v>605</v>
      </c>
      <c r="D787">
        <v>167</v>
      </c>
      <c r="E787">
        <v>15648</v>
      </c>
      <c r="F787">
        <v>1</v>
      </c>
    </row>
    <row r="788" spans="2:6" x14ac:dyDescent="0.3">
      <c r="B788" t="s">
        <v>606</v>
      </c>
      <c r="D788">
        <v>166</v>
      </c>
      <c r="E788">
        <v>16076</v>
      </c>
      <c r="F788">
        <v>1</v>
      </c>
    </row>
    <row r="789" spans="2:6" x14ac:dyDescent="0.3">
      <c r="B789" t="s">
        <v>607</v>
      </c>
      <c r="D789">
        <v>163</v>
      </c>
      <c r="E789">
        <v>18072</v>
      </c>
      <c r="F789">
        <v>1</v>
      </c>
    </row>
    <row r="790" spans="2:6" x14ac:dyDescent="0.3">
      <c r="B790" t="s">
        <v>608</v>
      </c>
      <c r="D790">
        <v>167</v>
      </c>
      <c r="E790">
        <v>15284</v>
      </c>
      <c r="F790">
        <v>1</v>
      </c>
    </row>
    <row r="791" spans="2:6" x14ac:dyDescent="0.3">
      <c r="B791" t="s">
        <v>609</v>
      </c>
      <c r="D791">
        <v>166</v>
      </c>
      <c r="E791">
        <v>15284</v>
      </c>
      <c r="F791">
        <v>1</v>
      </c>
    </row>
    <row r="792" spans="2:6" x14ac:dyDescent="0.3">
      <c r="B792" t="s">
        <v>610</v>
      </c>
      <c r="D792">
        <v>166</v>
      </c>
      <c r="E792">
        <v>13768</v>
      </c>
      <c r="F792">
        <v>1</v>
      </c>
    </row>
    <row r="793" spans="2:6" x14ac:dyDescent="0.3">
      <c r="B793" t="s">
        <v>611</v>
      </c>
      <c r="D793">
        <v>166</v>
      </c>
      <c r="E793">
        <v>33040</v>
      </c>
      <c r="F793">
        <v>1</v>
      </c>
    </row>
    <row r="794" spans="2:6" x14ac:dyDescent="0.3">
      <c r="B794" t="s">
        <v>612</v>
      </c>
      <c r="D794">
        <v>169</v>
      </c>
      <c r="E794">
        <v>14268</v>
      </c>
      <c r="F794">
        <v>1</v>
      </c>
    </row>
    <row r="795" spans="2:6" x14ac:dyDescent="0.3">
      <c r="B795" t="s">
        <v>613</v>
      </c>
      <c r="D795">
        <v>165</v>
      </c>
      <c r="E795">
        <v>15800</v>
      </c>
      <c r="F795">
        <v>1</v>
      </c>
    </row>
    <row r="796" spans="2:6" x14ac:dyDescent="0.3">
      <c r="B796" t="s">
        <v>614</v>
      </c>
      <c r="D796">
        <v>161</v>
      </c>
      <c r="E796">
        <v>9992</v>
      </c>
      <c r="F796">
        <v>1</v>
      </c>
    </row>
    <row r="797" spans="2:6" x14ac:dyDescent="0.3">
      <c r="B797" t="s">
        <v>615</v>
      </c>
      <c r="D797">
        <v>159</v>
      </c>
      <c r="E797">
        <v>16960</v>
      </c>
      <c r="F797">
        <v>1</v>
      </c>
    </row>
    <row r="798" spans="2:6" x14ac:dyDescent="0.3">
      <c r="B798" t="s">
        <v>616</v>
      </c>
      <c r="D798">
        <v>161</v>
      </c>
      <c r="E798">
        <v>9420</v>
      </c>
      <c r="F798">
        <v>1</v>
      </c>
    </row>
    <row r="799" spans="2:6" x14ac:dyDescent="0.3">
      <c r="B799" t="s">
        <v>617</v>
      </c>
      <c r="D799">
        <v>153</v>
      </c>
      <c r="E799">
        <v>7972</v>
      </c>
      <c r="F799">
        <v>1</v>
      </c>
    </row>
    <row r="800" spans="2:6" x14ac:dyDescent="0.3">
      <c r="B800" t="s">
        <v>618</v>
      </c>
      <c r="D800">
        <v>149</v>
      </c>
      <c r="E800">
        <v>5530</v>
      </c>
      <c r="F800">
        <v>1</v>
      </c>
    </row>
    <row r="801" spans="2:6" x14ac:dyDescent="0.3">
      <c r="B801" t="s">
        <v>619</v>
      </c>
      <c r="D801">
        <v>152</v>
      </c>
      <c r="E801">
        <v>6204</v>
      </c>
      <c r="F801">
        <v>1</v>
      </c>
    </row>
    <row r="802" spans="2:6" x14ac:dyDescent="0.3">
      <c r="B802" t="s">
        <v>620</v>
      </c>
      <c r="D802">
        <v>152</v>
      </c>
      <c r="E802">
        <v>6838</v>
      </c>
      <c r="F802">
        <v>1</v>
      </c>
    </row>
    <row r="803" spans="2:6" x14ac:dyDescent="0.3">
      <c r="B803" t="s">
        <v>621</v>
      </c>
      <c r="D803">
        <v>148</v>
      </c>
      <c r="E803">
        <v>4860</v>
      </c>
      <c r="F803">
        <v>1</v>
      </c>
    </row>
    <row r="804" spans="2:6" x14ac:dyDescent="0.3">
      <c r="B804" t="s">
        <v>622</v>
      </c>
      <c r="D804">
        <v>147</v>
      </c>
      <c r="E804">
        <v>5494</v>
      </c>
      <c r="F804">
        <v>1</v>
      </c>
    </row>
    <row r="805" spans="2:6" x14ac:dyDescent="0.3">
      <c r="B805" t="s">
        <v>622</v>
      </c>
      <c r="D805">
        <v>147</v>
      </c>
      <c r="E805">
        <v>5494</v>
      </c>
      <c r="F805">
        <v>1</v>
      </c>
    </row>
    <row r="806" spans="2:6" x14ac:dyDescent="0.3">
      <c r="B806" t="s">
        <v>623</v>
      </c>
      <c r="D806">
        <v>139</v>
      </c>
      <c r="E806">
        <v>3386</v>
      </c>
      <c r="F806">
        <v>1</v>
      </c>
    </row>
    <row r="807" spans="2:6" x14ac:dyDescent="0.3">
      <c r="B807" t="s">
        <v>624</v>
      </c>
      <c r="D807">
        <v>151</v>
      </c>
      <c r="E807">
        <v>4624</v>
      </c>
      <c r="F807">
        <v>1</v>
      </c>
    </row>
    <row r="808" spans="2:6" x14ac:dyDescent="0.3">
      <c r="B808" t="s">
        <v>625</v>
      </c>
      <c r="D808">
        <v>160</v>
      </c>
      <c r="E808">
        <v>8584</v>
      </c>
      <c r="F808">
        <v>1</v>
      </c>
    </row>
    <row r="809" spans="2:6" x14ac:dyDescent="0.3">
      <c r="B809" t="s">
        <v>626</v>
      </c>
      <c r="D809">
        <v>160</v>
      </c>
      <c r="E809">
        <v>8808</v>
      </c>
      <c r="F809">
        <v>1</v>
      </c>
    </row>
    <row r="810" spans="2:6" x14ac:dyDescent="0.3">
      <c r="B810" t="s">
        <v>627</v>
      </c>
      <c r="D810">
        <v>161</v>
      </c>
      <c r="E810">
        <v>10968</v>
      </c>
      <c r="F810">
        <v>1</v>
      </c>
    </row>
    <row r="811" spans="2:6" x14ac:dyDescent="0.3">
      <c r="B811" t="s">
        <v>628</v>
      </c>
      <c r="D811">
        <v>159</v>
      </c>
      <c r="E811">
        <v>8952</v>
      </c>
      <c r="F811">
        <v>1</v>
      </c>
    </row>
    <row r="812" spans="2:6" x14ac:dyDescent="0.3">
      <c r="B812" t="s">
        <v>629</v>
      </c>
      <c r="D812">
        <v>160</v>
      </c>
      <c r="E812">
        <v>10624</v>
      </c>
      <c r="F812">
        <v>1</v>
      </c>
    </row>
    <row r="813" spans="2:6" x14ac:dyDescent="0.3">
      <c r="B813" t="s">
        <v>630</v>
      </c>
      <c r="D813">
        <v>159</v>
      </c>
      <c r="E813">
        <v>8888</v>
      </c>
      <c r="F813">
        <v>1</v>
      </c>
    </row>
    <row r="814" spans="2:6" x14ac:dyDescent="0.3">
      <c r="B814" t="s">
        <v>631</v>
      </c>
      <c r="D814">
        <v>157</v>
      </c>
      <c r="E814">
        <v>11044</v>
      </c>
      <c r="F814">
        <v>1</v>
      </c>
    </row>
    <row r="815" spans="2:6" x14ac:dyDescent="0.3">
      <c r="B815" t="s">
        <v>632</v>
      </c>
      <c r="D815">
        <v>158</v>
      </c>
      <c r="E815">
        <v>8688</v>
      </c>
      <c r="F815">
        <v>1</v>
      </c>
    </row>
    <row r="816" spans="2:6" x14ac:dyDescent="0.3">
      <c r="B816" t="s">
        <v>633</v>
      </c>
      <c r="D816">
        <v>154</v>
      </c>
      <c r="E816">
        <v>7748</v>
      </c>
      <c r="F816">
        <v>1</v>
      </c>
    </row>
    <row r="817" spans="2:6" x14ac:dyDescent="0.3">
      <c r="B817" t="s">
        <v>634</v>
      </c>
      <c r="D817">
        <v>157</v>
      </c>
      <c r="E817">
        <v>7940</v>
      </c>
      <c r="F817">
        <v>1</v>
      </c>
    </row>
    <row r="818" spans="2:6" x14ac:dyDescent="0.3">
      <c r="B818" t="s">
        <v>635</v>
      </c>
      <c r="D818">
        <v>183</v>
      </c>
      <c r="E818">
        <v>28368</v>
      </c>
      <c r="F818">
        <v>1</v>
      </c>
    </row>
    <row r="819" spans="2:6" x14ac:dyDescent="0.3">
      <c r="B819" t="s">
        <v>636</v>
      </c>
      <c r="D819">
        <v>163</v>
      </c>
      <c r="E819">
        <v>13140</v>
      </c>
      <c r="F819">
        <v>1</v>
      </c>
    </row>
    <row r="820" spans="2:6" x14ac:dyDescent="0.3">
      <c r="B820" t="s">
        <v>637</v>
      </c>
      <c r="D820">
        <v>166</v>
      </c>
      <c r="E820">
        <v>15564</v>
      </c>
      <c r="F820">
        <v>1</v>
      </c>
    </row>
    <row r="821" spans="2:6" x14ac:dyDescent="0.3">
      <c r="B821" t="s">
        <v>638</v>
      </c>
      <c r="D821">
        <v>171</v>
      </c>
      <c r="E821">
        <v>15944</v>
      </c>
      <c r="F821">
        <v>1</v>
      </c>
    </row>
    <row r="822" spans="2:6" x14ac:dyDescent="0.3">
      <c r="B822" t="s">
        <v>639</v>
      </c>
      <c r="D822">
        <v>162</v>
      </c>
      <c r="E822">
        <v>19984</v>
      </c>
      <c r="F822">
        <v>1</v>
      </c>
    </row>
    <row r="823" spans="2:6" x14ac:dyDescent="0.3">
      <c r="B823" t="s">
        <v>640</v>
      </c>
      <c r="D823">
        <v>160</v>
      </c>
      <c r="E823">
        <v>10440</v>
      </c>
      <c r="F823">
        <v>1</v>
      </c>
    </row>
    <row r="824" spans="2:6" x14ac:dyDescent="0.3">
      <c r="B824" t="s">
        <v>641</v>
      </c>
      <c r="D824">
        <v>160</v>
      </c>
      <c r="E824">
        <v>10508</v>
      </c>
      <c r="F824">
        <v>1</v>
      </c>
    </row>
    <row r="825" spans="2:6" x14ac:dyDescent="0.3">
      <c r="B825" t="s">
        <v>642</v>
      </c>
      <c r="D825">
        <v>150</v>
      </c>
      <c r="E825">
        <v>6114</v>
      </c>
      <c r="F825">
        <v>1</v>
      </c>
    </row>
    <row r="826" spans="2:6" x14ac:dyDescent="0.3">
      <c r="B826" t="s">
        <v>643</v>
      </c>
      <c r="D826">
        <v>147</v>
      </c>
      <c r="E826">
        <v>4490</v>
      </c>
      <c r="F826">
        <v>1</v>
      </c>
    </row>
    <row r="827" spans="2:6" x14ac:dyDescent="0.3">
      <c r="B827" t="s">
        <v>644</v>
      </c>
      <c r="D827">
        <v>149</v>
      </c>
      <c r="E827">
        <v>5310</v>
      </c>
      <c r="F827">
        <v>1</v>
      </c>
    </row>
    <row r="828" spans="2:6" x14ac:dyDescent="0.3">
      <c r="B828" t="s">
        <v>645</v>
      </c>
      <c r="D828">
        <v>141</v>
      </c>
      <c r="E828">
        <v>3532</v>
      </c>
      <c r="F828">
        <v>1</v>
      </c>
    </row>
    <row r="829" spans="2:6" x14ac:dyDescent="0.3">
      <c r="B829" t="s">
        <v>646</v>
      </c>
      <c r="D829">
        <v>140</v>
      </c>
      <c r="E829">
        <v>4388</v>
      </c>
      <c r="F829">
        <v>1</v>
      </c>
    </row>
    <row r="830" spans="2:6" x14ac:dyDescent="0.3">
      <c r="B830" t="s">
        <v>647</v>
      </c>
      <c r="D830">
        <v>147</v>
      </c>
      <c r="E830">
        <v>3761</v>
      </c>
      <c r="F830">
        <v>1</v>
      </c>
    </row>
    <row r="831" spans="2:6" x14ac:dyDescent="0.3">
      <c r="B831" t="s">
        <v>648</v>
      </c>
      <c r="D831">
        <v>144</v>
      </c>
      <c r="E831">
        <v>4017</v>
      </c>
      <c r="F831">
        <v>1</v>
      </c>
    </row>
    <row r="832" spans="2:6" x14ac:dyDescent="0.3">
      <c r="B832" t="s">
        <v>649</v>
      </c>
      <c r="D832">
        <v>138</v>
      </c>
      <c r="E832">
        <v>3518</v>
      </c>
      <c r="F832">
        <v>1</v>
      </c>
    </row>
    <row r="833" spans="2:6" x14ac:dyDescent="0.3">
      <c r="B833" t="s">
        <v>650</v>
      </c>
      <c r="D833">
        <v>143</v>
      </c>
      <c r="E833">
        <v>4134</v>
      </c>
      <c r="F833">
        <v>1</v>
      </c>
    </row>
    <row r="834" spans="2:6" x14ac:dyDescent="0.3">
      <c r="B834" t="s">
        <v>651</v>
      </c>
      <c r="D834">
        <v>168</v>
      </c>
      <c r="E834">
        <v>18864</v>
      </c>
      <c r="F834">
        <v>1</v>
      </c>
    </row>
    <row r="835" spans="2:6" x14ac:dyDescent="0.3">
      <c r="B835" t="s">
        <v>652</v>
      </c>
      <c r="D835">
        <v>158</v>
      </c>
      <c r="E835">
        <v>11808</v>
      </c>
      <c r="F835">
        <v>1</v>
      </c>
    </row>
    <row r="836" spans="2:6" x14ac:dyDescent="0.3">
      <c r="B836" t="s">
        <v>653</v>
      </c>
      <c r="D836">
        <v>170</v>
      </c>
      <c r="E836">
        <v>11808</v>
      </c>
      <c r="F836">
        <v>1</v>
      </c>
    </row>
    <row r="837" spans="2:6" x14ac:dyDescent="0.3">
      <c r="B837" t="s">
        <v>654</v>
      </c>
      <c r="D837">
        <v>144</v>
      </c>
      <c r="E837">
        <v>5458</v>
      </c>
      <c r="F837">
        <v>1</v>
      </c>
    </row>
    <row r="838" spans="2:6" x14ac:dyDescent="0.3">
      <c r="B838" t="s">
        <v>655</v>
      </c>
      <c r="D838">
        <v>139</v>
      </c>
      <c r="E838">
        <v>3102</v>
      </c>
      <c r="F838">
        <v>1</v>
      </c>
    </row>
    <row r="839" spans="2:6" x14ac:dyDescent="0.3">
      <c r="B839" t="s">
        <v>656</v>
      </c>
      <c r="D839">
        <v>137</v>
      </c>
      <c r="E839">
        <v>2652</v>
      </c>
      <c r="F839">
        <v>1</v>
      </c>
    </row>
    <row r="840" spans="2:6" x14ac:dyDescent="0.3">
      <c r="B840" t="s">
        <v>657</v>
      </c>
      <c r="D840">
        <v>132</v>
      </c>
      <c r="E840">
        <v>2110</v>
      </c>
      <c r="F840">
        <v>1</v>
      </c>
    </row>
    <row r="841" spans="2:6" x14ac:dyDescent="0.3">
      <c r="B841" t="s">
        <v>658</v>
      </c>
      <c r="D841">
        <v>132</v>
      </c>
      <c r="E841">
        <v>2227</v>
      </c>
      <c r="F841">
        <v>1</v>
      </c>
    </row>
    <row r="842" spans="2:6" x14ac:dyDescent="0.3">
      <c r="B842" t="s">
        <v>659</v>
      </c>
      <c r="D842">
        <v>134</v>
      </c>
      <c r="E842">
        <v>2333</v>
      </c>
      <c r="F842">
        <v>1</v>
      </c>
    </row>
    <row r="843" spans="2:6" x14ac:dyDescent="0.3">
      <c r="B843" t="s">
        <v>660</v>
      </c>
      <c r="D843">
        <v>135</v>
      </c>
      <c r="E843">
        <v>2424</v>
      </c>
      <c r="F843">
        <v>1</v>
      </c>
    </row>
    <row r="844" spans="2:6" x14ac:dyDescent="0.3">
      <c r="B844" t="s">
        <v>661</v>
      </c>
      <c r="D844">
        <v>136</v>
      </c>
      <c r="E844">
        <v>2912</v>
      </c>
      <c r="F844">
        <v>1</v>
      </c>
    </row>
    <row r="845" spans="2:6" x14ac:dyDescent="0.3">
      <c r="B845" t="s">
        <v>662</v>
      </c>
      <c r="D845">
        <v>134</v>
      </c>
      <c r="E845">
        <v>2221</v>
      </c>
      <c r="F845">
        <v>1</v>
      </c>
    </row>
    <row r="846" spans="2:6" x14ac:dyDescent="0.3">
      <c r="B846" t="s">
        <v>663</v>
      </c>
      <c r="D846">
        <v>127</v>
      </c>
      <c r="E846">
        <v>1652</v>
      </c>
      <c r="F846">
        <v>1</v>
      </c>
    </row>
    <row r="847" spans="2:6" x14ac:dyDescent="0.3">
      <c r="B847" t="s">
        <v>664</v>
      </c>
      <c r="D847">
        <v>124</v>
      </c>
      <c r="E847">
        <v>1306</v>
      </c>
      <c r="F847">
        <v>1</v>
      </c>
    </row>
    <row r="848" spans="2:6" x14ac:dyDescent="0.3">
      <c r="B848" t="s">
        <v>665</v>
      </c>
      <c r="D848">
        <v>120</v>
      </c>
      <c r="E848">
        <v>1065</v>
      </c>
      <c r="F848">
        <v>1</v>
      </c>
    </row>
    <row r="849" spans="2:6" x14ac:dyDescent="0.3">
      <c r="B849" t="s">
        <v>666</v>
      </c>
      <c r="D849">
        <v>111</v>
      </c>
      <c r="E849">
        <v>674</v>
      </c>
      <c r="F849">
        <v>1</v>
      </c>
    </row>
    <row r="850" spans="2:6" x14ac:dyDescent="0.3">
      <c r="B850" t="s">
        <v>667</v>
      </c>
      <c r="D850">
        <v>101</v>
      </c>
      <c r="E850">
        <v>378</v>
      </c>
      <c r="F850">
        <v>1</v>
      </c>
    </row>
    <row r="851" spans="2:6" x14ac:dyDescent="0.3">
      <c r="B851" t="s">
        <v>668</v>
      </c>
      <c r="D851">
        <v>90</v>
      </c>
      <c r="E851">
        <v>210</v>
      </c>
      <c r="F851">
        <v>1</v>
      </c>
    </row>
    <row r="852" spans="2:6" x14ac:dyDescent="0.3">
      <c r="B852" t="s">
        <v>669</v>
      </c>
      <c r="D852">
        <v>81</v>
      </c>
      <c r="E852">
        <v>131</v>
      </c>
      <c r="F852">
        <v>1</v>
      </c>
    </row>
    <row r="853" spans="2:6" x14ac:dyDescent="0.3">
      <c r="B853" t="s">
        <v>670</v>
      </c>
      <c r="D853">
        <v>81</v>
      </c>
      <c r="E853">
        <v>117</v>
      </c>
      <c r="F853">
        <v>1</v>
      </c>
    </row>
    <row r="854" spans="2:6" x14ac:dyDescent="0.3">
      <c r="B854" t="s">
        <v>671</v>
      </c>
      <c r="D854">
        <v>31</v>
      </c>
      <c r="E854">
        <v>32</v>
      </c>
      <c r="F854">
        <v>1</v>
      </c>
    </row>
    <row r="855" spans="2:6" x14ac:dyDescent="0.3">
      <c r="B855" t="s">
        <v>672</v>
      </c>
      <c r="D855">
        <v>14</v>
      </c>
      <c r="E855">
        <v>14</v>
      </c>
      <c r="F855">
        <v>1</v>
      </c>
    </row>
    <row r="856" spans="2:6" x14ac:dyDescent="0.3">
      <c r="B856" t="s">
        <v>673</v>
      </c>
      <c r="D856">
        <v>7</v>
      </c>
      <c r="E856">
        <v>7</v>
      </c>
      <c r="F856">
        <v>1</v>
      </c>
    </row>
    <row r="857" spans="2:6" x14ac:dyDescent="0.3">
      <c r="B857" t="s">
        <v>674</v>
      </c>
      <c r="D857">
        <v>4</v>
      </c>
      <c r="E857">
        <v>4</v>
      </c>
      <c r="F857">
        <v>1</v>
      </c>
    </row>
    <row r="858" spans="2:6" x14ac:dyDescent="0.3">
      <c r="B858" t="s">
        <v>675</v>
      </c>
      <c r="D858">
        <v>2</v>
      </c>
      <c r="E858">
        <v>1</v>
      </c>
      <c r="F858">
        <v>1</v>
      </c>
    </row>
    <row r="859" spans="2:6" x14ac:dyDescent="0.3">
      <c r="B859" t="s">
        <v>676</v>
      </c>
      <c r="D859">
        <v>1</v>
      </c>
      <c r="E859">
        <v>0</v>
      </c>
      <c r="F859">
        <v>1</v>
      </c>
    </row>
    <row r="860" spans="2:6" x14ac:dyDescent="0.3">
      <c r="B860" t="s">
        <v>676</v>
      </c>
      <c r="D860">
        <v>1</v>
      </c>
      <c r="E860">
        <v>0</v>
      </c>
      <c r="F860">
        <v>1</v>
      </c>
    </row>
    <row r="861" spans="2:6" x14ac:dyDescent="0.3">
      <c r="B861" t="s">
        <v>676</v>
      </c>
      <c r="D861">
        <v>1</v>
      </c>
      <c r="E861">
        <v>0</v>
      </c>
      <c r="F861">
        <v>1</v>
      </c>
    </row>
    <row r="862" spans="2:6" x14ac:dyDescent="0.3">
      <c r="B862" t="s">
        <v>676</v>
      </c>
      <c r="D862">
        <v>1</v>
      </c>
      <c r="E862">
        <v>0</v>
      </c>
      <c r="F862">
        <v>1</v>
      </c>
    </row>
    <row r="863" spans="2:6" x14ac:dyDescent="0.3">
      <c r="B863" t="s">
        <v>676</v>
      </c>
      <c r="D863">
        <v>1</v>
      </c>
      <c r="E863">
        <v>0</v>
      </c>
      <c r="F863">
        <v>1</v>
      </c>
    </row>
    <row r="864" spans="2:6" x14ac:dyDescent="0.3">
      <c r="B864" t="s">
        <v>676</v>
      </c>
      <c r="D864">
        <v>1</v>
      </c>
      <c r="E864">
        <v>0</v>
      </c>
      <c r="F864">
        <v>1</v>
      </c>
    </row>
    <row r="865" spans="2:6" x14ac:dyDescent="0.3">
      <c r="B865" t="s">
        <v>677</v>
      </c>
      <c r="D865">
        <v>101</v>
      </c>
      <c r="E865">
        <v>408</v>
      </c>
      <c r="F865">
        <v>1</v>
      </c>
    </row>
    <row r="866" spans="2:6" x14ac:dyDescent="0.3">
      <c r="B866" t="s">
        <v>678</v>
      </c>
      <c r="D866">
        <v>114</v>
      </c>
      <c r="E866">
        <v>762</v>
      </c>
      <c r="F866">
        <v>1</v>
      </c>
    </row>
    <row r="867" spans="2:6" x14ac:dyDescent="0.3">
      <c r="B867" t="s">
        <v>676</v>
      </c>
      <c r="D867">
        <v>1</v>
      </c>
      <c r="E867">
        <v>0</v>
      </c>
      <c r="F867">
        <v>1</v>
      </c>
    </row>
    <row r="868" spans="2:6" x14ac:dyDescent="0.3">
      <c r="B868" t="s">
        <v>676</v>
      </c>
      <c r="D868">
        <v>1</v>
      </c>
      <c r="E868">
        <v>0</v>
      </c>
      <c r="F868">
        <v>1</v>
      </c>
    </row>
    <row r="869" spans="2:6" x14ac:dyDescent="0.3">
      <c r="B869" t="s">
        <v>676</v>
      </c>
      <c r="D869">
        <v>1</v>
      </c>
      <c r="E869">
        <v>0</v>
      </c>
      <c r="F869">
        <v>1</v>
      </c>
    </row>
    <row r="870" spans="2:6" x14ac:dyDescent="0.3">
      <c r="B870" t="s">
        <v>676</v>
      </c>
      <c r="D870">
        <v>1</v>
      </c>
      <c r="E870">
        <v>0</v>
      </c>
      <c r="F870">
        <v>1</v>
      </c>
    </row>
    <row r="871" spans="2:6" x14ac:dyDescent="0.3">
      <c r="B871" t="s">
        <v>676</v>
      </c>
      <c r="D871">
        <v>1</v>
      </c>
      <c r="E871">
        <v>0</v>
      </c>
      <c r="F871">
        <v>1</v>
      </c>
    </row>
    <row r="872" spans="2:6" x14ac:dyDescent="0.3">
      <c r="B872" t="s">
        <v>676</v>
      </c>
      <c r="D872">
        <v>1</v>
      </c>
      <c r="E872">
        <v>0</v>
      </c>
      <c r="F872">
        <v>1</v>
      </c>
    </row>
    <row r="873" spans="2:6" x14ac:dyDescent="0.3">
      <c r="B873" t="s">
        <v>676</v>
      </c>
      <c r="D873">
        <v>1</v>
      </c>
      <c r="E873">
        <v>0</v>
      </c>
      <c r="F873">
        <v>1</v>
      </c>
    </row>
    <row r="874" spans="2:6" x14ac:dyDescent="0.3">
      <c r="B874" t="s">
        <v>676</v>
      </c>
      <c r="D874">
        <v>1</v>
      </c>
      <c r="E874">
        <v>0</v>
      </c>
      <c r="F874">
        <v>1</v>
      </c>
    </row>
    <row r="875" spans="2:6" x14ac:dyDescent="0.3">
      <c r="B875" t="s">
        <v>676</v>
      </c>
      <c r="D875">
        <v>1</v>
      </c>
      <c r="E875">
        <v>0</v>
      </c>
      <c r="F875">
        <v>1</v>
      </c>
    </row>
    <row r="876" spans="2:6" x14ac:dyDescent="0.3">
      <c r="B876" t="s">
        <v>676</v>
      </c>
      <c r="D876">
        <v>1</v>
      </c>
      <c r="E876">
        <v>0</v>
      </c>
      <c r="F876">
        <v>1</v>
      </c>
    </row>
    <row r="877" spans="2:6" x14ac:dyDescent="0.3">
      <c r="B877" t="s">
        <v>676</v>
      </c>
      <c r="D877">
        <v>1</v>
      </c>
      <c r="E877">
        <v>0</v>
      </c>
      <c r="F877">
        <v>1</v>
      </c>
    </row>
    <row r="878" spans="2:6" x14ac:dyDescent="0.3">
      <c r="B878" t="s">
        <v>676</v>
      </c>
      <c r="D878">
        <v>1</v>
      </c>
      <c r="E878">
        <v>0</v>
      </c>
      <c r="F878">
        <v>1</v>
      </c>
    </row>
    <row r="879" spans="2:6" x14ac:dyDescent="0.3">
      <c r="B879" t="s">
        <v>676</v>
      </c>
      <c r="D879">
        <v>1</v>
      </c>
      <c r="E879">
        <v>0</v>
      </c>
      <c r="F879">
        <v>1</v>
      </c>
    </row>
    <row r="880" spans="2:6" x14ac:dyDescent="0.3">
      <c r="B880" t="s">
        <v>676</v>
      </c>
      <c r="D880">
        <v>1</v>
      </c>
      <c r="E880">
        <v>0</v>
      </c>
      <c r="F880">
        <v>1</v>
      </c>
    </row>
    <row r="881" spans="2:6" x14ac:dyDescent="0.3">
      <c r="B881" t="s">
        <v>676</v>
      </c>
      <c r="D881">
        <v>1</v>
      </c>
      <c r="E881">
        <v>0</v>
      </c>
      <c r="F881">
        <v>1</v>
      </c>
    </row>
    <row r="882" spans="2:6" x14ac:dyDescent="0.3">
      <c r="B882" t="s">
        <v>676</v>
      </c>
      <c r="D882">
        <v>1</v>
      </c>
      <c r="E882">
        <v>0</v>
      </c>
      <c r="F882">
        <v>1</v>
      </c>
    </row>
    <row r="883" spans="2:6" x14ac:dyDescent="0.3">
      <c r="B883" t="s">
        <v>676</v>
      </c>
      <c r="D883">
        <v>1</v>
      </c>
      <c r="E883">
        <v>0</v>
      </c>
      <c r="F883">
        <v>1</v>
      </c>
    </row>
    <row r="884" spans="2:6" x14ac:dyDescent="0.3">
      <c r="B884" t="s">
        <v>676</v>
      </c>
      <c r="D884">
        <v>1</v>
      </c>
      <c r="E884">
        <v>0</v>
      </c>
      <c r="F884">
        <v>1</v>
      </c>
    </row>
    <row r="885" spans="2:6" x14ac:dyDescent="0.3">
      <c r="B885" t="s">
        <v>679</v>
      </c>
      <c r="D885">
        <v>1</v>
      </c>
      <c r="E885">
        <v>9</v>
      </c>
      <c r="F885">
        <v>1</v>
      </c>
    </row>
    <row r="886" spans="2:6" x14ac:dyDescent="0.3">
      <c r="B886" t="s">
        <v>676</v>
      </c>
      <c r="D886">
        <v>1</v>
      </c>
      <c r="E886">
        <v>0</v>
      </c>
      <c r="F886">
        <v>1</v>
      </c>
    </row>
    <row r="887" spans="2:6" x14ac:dyDescent="0.3">
      <c r="B887" t="s">
        <v>676</v>
      </c>
      <c r="D887">
        <v>1</v>
      </c>
      <c r="E887">
        <v>0</v>
      </c>
      <c r="F887">
        <v>1</v>
      </c>
    </row>
    <row r="888" spans="2:6" x14ac:dyDescent="0.3">
      <c r="B888" t="s">
        <v>676</v>
      </c>
      <c r="D888">
        <v>1</v>
      </c>
      <c r="E888">
        <v>0</v>
      </c>
      <c r="F888">
        <v>1</v>
      </c>
    </row>
    <row r="889" spans="2:6" x14ac:dyDescent="0.3">
      <c r="B889" t="s">
        <v>676</v>
      </c>
      <c r="D889">
        <v>1</v>
      </c>
      <c r="E889">
        <v>0</v>
      </c>
      <c r="F889">
        <v>1</v>
      </c>
    </row>
    <row r="890" spans="2:6" x14ac:dyDescent="0.3">
      <c r="B890" t="s">
        <v>676</v>
      </c>
      <c r="D890">
        <v>1</v>
      </c>
      <c r="E890">
        <v>0</v>
      </c>
      <c r="F890">
        <v>1</v>
      </c>
    </row>
    <row r="891" spans="2:6" x14ac:dyDescent="0.3">
      <c r="B891" t="s">
        <v>676</v>
      </c>
      <c r="D891">
        <v>1</v>
      </c>
      <c r="E891">
        <v>0</v>
      </c>
      <c r="F891">
        <v>1</v>
      </c>
    </row>
    <row r="892" spans="2:6" x14ac:dyDescent="0.3">
      <c r="B892" t="s">
        <v>676</v>
      </c>
      <c r="D892">
        <v>1</v>
      </c>
      <c r="E892">
        <v>0</v>
      </c>
      <c r="F892">
        <v>1</v>
      </c>
    </row>
    <row r="893" spans="2:6" x14ac:dyDescent="0.3">
      <c r="B893" t="s">
        <v>676</v>
      </c>
      <c r="D893">
        <v>1</v>
      </c>
      <c r="E893">
        <v>0</v>
      </c>
      <c r="F893">
        <v>1</v>
      </c>
    </row>
    <row r="894" spans="2:6" x14ac:dyDescent="0.3">
      <c r="B894" t="s">
        <v>676</v>
      </c>
      <c r="D894">
        <v>1</v>
      </c>
      <c r="E894">
        <v>0</v>
      </c>
      <c r="F894">
        <v>1</v>
      </c>
    </row>
    <row r="895" spans="2:6" x14ac:dyDescent="0.3">
      <c r="B895" t="s">
        <v>676</v>
      </c>
      <c r="D895">
        <v>1</v>
      </c>
      <c r="E895">
        <v>0</v>
      </c>
      <c r="F895">
        <v>1</v>
      </c>
    </row>
    <row r="896" spans="2:6" x14ac:dyDescent="0.3">
      <c r="B896" t="s">
        <v>676</v>
      </c>
      <c r="D896">
        <v>1</v>
      </c>
      <c r="E896">
        <v>0</v>
      </c>
      <c r="F896">
        <v>1</v>
      </c>
    </row>
    <row r="897" spans="2:6" x14ac:dyDescent="0.3">
      <c r="B897" t="s">
        <v>676</v>
      </c>
      <c r="D897">
        <v>1</v>
      </c>
      <c r="E897">
        <v>0</v>
      </c>
      <c r="F897">
        <v>1</v>
      </c>
    </row>
    <row r="898" spans="2:6" x14ac:dyDescent="0.3">
      <c r="B898" t="s">
        <v>676</v>
      </c>
      <c r="D898">
        <v>1</v>
      </c>
      <c r="E898">
        <v>0</v>
      </c>
      <c r="F898">
        <v>1</v>
      </c>
    </row>
    <row r="899" spans="2:6" x14ac:dyDescent="0.3">
      <c r="B899" t="s">
        <v>676</v>
      </c>
      <c r="D899">
        <v>1</v>
      </c>
      <c r="E899">
        <v>0</v>
      </c>
      <c r="F899">
        <v>1</v>
      </c>
    </row>
    <row r="900" spans="2:6" x14ac:dyDescent="0.3">
      <c r="B900" t="s">
        <v>676</v>
      </c>
      <c r="D900">
        <v>1</v>
      </c>
      <c r="E900">
        <v>0</v>
      </c>
      <c r="F900">
        <v>1</v>
      </c>
    </row>
    <row r="901" spans="2:6" x14ac:dyDescent="0.3">
      <c r="B901" t="s">
        <v>676</v>
      </c>
      <c r="D901">
        <v>1</v>
      </c>
      <c r="E901">
        <v>0</v>
      </c>
      <c r="F901">
        <v>1</v>
      </c>
    </row>
    <row r="902" spans="2:6" x14ac:dyDescent="0.3">
      <c r="B902" t="s">
        <v>676</v>
      </c>
      <c r="D902">
        <v>1</v>
      </c>
      <c r="E902">
        <v>0</v>
      </c>
      <c r="F902">
        <v>1</v>
      </c>
    </row>
    <row r="903" spans="2:6" x14ac:dyDescent="0.3">
      <c r="B903" t="s">
        <v>676</v>
      </c>
      <c r="D903">
        <v>1</v>
      </c>
      <c r="E903">
        <v>0</v>
      </c>
      <c r="F903">
        <v>1</v>
      </c>
    </row>
    <row r="904" spans="2:6" x14ac:dyDescent="0.3">
      <c r="B904" t="s">
        <v>676</v>
      </c>
      <c r="D904">
        <v>1</v>
      </c>
      <c r="E904">
        <v>0</v>
      </c>
      <c r="F904">
        <v>1</v>
      </c>
    </row>
    <row r="905" spans="2:6" x14ac:dyDescent="0.3">
      <c r="B905" t="s">
        <v>676</v>
      </c>
      <c r="D905">
        <v>1</v>
      </c>
      <c r="E905">
        <v>0</v>
      </c>
      <c r="F905">
        <v>1</v>
      </c>
    </row>
    <row r="906" spans="2:6" x14ac:dyDescent="0.3">
      <c r="B906" t="s">
        <v>676</v>
      </c>
      <c r="D906">
        <v>1</v>
      </c>
      <c r="E906">
        <v>0</v>
      </c>
      <c r="F906">
        <v>1</v>
      </c>
    </row>
    <row r="907" spans="2:6" x14ac:dyDescent="0.3">
      <c r="B907" t="s">
        <v>676</v>
      </c>
      <c r="D907">
        <v>1</v>
      </c>
      <c r="E907">
        <v>0</v>
      </c>
      <c r="F907">
        <v>1</v>
      </c>
    </row>
    <row r="908" spans="2:6" x14ac:dyDescent="0.3">
      <c r="B908" t="s">
        <v>680</v>
      </c>
      <c r="D908">
        <v>1</v>
      </c>
      <c r="E908">
        <v>49</v>
      </c>
      <c r="F908">
        <v>1</v>
      </c>
    </row>
    <row r="909" spans="2:6" x14ac:dyDescent="0.3">
      <c r="B909" t="s">
        <v>676</v>
      </c>
      <c r="D909">
        <v>1</v>
      </c>
      <c r="E909">
        <v>0</v>
      </c>
      <c r="F909">
        <v>1</v>
      </c>
    </row>
    <row r="910" spans="2:6" x14ac:dyDescent="0.3">
      <c r="B910" t="s">
        <v>676</v>
      </c>
      <c r="D910">
        <v>1</v>
      </c>
      <c r="E910">
        <v>0</v>
      </c>
      <c r="F910">
        <v>1</v>
      </c>
    </row>
    <row r="911" spans="2:6" x14ac:dyDescent="0.3">
      <c r="B911" t="s">
        <v>676</v>
      </c>
      <c r="D911">
        <v>1</v>
      </c>
      <c r="E911">
        <v>0</v>
      </c>
      <c r="F911">
        <v>1</v>
      </c>
    </row>
    <row r="912" spans="2:6" x14ac:dyDescent="0.3">
      <c r="B912" t="s">
        <v>676</v>
      </c>
      <c r="D912">
        <v>1</v>
      </c>
      <c r="E912">
        <v>0</v>
      </c>
      <c r="F912">
        <v>1</v>
      </c>
    </row>
    <row r="913" spans="2:6" x14ac:dyDescent="0.3">
      <c r="B913" t="s">
        <v>676</v>
      </c>
      <c r="D913">
        <v>1</v>
      </c>
      <c r="E913">
        <v>0</v>
      </c>
      <c r="F913">
        <v>1</v>
      </c>
    </row>
    <row r="914" spans="2:6" x14ac:dyDescent="0.3">
      <c r="B914" t="s">
        <v>676</v>
      </c>
      <c r="D914">
        <v>1</v>
      </c>
      <c r="E914">
        <v>0</v>
      </c>
      <c r="F914">
        <v>1</v>
      </c>
    </row>
    <row r="915" spans="2:6" x14ac:dyDescent="0.3">
      <c r="B915" t="s">
        <v>676</v>
      </c>
      <c r="D915">
        <v>1</v>
      </c>
      <c r="E915">
        <v>0</v>
      </c>
      <c r="F915">
        <v>1</v>
      </c>
    </row>
    <row r="916" spans="2:6" x14ac:dyDescent="0.3">
      <c r="B916" t="s">
        <v>676</v>
      </c>
      <c r="D916">
        <v>1</v>
      </c>
      <c r="E916">
        <v>0</v>
      </c>
      <c r="F916">
        <v>1</v>
      </c>
    </row>
    <row r="917" spans="2:6" x14ac:dyDescent="0.3">
      <c r="B917" t="s">
        <v>676</v>
      </c>
      <c r="D917">
        <v>1</v>
      </c>
      <c r="E917">
        <v>0</v>
      </c>
      <c r="F917">
        <v>1</v>
      </c>
    </row>
    <row r="918" spans="2:6" x14ac:dyDescent="0.3">
      <c r="B918" t="s">
        <v>676</v>
      </c>
      <c r="D918">
        <v>1</v>
      </c>
      <c r="E918">
        <v>0</v>
      </c>
      <c r="F918">
        <v>1</v>
      </c>
    </row>
    <row r="919" spans="2:6" x14ac:dyDescent="0.3">
      <c r="B919" t="s">
        <v>676</v>
      </c>
      <c r="D919">
        <v>1</v>
      </c>
      <c r="E919">
        <v>0</v>
      </c>
      <c r="F919">
        <v>1</v>
      </c>
    </row>
    <row r="920" spans="2:6" x14ac:dyDescent="0.3">
      <c r="B920" t="s">
        <v>676</v>
      </c>
      <c r="D920">
        <v>1</v>
      </c>
      <c r="E920">
        <v>0</v>
      </c>
      <c r="F920">
        <v>1</v>
      </c>
    </row>
    <row r="921" spans="2:6" x14ac:dyDescent="0.3">
      <c r="B921" t="s">
        <v>676</v>
      </c>
      <c r="D921">
        <v>1</v>
      </c>
      <c r="E921">
        <v>0</v>
      </c>
      <c r="F921">
        <v>1</v>
      </c>
    </row>
    <row r="922" spans="2:6" x14ac:dyDescent="0.3">
      <c r="B922" t="s">
        <v>676</v>
      </c>
      <c r="D922">
        <v>1</v>
      </c>
      <c r="E922">
        <v>0</v>
      </c>
      <c r="F922">
        <v>1</v>
      </c>
    </row>
    <row r="923" spans="2:6" x14ac:dyDescent="0.3">
      <c r="B923" t="s">
        <v>676</v>
      </c>
      <c r="D923">
        <v>1</v>
      </c>
      <c r="E923">
        <v>0</v>
      </c>
      <c r="F923">
        <v>1</v>
      </c>
    </row>
    <row r="924" spans="2:6" x14ac:dyDescent="0.3">
      <c r="B924" t="s">
        <v>676</v>
      </c>
      <c r="D924">
        <v>1</v>
      </c>
      <c r="E924">
        <v>0</v>
      </c>
      <c r="F924">
        <v>1</v>
      </c>
    </row>
    <row r="925" spans="2:6" x14ac:dyDescent="0.3">
      <c r="B925" t="s">
        <v>676</v>
      </c>
      <c r="D925">
        <v>1</v>
      </c>
      <c r="E925">
        <v>0</v>
      </c>
      <c r="F925">
        <v>1</v>
      </c>
    </row>
    <row r="926" spans="2:6" x14ac:dyDescent="0.3">
      <c r="B926" t="s">
        <v>676</v>
      </c>
      <c r="D926">
        <v>1</v>
      </c>
      <c r="E926">
        <v>0</v>
      </c>
      <c r="F926">
        <v>1</v>
      </c>
    </row>
    <row r="927" spans="2:6" x14ac:dyDescent="0.3">
      <c r="B927" t="s">
        <v>676</v>
      </c>
      <c r="D927">
        <v>1</v>
      </c>
      <c r="E927">
        <v>0</v>
      </c>
      <c r="F927">
        <v>1</v>
      </c>
    </row>
    <row r="928" spans="2:6" x14ac:dyDescent="0.3">
      <c r="B928" t="s">
        <v>676</v>
      </c>
      <c r="D928">
        <v>1</v>
      </c>
      <c r="E928">
        <v>0</v>
      </c>
      <c r="F928">
        <v>1</v>
      </c>
    </row>
    <row r="929" spans="2:6" x14ac:dyDescent="0.3">
      <c r="B929" t="s">
        <v>676</v>
      </c>
      <c r="D929">
        <v>1</v>
      </c>
      <c r="E929">
        <v>0</v>
      </c>
      <c r="F929">
        <v>1</v>
      </c>
    </row>
    <row r="930" spans="2:6" x14ac:dyDescent="0.3">
      <c r="B930" t="s">
        <v>676</v>
      </c>
      <c r="D930">
        <v>1</v>
      </c>
      <c r="E930">
        <v>0</v>
      </c>
      <c r="F930">
        <v>1</v>
      </c>
    </row>
    <row r="931" spans="2:6" x14ac:dyDescent="0.3">
      <c r="B931" t="s">
        <v>676</v>
      </c>
      <c r="D931">
        <v>1</v>
      </c>
      <c r="E931">
        <v>0</v>
      </c>
      <c r="F931">
        <v>1</v>
      </c>
    </row>
    <row r="932" spans="2:6" x14ac:dyDescent="0.3">
      <c r="B932" t="s">
        <v>676</v>
      </c>
      <c r="D932">
        <v>1</v>
      </c>
      <c r="E932">
        <v>0</v>
      </c>
      <c r="F932">
        <v>1</v>
      </c>
    </row>
    <row r="933" spans="2:6" x14ac:dyDescent="0.3">
      <c r="B933" t="s">
        <v>676</v>
      </c>
      <c r="D933">
        <v>1</v>
      </c>
      <c r="E933">
        <v>0</v>
      </c>
      <c r="F933">
        <v>1</v>
      </c>
    </row>
    <row r="934" spans="2:6" x14ac:dyDescent="0.3">
      <c r="B934" t="s">
        <v>676</v>
      </c>
      <c r="D934">
        <v>1</v>
      </c>
      <c r="E934">
        <v>0</v>
      </c>
      <c r="F934">
        <v>1</v>
      </c>
    </row>
    <row r="935" spans="2:6" x14ac:dyDescent="0.3">
      <c r="B935" t="s">
        <v>676</v>
      </c>
      <c r="D935">
        <v>1</v>
      </c>
      <c r="E935">
        <v>0</v>
      </c>
      <c r="F935">
        <v>1</v>
      </c>
    </row>
    <row r="936" spans="2:6" x14ac:dyDescent="0.3">
      <c r="B936" t="s">
        <v>676</v>
      </c>
      <c r="D936">
        <v>1</v>
      </c>
      <c r="E936">
        <v>0</v>
      </c>
      <c r="F936">
        <v>1</v>
      </c>
    </row>
    <row r="937" spans="2:6" x14ac:dyDescent="0.3">
      <c r="B937" t="s">
        <v>676</v>
      </c>
      <c r="D937">
        <v>1</v>
      </c>
      <c r="E937">
        <v>0</v>
      </c>
      <c r="F937">
        <v>1</v>
      </c>
    </row>
    <row r="938" spans="2:6" x14ac:dyDescent="0.3">
      <c r="B938" t="s">
        <v>676</v>
      </c>
      <c r="D938">
        <v>1</v>
      </c>
      <c r="E938">
        <v>0</v>
      </c>
      <c r="F938">
        <v>1</v>
      </c>
    </row>
    <row r="939" spans="2:6" x14ac:dyDescent="0.3">
      <c r="B939" t="s">
        <v>676</v>
      </c>
      <c r="D939">
        <v>1</v>
      </c>
      <c r="E939">
        <v>0</v>
      </c>
      <c r="F939">
        <v>1</v>
      </c>
    </row>
    <row r="940" spans="2:6" x14ac:dyDescent="0.3">
      <c r="B940" t="s">
        <v>681</v>
      </c>
      <c r="D940">
        <v>1</v>
      </c>
      <c r="E940">
        <v>1</v>
      </c>
      <c r="F940">
        <v>1</v>
      </c>
    </row>
    <row r="941" spans="2:6" x14ac:dyDescent="0.3">
      <c r="B941" t="s">
        <v>682</v>
      </c>
      <c r="D941">
        <v>2</v>
      </c>
      <c r="E941">
        <v>3</v>
      </c>
      <c r="F941">
        <v>1</v>
      </c>
    </row>
    <row r="942" spans="2:6" x14ac:dyDescent="0.3">
      <c r="B942" t="s">
        <v>683</v>
      </c>
      <c r="D942">
        <v>5</v>
      </c>
      <c r="E942">
        <v>8</v>
      </c>
      <c r="F942">
        <v>1</v>
      </c>
    </row>
    <row r="943" spans="2:6" x14ac:dyDescent="0.3">
      <c r="B943" t="s">
        <v>684</v>
      </c>
      <c r="D943">
        <v>14</v>
      </c>
      <c r="E943">
        <v>17</v>
      </c>
      <c r="F943">
        <v>1</v>
      </c>
    </row>
    <row r="944" spans="2:6" x14ac:dyDescent="0.3">
      <c r="B944" t="s">
        <v>685</v>
      </c>
      <c r="D944">
        <v>36</v>
      </c>
      <c r="E944">
        <v>43</v>
      </c>
      <c r="F944">
        <v>1</v>
      </c>
    </row>
    <row r="945" spans="2:6" x14ac:dyDescent="0.3">
      <c r="B945" t="s">
        <v>686</v>
      </c>
      <c r="D945">
        <v>65</v>
      </c>
      <c r="E945">
        <v>66</v>
      </c>
      <c r="F945">
        <v>1</v>
      </c>
    </row>
    <row r="946" spans="2:6" x14ac:dyDescent="0.3">
      <c r="B946" t="s">
        <v>687</v>
      </c>
      <c r="D946">
        <v>82</v>
      </c>
      <c r="E946">
        <v>118</v>
      </c>
      <c r="F946">
        <v>1</v>
      </c>
    </row>
    <row r="947" spans="2:6" x14ac:dyDescent="0.3">
      <c r="B947" t="s">
        <v>688</v>
      </c>
      <c r="D947">
        <v>87</v>
      </c>
      <c r="E947">
        <v>165</v>
      </c>
      <c r="F947">
        <v>1</v>
      </c>
    </row>
    <row r="948" spans="2:6" x14ac:dyDescent="0.3">
      <c r="B948" t="s">
        <v>689</v>
      </c>
      <c r="D948">
        <v>96</v>
      </c>
      <c r="E948">
        <v>213</v>
      </c>
      <c r="F948">
        <v>1</v>
      </c>
    </row>
    <row r="949" spans="2:6" x14ac:dyDescent="0.3">
      <c r="B949" t="s">
        <v>690</v>
      </c>
      <c r="D949">
        <v>96</v>
      </c>
      <c r="E949">
        <v>267</v>
      </c>
      <c r="F949">
        <v>1</v>
      </c>
    </row>
    <row r="950" spans="2:6" x14ac:dyDescent="0.3">
      <c r="B950" t="s">
        <v>691</v>
      </c>
      <c r="D950">
        <v>99</v>
      </c>
      <c r="E950">
        <v>268</v>
      </c>
      <c r="F950">
        <v>1</v>
      </c>
    </row>
    <row r="951" spans="2:6" x14ac:dyDescent="0.3">
      <c r="B951" t="s">
        <v>692</v>
      </c>
      <c r="D951">
        <v>100</v>
      </c>
      <c r="E951">
        <v>314</v>
      </c>
      <c r="F951">
        <v>1</v>
      </c>
    </row>
    <row r="952" spans="2:6" x14ac:dyDescent="0.3">
      <c r="B952" t="s">
        <v>693</v>
      </c>
      <c r="D952">
        <v>96</v>
      </c>
      <c r="E952">
        <v>238</v>
      </c>
      <c r="F952">
        <v>1</v>
      </c>
    </row>
    <row r="953" spans="2:6" x14ac:dyDescent="0.3">
      <c r="B953" t="s">
        <v>694</v>
      </c>
      <c r="D953">
        <v>96</v>
      </c>
      <c r="E953">
        <v>318</v>
      </c>
      <c r="F953">
        <v>1</v>
      </c>
    </row>
    <row r="954" spans="2:6" x14ac:dyDescent="0.3">
      <c r="B954" t="s">
        <v>695</v>
      </c>
      <c r="D954">
        <v>100</v>
      </c>
      <c r="E954">
        <v>387</v>
      </c>
      <c r="F954">
        <v>1</v>
      </c>
    </row>
    <row r="955" spans="2:6" x14ac:dyDescent="0.3">
      <c r="B955" t="s">
        <v>696</v>
      </c>
      <c r="D955">
        <v>105</v>
      </c>
      <c r="E955">
        <v>476</v>
      </c>
      <c r="F955">
        <v>1</v>
      </c>
    </row>
    <row r="956" spans="2:6" x14ac:dyDescent="0.3">
      <c r="B956" t="s">
        <v>697</v>
      </c>
      <c r="D956">
        <v>108</v>
      </c>
      <c r="E956">
        <v>657</v>
      </c>
      <c r="F956">
        <v>1</v>
      </c>
    </row>
    <row r="957" spans="2:6" x14ac:dyDescent="0.3">
      <c r="B957" t="s">
        <v>698</v>
      </c>
      <c r="D957">
        <v>118</v>
      </c>
      <c r="E957">
        <v>1180</v>
      </c>
      <c r="F957">
        <v>1</v>
      </c>
    </row>
    <row r="958" spans="2:6" x14ac:dyDescent="0.3">
      <c r="B958" t="s">
        <v>699</v>
      </c>
      <c r="D958">
        <v>122</v>
      </c>
      <c r="E958">
        <v>1167</v>
      </c>
      <c r="F958">
        <v>1</v>
      </c>
    </row>
    <row r="959" spans="2:6" x14ac:dyDescent="0.3">
      <c r="B959" t="s">
        <v>700</v>
      </c>
      <c r="D959">
        <v>128</v>
      </c>
      <c r="E959">
        <v>2021</v>
      </c>
      <c r="F959">
        <v>1</v>
      </c>
    </row>
    <row r="960" spans="2:6" x14ac:dyDescent="0.3">
      <c r="B960" t="s">
        <v>701</v>
      </c>
      <c r="D960">
        <v>130</v>
      </c>
      <c r="E960">
        <v>1882</v>
      </c>
      <c r="F960">
        <v>1</v>
      </c>
    </row>
    <row r="961" spans="2:6" x14ac:dyDescent="0.3">
      <c r="B961" t="s">
        <v>702</v>
      </c>
      <c r="D961">
        <v>127</v>
      </c>
      <c r="E961">
        <v>1556</v>
      </c>
      <c r="F961">
        <v>1</v>
      </c>
    </row>
    <row r="962" spans="2:6" x14ac:dyDescent="0.3">
      <c r="B962" t="s">
        <v>703</v>
      </c>
      <c r="D962">
        <v>126</v>
      </c>
      <c r="E962">
        <v>1496</v>
      </c>
      <c r="F962">
        <v>1</v>
      </c>
    </row>
    <row r="963" spans="2:6" x14ac:dyDescent="0.3">
      <c r="B963" t="s">
        <v>704</v>
      </c>
      <c r="D963">
        <v>124</v>
      </c>
      <c r="E963">
        <v>1098</v>
      </c>
      <c r="F963">
        <v>1</v>
      </c>
    </row>
    <row r="964" spans="2:6" x14ac:dyDescent="0.3">
      <c r="B964" t="s">
        <v>705</v>
      </c>
      <c r="D964">
        <v>125</v>
      </c>
      <c r="E964">
        <v>1656</v>
      </c>
      <c r="F964">
        <v>1</v>
      </c>
    </row>
    <row r="965" spans="2:6" x14ac:dyDescent="0.3">
      <c r="B965" t="s">
        <v>706</v>
      </c>
      <c r="D965">
        <v>130</v>
      </c>
      <c r="E965">
        <v>2158</v>
      </c>
      <c r="F965">
        <v>1</v>
      </c>
    </row>
    <row r="966" spans="2:6" x14ac:dyDescent="0.3">
      <c r="B966" t="s">
        <v>707</v>
      </c>
      <c r="D966">
        <v>134</v>
      </c>
      <c r="E966">
        <v>2242</v>
      </c>
      <c r="F966">
        <v>1</v>
      </c>
    </row>
    <row r="967" spans="2:6" x14ac:dyDescent="0.3">
      <c r="B967" t="s">
        <v>708</v>
      </c>
      <c r="D967">
        <v>137</v>
      </c>
      <c r="E967">
        <v>2810</v>
      </c>
      <c r="F967">
        <v>1</v>
      </c>
    </row>
    <row r="968" spans="2:6" x14ac:dyDescent="0.3">
      <c r="B968" t="s">
        <v>709</v>
      </c>
      <c r="D968">
        <v>137</v>
      </c>
      <c r="E968">
        <v>2959</v>
      </c>
      <c r="F968">
        <v>1</v>
      </c>
    </row>
    <row r="969" spans="2:6" x14ac:dyDescent="0.3">
      <c r="B969" t="s">
        <v>710</v>
      </c>
      <c r="D969">
        <v>139</v>
      </c>
      <c r="E969">
        <v>3149</v>
      </c>
      <c r="F969">
        <v>1</v>
      </c>
    </row>
    <row r="970" spans="2:6" x14ac:dyDescent="0.3">
      <c r="B970" t="s">
        <v>711</v>
      </c>
      <c r="D970">
        <v>144</v>
      </c>
      <c r="E970">
        <v>3534</v>
      </c>
      <c r="F970">
        <v>1</v>
      </c>
    </row>
    <row r="971" spans="2:6" x14ac:dyDescent="0.3">
      <c r="B971" t="s">
        <v>712</v>
      </c>
      <c r="D971">
        <v>142</v>
      </c>
      <c r="E971">
        <v>3564</v>
      </c>
      <c r="F971">
        <v>1</v>
      </c>
    </row>
    <row r="972" spans="2:6" x14ac:dyDescent="0.3">
      <c r="B972" t="s">
        <v>713</v>
      </c>
      <c r="D972">
        <v>139</v>
      </c>
      <c r="E972">
        <v>2947</v>
      </c>
      <c r="F972">
        <v>1</v>
      </c>
    </row>
    <row r="973" spans="2:6" x14ac:dyDescent="0.3">
      <c r="B973" t="s">
        <v>714</v>
      </c>
      <c r="D973">
        <v>138</v>
      </c>
      <c r="E973">
        <v>2799</v>
      </c>
      <c r="F973">
        <v>1</v>
      </c>
    </row>
    <row r="974" spans="2:6" x14ac:dyDescent="0.3">
      <c r="B974" t="s">
        <v>715</v>
      </c>
      <c r="D974">
        <v>138</v>
      </c>
      <c r="E974">
        <v>2983</v>
      </c>
      <c r="F974">
        <v>1</v>
      </c>
    </row>
    <row r="975" spans="2:6" x14ac:dyDescent="0.3">
      <c r="B975" t="s">
        <v>716</v>
      </c>
      <c r="D975">
        <v>140</v>
      </c>
      <c r="E975">
        <v>3599</v>
      </c>
      <c r="F975">
        <v>1</v>
      </c>
    </row>
    <row r="976" spans="2:6" x14ac:dyDescent="0.3">
      <c r="B976" t="s">
        <v>717</v>
      </c>
      <c r="D976">
        <v>146</v>
      </c>
      <c r="E976">
        <v>4484</v>
      </c>
      <c r="F976">
        <v>1</v>
      </c>
    </row>
    <row r="977" spans="2:6" x14ac:dyDescent="0.3">
      <c r="B977" t="s">
        <v>718</v>
      </c>
      <c r="D977">
        <v>146</v>
      </c>
      <c r="E977">
        <v>4494</v>
      </c>
      <c r="F977">
        <v>1</v>
      </c>
    </row>
    <row r="978" spans="2:6" x14ac:dyDescent="0.3">
      <c r="B978" t="s">
        <v>719</v>
      </c>
      <c r="D978">
        <v>150</v>
      </c>
      <c r="E978">
        <v>6140</v>
      </c>
      <c r="F978">
        <v>1</v>
      </c>
    </row>
    <row r="979" spans="2:6" x14ac:dyDescent="0.3">
      <c r="B979" t="s">
        <v>720</v>
      </c>
      <c r="D979">
        <v>155</v>
      </c>
      <c r="E979">
        <v>7202</v>
      </c>
      <c r="F979">
        <v>1</v>
      </c>
    </row>
    <row r="980" spans="2:6" x14ac:dyDescent="0.3">
      <c r="B980" t="s">
        <v>721</v>
      </c>
      <c r="D980">
        <v>155</v>
      </c>
      <c r="E980">
        <v>7506</v>
      </c>
      <c r="F980">
        <v>1</v>
      </c>
    </row>
    <row r="981" spans="2:6" x14ac:dyDescent="0.3">
      <c r="B981" t="s">
        <v>722</v>
      </c>
      <c r="D981">
        <v>159</v>
      </c>
      <c r="E981">
        <v>9164</v>
      </c>
      <c r="F981">
        <v>1</v>
      </c>
    </row>
    <row r="982" spans="2:6" x14ac:dyDescent="0.3">
      <c r="B982" t="s">
        <v>723</v>
      </c>
      <c r="D982">
        <v>152</v>
      </c>
      <c r="E982">
        <v>6386</v>
      </c>
      <c r="F982">
        <v>1</v>
      </c>
    </row>
    <row r="983" spans="2:6" x14ac:dyDescent="0.3">
      <c r="B983" t="s">
        <v>724</v>
      </c>
      <c r="D983">
        <v>152</v>
      </c>
      <c r="E983">
        <v>6592</v>
      </c>
      <c r="F983">
        <v>1</v>
      </c>
    </row>
    <row r="984" spans="2:6" x14ac:dyDescent="0.3">
      <c r="B984" t="s">
        <v>725</v>
      </c>
      <c r="D984">
        <v>152</v>
      </c>
      <c r="E984">
        <v>5942</v>
      </c>
      <c r="F984">
        <v>1</v>
      </c>
    </row>
    <row r="985" spans="2:6" x14ac:dyDescent="0.3">
      <c r="B985" t="s">
        <v>726</v>
      </c>
      <c r="D985">
        <v>147</v>
      </c>
      <c r="E985">
        <v>4818</v>
      </c>
      <c r="F985">
        <v>1</v>
      </c>
    </row>
    <row r="986" spans="2:6" x14ac:dyDescent="0.3">
      <c r="B986" t="s">
        <v>727</v>
      </c>
      <c r="D986">
        <v>150</v>
      </c>
      <c r="E986">
        <v>5874</v>
      </c>
      <c r="F986">
        <v>1</v>
      </c>
    </row>
    <row r="987" spans="2:6" x14ac:dyDescent="0.3">
      <c r="B987" t="s">
        <v>728</v>
      </c>
      <c r="D987">
        <v>150</v>
      </c>
      <c r="E987">
        <v>7786</v>
      </c>
      <c r="F987">
        <v>1</v>
      </c>
    </row>
    <row r="988" spans="2:6" x14ac:dyDescent="0.3">
      <c r="B988" t="s">
        <v>729</v>
      </c>
      <c r="D988">
        <v>154</v>
      </c>
      <c r="E988">
        <v>11092</v>
      </c>
      <c r="F988">
        <v>1</v>
      </c>
    </row>
    <row r="989" spans="2:6" x14ac:dyDescent="0.3">
      <c r="B989" t="s">
        <v>730</v>
      </c>
      <c r="D989">
        <v>163</v>
      </c>
      <c r="E989">
        <v>13640</v>
      </c>
      <c r="F989">
        <v>1</v>
      </c>
    </row>
    <row r="990" spans="2:6" x14ac:dyDescent="0.3">
      <c r="B990" t="s">
        <v>731</v>
      </c>
      <c r="D990">
        <v>160</v>
      </c>
      <c r="E990">
        <v>10424</v>
      </c>
      <c r="F990">
        <v>1</v>
      </c>
    </row>
    <row r="991" spans="2:6" x14ac:dyDescent="0.3">
      <c r="B991" t="s">
        <v>732</v>
      </c>
      <c r="D991">
        <v>159</v>
      </c>
      <c r="E991">
        <v>10220</v>
      </c>
      <c r="F991">
        <v>1</v>
      </c>
    </row>
    <row r="992" spans="2:6" x14ac:dyDescent="0.3">
      <c r="B992" t="s">
        <v>733</v>
      </c>
      <c r="D992">
        <v>163</v>
      </c>
      <c r="E992">
        <v>14744</v>
      </c>
      <c r="F992">
        <v>1</v>
      </c>
    </row>
    <row r="993" spans="2:6" x14ac:dyDescent="0.3">
      <c r="B993" t="s">
        <v>734</v>
      </c>
      <c r="D993">
        <v>170</v>
      </c>
      <c r="E993">
        <v>16824</v>
      </c>
      <c r="F993">
        <v>1</v>
      </c>
    </row>
    <row r="994" spans="2:6" x14ac:dyDescent="0.3">
      <c r="B994" t="s">
        <v>735</v>
      </c>
      <c r="D994">
        <v>164</v>
      </c>
      <c r="E994">
        <v>14000</v>
      </c>
      <c r="F994">
        <v>1</v>
      </c>
    </row>
    <row r="995" spans="2:6" x14ac:dyDescent="0.3">
      <c r="B995" t="s">
        <v>736</v>
      </c>
      <c r="D995">
        <v>159</v>
      </c>
      <c r="E995">
        <v>12132</v>
      </c>
      <c r="F995">
        <v>1</v>
      </c>
    </row>
    <row r="996" spans="2:6" x14ac:dyDescent="0.3">
      <c r="B996" t="s">
        <v>737</v>
      </c>
      <c r="D996">
        <v>164</v>
      </c>
      <c r="E996">
        <v>10916</v>
      </c>
      <c r="F996">
        <v>1</v>
      </c>
    </row>
    <row r="997" spans="2:6" x14ac:dyDescent="0.3">
      <c r="B997" t="s">
        <v>738</v>
      </c>
      <c r="D997">
        <v>166</v>
      </c>
      <c r="E997">
        <v>12308</v>
      </c>
      <c r="F997">
        <v>1</v>
      </c>
    </row>
    <row r="998" spans="2:6" x14ac:dyDescent="0.3">
      <c r="B998" t="s">
        <v>739</v>
      </c>
      <c r="D998">
        <v>171</v>
      </c>
      <c r="E998">
        <v>11748</v>
      </c>
      <c r="F998">
        <v>1</v>
      </c>
    </row>
    <row r="999" spans="2:6" x14ac:dyDescent="0.3">
      <c r="B999" t="s">
        <v>740</v>
      </c>
      <c r="D999">
        <v>169</v>
      </c>
      <c r="E999">
        <v>18584</v>
      </c>
      <c r="F999">
        <v>1</v>
      </c>
    </row>
    <row r="1000" spans="2:6" x14ac:dyDescent="0.3">
      <c r="B1000" t="s">
        <v>741</v>
      </c>
      <c r="D1000">
        <v>158</v>
      </c>
      <c r="E1000">
        <v>9628</v>
      </c>
      <c r="F1000">
        <v>1</v>
      </c>
    </row>
    <row r="1001" spans="2:6" x14ac:dyDescent="0.3">
      <c r="B1001" t="s">
        <v>742</v>
      </c>
      <c r="D1001">
        <v>143</v>
      </c>
      <c r="E1001">
        <v>3917</v>
      </c>
      <c r="F1001">
        <v>1</v>
      </c>
    </row>
    <row r="1002" spans="2:6" x14ac:dyDescent="0.3">
      <c r="B1002" t="s">
        <v>743</v>
      </c>
      <c r="D1002">
        <v>139</v>
      </c>
      <c r="E1002">
        <v>3006</v>
      </c>
      <c r="F1002">
        <v>1</v>
      </c>
    </row>
    <row r="1003" spans="2:6" x14ac:dyDescent="0.3">
      <c r="B1003" t="s">
        <v>744</v>
      </c>
      <c r="D1003">
        <v>137</v>
      </c>
      <c r="E1003">
        <v>2862</v>
      </c>
      <c r="F1003">
        <v>1</v>
      </c>
    </row>
    <row r="1004" spans="2:6" x14ac:dyDescent="0.3">
      <c r="B1004" t="s">
        <v>745</v>
      </c>
      <c r="D1004">
        <v>138</v>
      </c>
      <c r="E1004">
        <v>2417</v>
      </c>
      <c r="F1004">
        <v>1</v>
      </c>
    </row>
    <row r="1005" spans="2:6" x14ac:dyDescent="0.3">
      <c r="B1005" t="s">
        <v>746</v>
      </c>
      <c r="D1005">
        <v>146</v>
      </c>
      <c r="E1005">
        <v>3969</v>
      </c>
      <c r="F1005">
        <v>1</v>
      </c>
    </row>
    <row r="1006" spans="2:6" x14ac:dyDescent="0.3">
      <c r="B1006" t="s">
        <v>747</v>
      </c>
      <c r="D1006">
        <v>153</v>
      </c>
      <c r="E1006">
        <v>6066</v>
      </c>
      <c r="F1006">
        <v>1</v>
      </c>
    </row>
    <row r="1007" spans="2:6" x14ac:dyDescent="0.3">
      <c r="B1007" t="s">
        <v>748</v>
      </c>
      <c r="D1007">
        <v>158</v>
      </c>
      <c r="E1007">
        <v>8552</v>
      </c>
      <c r="F1007">
        <v>1</v>
      </c>
    </row>
    <row r="1008" spans="2:6" x14ac:dyDescent="0.3">
      <c r="B1008" t="s">
        <v>749</v>
      </c>
      <c r="D1008">
        <v>161</v>
      </c>
      <c r="E1008">
        <v>10880</v>
      </c>
      <c r="F1008">
        <v>1</v>
      </c>
    </row>
    <row r="1009" spans="2:6" x14ac:dyDescent="0.3">
      <c r="B1009" t="s">
        <v>750</v>
      </c>
      <c r="D1009">
        <v>167</v>
      </c>
      <c r="E1009">
        <v>11432</v>
      </c>
      <c r="F1009">
        <v>1</v>
      </c>
    </row>
    <row r="1010" spans="2:6" x14ac:dyDescent="0.3">
      <c r="B1010" t="s">
        <v>751</v>
      </c>
      <c r="D1010">
        <v>178</v>
      </c>
      <c r="E1010">
        <v>24104</v>
      </c>
      <c r="F1010">
        <v>1</v>
      </c>
    </row>
    <row r="1011" spans="2:6" x14ac:dyDescent="0.3">
      <c r="B1011" t="s">
        <v>752</v>
      </c>
      <c r="D1011">
        <v>171</v>
      </c>
      <c r="E1011">
        <v>28056</v>
      </c>
      <c r="F1011">
        <v>1</v>
      </c>
    </row>
    <row r="1012" spans="2:6" x14ac:dyDescent="0.3">
      <c r="B1012" t="s">
        <v>753</v>
      </c>
      <c r="D1012">
        <v>140</v>
      </c>
      <c r="E1012">
        <v>10648</v>
      </c>
      <c r="F1012">
        <v>1</v>
      </c>
    </row>
    <row r="1013" spans="2:6" x14ac:dyDescent="0.3">
      <c r="B1013" t="s">
        <v>754</v>
      </c>
      <c r="D1013">
        <v>156</v>
      </c>
      <c r="E1013">
        <v>12804</v>
      </c>
      <c r="F1013">
        <v>1</v>
      </c>
    </row>
    <row r="1014" spans="2:6" x14ac:dyDescent="0.3">
      <c r="B1014" t="s">
        <v>755</v>
      </c>
      <c r="D1014">
        <v>159</v>
      </c>
      <c r="E1014">
        <v>14004</v>
      </c>
      <c r="F1014">
        <v>1</v>
      </c>
    </row>
    <row r="1015" spans="2:6" x14ac:dyDescent="0.3">
      <c r="B1015" t="s">
        <v>756</v>
      </c>
      <c r="D1015">
        <v>162</v>
      </c>
      <c r="E1015">
        <v>16520</v>
      </c>
      <c r="F1015">
        <v>1</v>
      </c>
    </row>
    <row r="1016" spans="2:6" x14ac:dyDescent="0.3">
      <c r="B1016" t="s">
        <v>757</v>
      </c>
      <c r="D1016">
        <v>162</v>
      </c>
      <c r="E1016">
        <v>17344</v>
      </c>
      <c r="F1016">
        <v>1</v>
      </c>
    </row>
    <row r="1017" spans="2:6" x14ac:dyDescent="0.3">
      <c r="B1017" t="s">
        <v>758</v>
      </c>
      <c r="D1017">
        <v>163</v>
      </c>
      <c r="E1017">
        <v>17344</v>
      </c>
      <c r="F1017">
        <v>1</v>
      </c>
    </row>
    <row r="1018" spans="2:6" x14ac:dyDescent="0.3">
      <c r="B1018" t="s">
        <v>759</v>
      </c>
      <c r="D1018">
        <v>169</v>
      </c>
      <c r="E1018">
        <v>21064</v>
      </c>
      <c r="F1018">
        <v>1</v>
      </c>
    </row>
    <row r="1019" spans="2:6" x14ac:dyDescent="0.3">
      <c r="B1019" t="s">
        <v>760</v>
      </c>
      <c r="D1019">
        <v>166</v>
      </c>
      <c r="E1019">
        <v>20712</v>
      </c>
      <c r="F1019">
        <v>1</v>
      </c>
    </row>
    <row r="1020" spans="2:6" x14ac:dyDescent="0.3">
      <c r="B1020" t="s">
        <v>761</v>
      </c>
      <c r="D1020">
        <v>159</v>
      </c>
      <c r="E1020">
        <v>14720</v>
      </c>
      <c r="F1020">
        <v>1</v>
      </c>
    </row>
    <row r="1021" spans="2:6" x14ac:dyDescent="0.3">
      <c r="B1021" t="s">
        <v>762</v>
      </c>
      <c r="D1021">
        <v>162</v>
      </c>
      <c r="E1021">
        <v>16696</v>
      </c>
      <c r="F1021">
        <v>1</v>
      </c>
    </row>
    <row r="1022" spans="2:6" x14ac:dyDescent="0.3">
      <c r="B1022" t="s">
        <v>763</v>
      </c>
      <c r="D1022">
        <v>163</v>
      </c>
      <c r="E1022">
        <v>16920</v>
      </c>
      <c r="F1022">
        <v>1</v>
      </c>
    </row>
    <row r="1023" spans="2:6" x14ac:dyDescent="0.3">
      <c r="B1023" t="s">
        <v>764</v>
      </c>
      <c r="D1023">
        <v>168</v>
      </c>
      <c r="E1023">
        <v>19040</v>
      </c>
      <c r="F1023">
        <v>1</v>
      </c>
    </row>
    <row r="1024" spans="2:6" x14ac:dyDescent="0.3">
      <c r="B1024" t="s">
        <v>765</v>
      </c>
      <c r="D1024">
        <v>171</v>
      </c>
      <c r="E1024">
        <v>22000</v>
      </c>
      <c r="F1024">
        <v>1</v>
      </c>
    </row>
    <row r="1025" spans="2:6" x14ac:dyDescent="0.3">
      <c r="B1025" t="s">
        <v>766</v>
      </c>
      <c r="D1025">
        <v>172</v>
      </c>
      <c r="E1025">
        <v>24928</v>
      </c>
      <c r="F1025">
        <v>1</v>
      </c>
    </row>
    <row r="1026" spans="2:6" x14ac:dyDescent="0.3">
      <c r="B1026" t="s">
        <v>767</v>
      </c>
      <c r="D1026">
        <v>174</v>
      </c>
      <c r="E1026">
        <v>27376</v>
      </c>
      <c r="F1026">
        <v>1</v>
      </c>
    </row>
    <row r="1027" spans="2:6" x14ac:dyDescent="0.3">
      <c r="B1027" t="s">
        <v>768</v>
      </c>
      <c r="D1027">
        <v>176</v>
      </c>
      <c r="E1027">
        <v>29528</v>
      </c>
      <c r="F1027">
        <v>1</v>
      </c>
    </row>
    <row r="1028" spans="2:6" x14ac:dyDescent="0.3">
      <c r="B1028" t="s">
        <v>769</v>
      </c>
      <c r="D1028">
        <v>178</v>
      </c>
      <c r="E1028">
        <v>32944</v>
      </c>
      <c r="F1028">
        <v>1</v>
      </c>
    </row>
    <row r="1029" spans="2:6" x14ac:dyDescent="0.3">
      <c r="B1029" t="s">
        <v>770</v>
      </c>
      <c r="D1029">
        <v>178</v>
      </c>
      <c r="E1029">
        <v>34896</v>
      </c>
      <c r="F1029">
        <v>1</v>
      </c>
    </row>
    <row r="1030" spans="2:6" x14ac:dyDescent="0.3">
      <c r="B1030" t="s">
        <v>771</v>
      </c>
      <c r="D1030">
        <v>176</v>
      </c>
      <c r="E1030">
        <v>30760</v>
      </c>
      <c r="F1030">
        <v>1</v>
      </c>
    </row>
    <row r="1031" spans="2:6" x14ac:dyDescent="0.3">
      <c r="B1031" t="s">
        <v>772</v>
      </c>
      <c r="D1031">
        <v>173</v>
      </c>
      <c r="E1031">
        <v>26872</v>
      </c>
      <c r="F1031">
        <v>1</v>
      </c>
    </row>
    <row r="1032" spans="2:6" x14ac:dyDescent="0.3">
      <c r="B1032" t="s">
        <v>773</v>
      </c>
      <c r="D1032">
        <v>172</v>
      </c>
      <c r="E1032">
        <v>24520</v>
      </c>
      <c r="F1032">
        <v>1</v>
      </c>
    </row>
    <row r="1033" spans="2:6" x14ac:dyDescent="0.3">
      <c r="B1033" t="s">
        <v>774</v>
      </c>
      <c r="D1033">
        <v>183</v>
      </c>
      <c r="E1033">
        <v>39984</v>
      </c>
      <c r="F1033">
        <v>1</v>
      </c>
    </row>
    <row r="1034" spans="2:6" x14ac:dyDescent="0.3">
      <c r="B1034" t="s">
        <v>775</v>
      </c>
      <c r="D1034">
        <v>175</v>
      </c>
      <c r="E1034">
        <v>29664</v>
      </c>
      <c r="F1034">
        <v>1</v>
      </c>
    </row>
    <row r="1035" spans="2:6" x14ac:dyDescent="0.3">
      <c r="B1035" t="s">
        <v>776</v>
      </c>
      <c r="D1035">
        <v>167</v>
      </c>
      <c r="E1035">
        <v>23208</v>
      </c>
      <c r="F1035">
        <v>1</v>
      </c>
    </row>
    <row r="1036" spans="2:6" x14ac:dyDescent="0.3">
      <c r="B1036" t="s">
        <v>777</v>
      </c>
      <c r="D1036">
        <v>168</v>
      </c>
      <c r="E1036">
        <v>19832</v>
      </c>
      <c r="F1036">
        <v>1</v>
      </c>
    </row>
    <row r="1037" spans="2:6" x14ac:dyDescent="0.3">
      <c r="B1037" t="s">
        <v>778</v>
      </c>
      <c r="D1037">
        <v>172</v>
      </c>
      <c r="E1037">
        <v>23568</v>
      </c>
      <c r="F1037">
        <v>1</v>
      </c>
    </row>
    <row r="1038" spans="2:6" x14ac:dyDescent="0.3">
      <c r="B1038" t="s">
        <v>779</v>
      </c>
      <c r="D1038">
        <v>175</v>
      </c>
      <c r="E1038">
        <v>27752</v>
      </c>
      <c r="F1038">
        <v>1</v>
      </c>
    </row>
    <row r="1039" spans="2:6" x14ac:dyDescent="0.3">
      <c r="B1039" t="s">
        <v>780</v>
      </c>
      <c r="D1039">
        <v>175</v>
      </c>
      <c r="E1039">
        <v>30704</v>
      </c>
      <c r="F1039">
        <v>1</v>
      </c>
    </row>
    <row r="1040" spans="2:6" x14ac:dyDescent="0.3">
      <c r="B1040" t="s">
        <v>781</v>
      </c>
      <c r="D1040">
        <v>167</v>
      </c>
      <c r="E1040">
        <v>22264</v>
      </c>
      <c r="F1040">
        <v>1</v>
      </c>
    </row>
    <row r="1041" spans="2:6" x14ac:dyDescent="0.3">
      <c r="B1041" t="s">
        <v>782</v>
      </c>
      <c r="D1041">
        <v>165</v>
      </c>
      <c r="E1041">
        <v>19160</v>
      </c>
      <c r="F1041">
        <v>1</v>
      </c>
    </row>
    <row r="1042" spans="2:6" x14ac:dyDescent="0.3">
      <c r="B1042" t="s">
        <v>783</v>
      </c>
      <c r="D1042">
        <v>165</v>
      </c>
      <c r="E1042">
        <v>19008</v>
      </c>
      <c r="F1042">
        <v>1</v>
      </c>
    </row>
    <row r="1043" spans="2:6" x14ac:dyDescent="0.3">
      <c r="B1043" t="s">
        <v>784</v>
      </c>
      <c r="D1043">
        <v>162</v>
      </c>
      <c r="E1043">
        <v>17552</v>
      </c>
      <c r="F1043">
        <v>1</v>
      </c>
    </row>
    <row r="1044" spans="2:6" x14ac:dyDescent="0.3">
      <c r="B1044" t="s">
        <v>785</v>
      </c>
      <c r="D1044">
        <v>167</v>
      </c>
      <c r="E1044">
        <v>25064</v>
      </c>
      <c r="F1044">
        <v>1</v>
      </c>
    </row>
    <row r="1045" spans="2:6" x14ac:dyDescent="0.3">
      <c r="B1045" t="s">
        <v>786</v>
      </c>
      <c r="D1045">
        <v>173</v>
      </c>
      <c r="E1045">
        <v>29152</v>
      </c>
      <c r="F1045">
        <v>1</v>
      </c>
    </row>
    <row r="1046" spans="2:6" x14ac:dyDescent="0.3">
      <c r="B1046" t="s">
        <v>787</v>
      </c>
      <c r="D1046">
        <v>185</v>
      </c>
      <c r="E1046">
        <v>44352</v>
      </c>
      <c r="F1046">
        <v>1</v>
      </c>
    </row>
    <row r="1047" spans="2:6" x14ac:dyDescent="0.3">
      <c r="B1047" t="s">
        <v>788</v>
      </c>
      <c r="D1047">
        <v>187</v>
      </c>
      <c r="E1047">
        <v>39536</v>
      </c>
      <c r="F1047">
        <v>1</v>
      </c>
    </row>
    <row r="1048" spans="2:6" x14ac:dyDescent="0.3">
      <c r="B1048" t="s">
        <v>789</v>
      </c>
      <c r="D1048">
        <v>184</v>
      </c>
      <c r="E1048">
        <v>39536</v>
      </c>
      <c r="F1048">
        <v>1</v>
      </c>
    </row>
    <row r="1049" spans="2:6" x14ac:dyDescent="0.3">
      <c r="B1049" t="s">
        <v>790</v>
      </c>
      <c r="D1049">
        <v>184</v>
      </c>
      <c r="E1049">
        <v>44768</v>
      </c>
      <c r="F1049">
        <v>1</v>
      </c>
    </row>
    <row r="1050" spans="2:6" x14ac:dyDescent="0.3">
      <c r="B1050" t="s">
        <v>791</v>
      </c>
      <c r="D1050">
        <v>186</v>
      </c>
      <c r="E1050">
        <v>36800</v>
      </c>
      <c r="F1050">
        <v>1</v>
      </c>
    </row>
    <row r="1052" spans="2:6" x14ac:dyDescent="0.3">
      <c r="B1052" t="s">
        <v>792</v>
      </c>
      <c r="D1052">
        <v>214</v>
      </c>
      <c r="E1052">
        <v>24320</v>
      </c>
      <c r="F1052">
        <v>1</v>
      </c>
    </row>
    <row r="1053" spans="2:6" x14ac:dyDescent="0.3">
      <c r="B1053" t="s">
        <v>793</v>
      </c>
      <c r="D1053">
        <v>225</v>
      </c>
      <c r="E1053">
        <v>30720</v>
      </c>
      <c r="F1053">
        <v>1</v>
      </c>
    </row>
    <row r="1054" spans="2:6" x14ac:dyDescent="0.3">
      <c r="B1054" t="s">
        <v>794</v>
      </c>
      <c r="D1054">
        <v>199</v>
      </c>
      <c r="E1054">
        <v>49728</v>
      </c>
      <c r="F1054">
        <v>1</v>
      </c>
    </row>
    <row r="1055" spans="2:6" x14ac:dyDescent="0.3">
      <c r="B1055" t="s">
        <v>795</v>
      </c>
      <c r="D1055">
        <v>195</v>
      </c>
      <c r="E1055">
        <v>19488</v>
      </c>
      <c r="F1055">
        <v>1</v>
      </c>
    </row>
    <row r="1056" spans="2:6" x14ac:dyDescent="0.3">
      <c r="B1056" t="s">
        <v>796</v>
      </c>
      <c r="D1056">
        <v>190</v>
      </c>
      <c r="E1056">
        <v>2592</v>
      </c>
      <c r="F1056">
        <v>1</v>
      </c>
    </row>
    <row r="1057" spans="2:6" x14ac:dyDescent="0.3">
      <c r="B1057" t="s">
        <v>797</v>
      </c>
      <c r="D1057">
        <v>185</v>
      </c>
      <c r="E1057">
        <v>51216</v>
      </c>
      <c r="F1057">
        <v>1</v>
      </c>
    </row>
    <row r="1058" spans="2:6" x14ac:dyDescent="0.3">
      <c r="B1058" t="s">
        <v>798</v>
      </c>
      <c r="D1058">
        <v>184</v>
      </c>
      <c r="E1058">
        <v>56688</v>
      </c>
      <c r="F1058">
        <v>1</v>
      </c>
    </row>
    <row r="1059" spans="2:6" x14ac:dyDescent="0.3">
      <c r="B1059" t="s">
        <v>799</v>
      </c>
      <c r="D1059">
        <v>189</v>
      </c>
      <c r="E1059">
        <v>62048</v>
      </c>
      <c r="F1059">
        <v>1</v>
      </c>
    </row>
    <row r="1060" spans="2:6" x14ac:dyDescent="0.3">
      <c r="B1060" t="s">
        <v>800</v>
      </c>
      <c r="D1060">
        <v>195</v>
      </c>
      <c r="E1060">
        <v>13056</v>
      </c>
      <c r="F1060">
        <v>1</v>
      </c>
    </row>
    <row r="1061" spans="2:6" x14ac:dyDescent="0.3">
      <c r="B1061" t="s">
        <v>801</v>
      </c>
      <c r="D1061">
        <v>197</v>
      </c>
      <c r="E1061">
        <v>21568</v>
      </c>
      <c r="F1061">
        <v>1</v>
      </c>
    </row>
    <row r="1062" spans="2:6" x14ac:dyDescent="0.3">
      <c r="B1062" t="s">
        <v>802</v>
      </c>
      <c r="D1062">
        <v>202</v>
      </c>
      <c r="E1062">
        <v>54976</v>
      </c>
      <c r="F1062">
        <v>1</v>
      </c>
    </row>
    <row r="1063" spans="2:6" x14ac:dyDescent="0.3">
      <c r="B1063" t="s">
        <v>803</v>
      </c>
      <c r="D1063">
        <v>209</v>
      </c>
      <c r="E1063">
        <v>51904</v>
      </c>
      <c r="F1063">
        <v>1</v>
      </c>
    </row>
    <row r="1064" spans="2:6" x14ac:dyDescent="0.3">
      <c r="B1064" t="s">
        <v>804</v>
      </c>
      <c r="D1064">
        <v>209</v>
      </c>
      <c r="E1064">
        <v>29120</v>
      </c>
      <c r="F1064">
        <v>1</v>
      </c>
    </row>
    <row r="1065" spans="2:6" x14ac:dyDescent="0.3">
      <c r="B1065" t="s">
        <v>805</v>
      </c>
      <c r="D1065">
        <v>212</v>
      </c>
      <c r="E1065">
        <v>0</v>
      </c>
      <c r="F1065">
        <v>1</v>
      </c>
    </row>
    <row r="1066" spans="2:6" x14ac:dyDescent="0.3">
      <c r="B1066" t="s">
        <v>806</v>
      </c>
      <c r="D1066">
        <v>208</v>
      </c>
      <c r="E1066">
        <v>19008</v>
      </c>
      <c r="F1066">
        <v>1</v>
      </c>
    </row>
    <row r="1067" spans="2:6" x14ac:dyDescent="0.3">
      <c r="B1067" t="s">
        <v>807</v>
      </c>
      <c r="D1067">
        <v>220</v>
      </c>
      <c r="E1067">
        <v>42368</v>
      </c>
      <c r="F1067">
        <v>1</v>
      </c>
    </row>
    <row r="1068" spans="2:6" x14ac:dyDescent="0.3">
      <c r="B1068" t="s">
        <v>808</v>
      </c>
      <c r="D1068">
        <v>226</v>
      </c>
      <c r="E1068">
        <v>21632</v>
      </c>
      <c r="F1068">
        <v>1</v>
      </c>
    </row>
    <row r="1069" spans="2:6" x14ac:dyDescent="0.3">
      <c r="B1069" t="s">
        <v>809</v>
      </c>
      <c r="D1069">
        <v>227</v>
      </c>
      <c r="E1069">
        <v>34432</v>
      </c>
      <c r="F1069">
        <v>1</v>
      </c>
    </row>
    <row r="1070" spans="2:6" x14ac:dyDescent="0.3">
      <c r="B1070" t="s">
        <v>810</v>
      </c>
      <c r="D1070">
        <v>227</v>
      </c>
      <c r="E1070">
        <v>27520</v>
      </c>
      <c r="F1070">
        <v>1</v>
      </c>
    </row>
    <row r="1071" spans="2:6" x14ac:dyDescent="0.3">
      <c r="B1071" t="s">
        <v>811</v>
      </c>
      <c r="D1071">
        <v>224</v>
      </c>
      <c r="E1071">
        <v>39040</v>
      </c>
      <c r="F1071">
        <v>1</v>
      </c>
    </row>
    <row r="1072" spans="2:6" x14ac:dyDescent="0.3">
      <c r="B1072" t="s">
        <v>812</v>
      </c>
      <c r="D1072">
        <v>222</v>
      </c>
      <c r="E1072">
        <v>53248</v>
      </c>
      <c r="F1072">
        <v>1</v>
      </c>
    </row>
    <row r="1073" spans="2:6" x14ac:dyDescent="0.3">
      <c r="B1073" t="s">
        <v>813</v>
      </c>
      <c r="D1073">
        <v>220</v>
      </c>
      <c r="E1073">
        <v>56576</v>
      </c>
      <c r="F1073">
        <v>1</v>
      </c>
    </row>
    <row r="1074" spans="2:6" x14ac:dyDescent="0.3">
      <c r="B1074" t="s">
        <v>814</v>
      </c>
      <c r="D1074">
        <v>218</v>
      </c>
      <c r="E1074">
        <v>11520</v>
      </c>
      <c r="F1074">
        <v>1</v>
      </c>
    </row>
    <row r="1075" spans="2:6" x14ac:dyDescent="0.3">
      <c r="B1075" t="s">
        <v>815</v>
      </c>
      <c r="D1075">
        <v>217</v>
      </c>
      <c r="E1075">
        <v>63424</v>
      </c>
      <c r="F1075">
        <v>1</v>
      </c>
    </row>
    <row r="1076" spans="2:6" x14ac:dyDescent="0.3">
      <c r="B1076" t="s">
        <v>816</v>
      </c>
      <c r="D1076">
        <v>212</v>
      </c>
      <c r="E1076">
        <v>36224</v>
      </c>
      <c r="F1076">
        <v>1</v>
      </c>
    </row>
    <row r="1077" spans="2:6" x14ac:dyDescent="0.3">
      <c r="B1077" t="s">
        <v>817</v>
      </c>
      <c r="D1077">
        <v>208</v>
      </c>
      <c r="E1077">
        <v>29952</v>
      </c>
      <c r="F1077">
        <v>1</v>
      </c>
    </row>
    <row r="1078" spans="2:6" x14ac:dyDescent="0.3">
      <c r="B1078" t="s">
        <v>818</v>
      </c>
      <c r="D1078">
        <v>207</v>
      </c>
      <c r="E1078">
        <v>35456</v>
      </c>
      <c r="F1078">
        <v>1</v>
      </c>
    </row>
    <row r="1079" spans="2:6" x14ac:dyDescent="0.3">
      <c r="B1079" t="s">
        <v>819</v>
      </c>
      <c r="D1079">
        <v>205</v>
      </c>
      <c r="E1079">
        <v>17984</v>
      </c>
      <c r="F1079">
        <v>1</v>
      </c>
    </row>
    <row r="1080" spans="2:6" x14ac:dyDescent="0.3">
      <c r="B1080" t="s">
        <v>820</v>
      </c>
      <c r="D1080">
        <v>205</v>
      </c>
      <c r="E1080">
        <v>53568</v>
      </c>
      <c r="F1080">
        <v>1</v>
      </c>
    </row>
    <row r="1081" spans="2:6" x14ac:dyDescent="0.3">
      <c r="B1081" t="s">
        <v>821</v>
      </c>
      <c r="D1081">
        <v>203</v>
      </c>
      <c r="E1081">
        <v>50016</v>
      </c>
      <c r="F1081">
        <v>1</v>
      </c>
    </row>
    <row r="1082" spans="2:6" x14ac:dyDescent="0.3">
      <c r="B1082" t="s">
        <v>822</v>
      </c>
      <c r="D1082">
        <v>198</v>
      </c>
      <c r="E1082">
        <v>34144</v>
      </c>
      <c r="F1082">
        <v>1</v>
      </c>
    </row>
    <row r="1083" spans="2:6" x14ac:dyDescent="0.3">
      <c r="B1083" t="s">
        <v>823</v>
      </c>
      <c r="D1083">
        <v>196</v>
      </c>
      <c r="E1083">
        <v>12192</v>
      </c>
      <c r="F1083">
        <v>1</v>
      </c>
    </row>
    <row r="1084" spans="2:6" x14ac:dyDescent="0.3">
      <c r="B1084" t="s">
        <v>824</v>
      </c>
      <c r="D1084">
        <v>202</v>
      </c>
      <c r="E1084">
        <v>45760</v>
      </c>
      <c r="F1084">
        <v>1</v>
      </c>
    </row>
    <row r="1085" spans="2:6" x14ac:dyDescent="0.3">
      <c r="B1085" t="s">
        <v>825</v>
      </c>
      <c r="D1085">
        <v>199</v>
      </c>
      <c r="E1085">
        <v>25184</v>
      </c>
      <c r="F1085">
        <v>1</v>
      </c>
    </row>
    <row r="1086" spans="2:6" x14ac:dyDescent="0.3">
      <c r="B1086" t="s">
        <v>826</v>
      </c>
      <c r="D1086">
        <v>196</v>
      </c>
      <c r="E1086">
        <v>14720</v>
      </c>
      <c r="F1086">
        <v>1</v>
      </c>
    </row>
    <row r="1087" spans="2:6" x14ac:dyDescent="0.3">
      <c r="B1087" t="s">
        <v>827</v>
      </c>
      <c r="D1087">
        <v>189</v>
      </c>
      <c r="E1087">
        <v>55056</v>
      </c>
      <c r="F1087">
        <v>1</v>
      </c>
    </row>
    <row r="1088" spans="2:6" x14ac:dyDescent="0.3">
      <c r="B1088" t="s">
        <v>828</v>
      </c>
      <c r="D1088">
        <v>192</v>
      </c>
      <c r="E1088">
        <v>56448</v>
      </c>
      <c r="F1088">
        <v>1</v>
      </c>
    </row>
    <row r="1089" spans="2:6" x14ac:dyDescent="0.3">
      <c r="B1089" t="s">
        <v>829</v>
      </c>
      <c r="D1089">
        <v>181</v>
      </c>
      <c r="E1089">
        <v>43168</v>
      </c>
      <c r="F1089">
        <v>1</v>
      </c>
    </row>
    <row r="1090" spans="2:6" x14ac:dyDescent="0.3">
      <c r="B1090" t="s">
        <v>830</v>
      </c>
      <c r="D1090">
        <v>154</v>
      </c>
      <c r="E1090">
        <v>7350</v>
      </c>
      <c r="F1090">
        <v>1</v>
      </c>
    </row>
    <row r="1091" spans="2:6" x14ac:dyDescent="0.3">
      <c r="B1091" t="s">
        <v>831</v>
      </c>
      <c r="D1091">
        <v>154</v>
      </c>
      <c r="E1091">
        <v>6888</v>
      </c>
      <c r="F1091">
        <v>1</v>
      </c>
    </row>
    <row r="1092" spans="2:6" x14ac:dyDescent="0.3">
      <c r="B1092" t="s">
        <v>832</v>
      </c>
      <c r="D1092">
        <v>155</v>
      </c>
      <c r="E1092">
        <v>10756</v>
      </c>
      <c r="F1092">
        <v>1</v>
      </c>
    </row>
    <row r="1093" spans="2:6" x14ac:dyDescent="0.3">
      <c r="B1093" t="s">
        <v>833</v>
      </c>
      <c r="D1093">
        <v>162</v>
      </c>
      <c r="E1093">
        <v>15920</v>
      </c>
      <c r="F1093">
        <v>1</v>
      </c>
    </row>
    <row r="1094" spans="2:6" x14ac:dyDescent="0.3">
      <c r="B1094" t="s">
        <v>834</v>
      </c>
      <c r="D1094">
        <v>170</v>
      </c>
      <c r="E1094">
        <v>24920</v>
      </c>
      <c r="F1094">
        <v>1</v>
      </c>
    </row>
    <row r="1095" spans="2:6" x14ac:dyDescent="0.3">
      <c r="B1095" t="s">
        <v>835</v>
      </c>
      <c r="D1095">
        <v>183</v>
      </c>
      <c r="E1095">
        <v>40528</v>
      </c>
      <c r="F1095">
        <v>1</v>
      </c>
    </row>
    <row r="1096" spans="2:6" x14ac:dyDescent="0.3">
      <c r="B1096" t="s">
        <v>836</v>
      </c>
      <c r="D1096">
        <v>182</v>
      </c>
      <c r="E1096">
        <v>37472</v>
      </c>
      <c r="F1096">
        <v>1</v>
      </c>
    </row>
    <row r="1097" spans="2:6" x14ac:dyDescent="0.3">
      <c r="B1097" t="s">
        <v>837</v>
      </c>
      <c r="D1097">
        <v>179</v>
      </c>
      <c r="E1097">
        <v>33632</v>
      </c>
      <c r="F1097">
        <v>1</v>
      </c>
    </row>
    <row r="1098" spans="2:6" x14ac:dyDescent="0.3">
      <c r="B1098" t="s">
        <v>838</v>
      </c>
      <c r="D1098">
        <v>178</v>
      </c>
      <c r="E1098">
        <v>36864</v>
      </c>
      <c r="F1098">
        <v>1</v>
      </c>
    </row>
    <row r="1099" spans="2:6" x14ac:dyDescent="0.3">
      <c r="B1099" t="s">
        <v>839</v>
      </c>
      <c r="D1099">
        <v>184</v>
      </c>
      <c r="E1099">
        <v>45136</v>
      </c>
      <c r="F1099">
        <v>1</v>
      </c>
    </row>
    <row r="1100" spans="2:6" x14ac:dyDescent="0.3">
      <c r="B1100" t="s">
        <v>840</v>
      </c>
      <c r="D1100">
        <v>186</v>
      </c>
      <c r="E1100">
        <v>47408</v>
      </c>
      <c r="F1100">
        <v>1</v>
      </c>
    </row>
    <row r="1101" spans="2:6" x14ac:dyDescent="0.3">
      <c r="B1101" t="s">
        <v>841</v>
      </c>
      <c r="D1101">
        <v>187</v>
      </c>
      <c r="E1101">
        <v>50976</v>
      </c>
      <c r="F1101">
        <v>1</v>
      </c>
    </row>
    <row r="1102" spans="2:6" x14ac:dyDescent="0.3">
      <c r="B1102" t="s">
        <v>842</v>
      </c>
      <c r="D1102">
        <v>186</v>
      </c>
      <c r="E1102">
        <v>47664</v>
      </c>
      <c r="F1102">
        <v>1</v>
      </c>
    </row>
    <row r="1103" spans="2:6" x14ac:dyDescent="0.3">
      <c r="B1103" t="s">
        <v>843</v>
      </c>
      <c r="D1103">
        <v>186</v>
      </c>
      <c r="E1103">
        <v>55120</v>
      </c>
      <c r="F1103">
        <v>1</v>
      </c>
    </row>
    <row r="1104" spans="2:6" x14ac:dyDescent="0.3">
      <c r="B1104" t="s">
        <v>844</v>
      </c>
      <c r="D1104">
        <v>188</v>
      </c>
      <c r="E1104">
        <v>56560</v>
      </c>
      <c r="F1104">
        <v>1</v>
      </c>
    </row>
    <row r="1105" spans="2:6" x14ac:dyDescent="0.3">
      <c r="B1105" t="s">
        <v>845</v>
      </c>
      <c r="D1105">
        <v>186</v>
      </c>
      <c r="E1105">
        <v>45664</v>
      </c>
      <c r="F1105">
        <v>1</v>
      </c>
    </row>
    <row r="1106" spans="2:6" x14ac:dyDescent="0.3">
      <c r="B1106" t="s">
        <v>846</v>
      </c>
      <c r="D1106">
        <v>182</v>
      </c>
      <c r="E1106">
        <v>36240</v>
      </c>
      <c r="F1106">
        <v>1</v>
      </c>
    </row>
    <row r="1107" spans="2:6" x14ac:dyDescent="0.3">
      <c r="B1107" t="s">
        <v>847</v>
      </c>
      <c r="D1107">
        <v>173</v>
      </c>
      <c r="E1107">
        <v>28344</v>
      </c>
      <c r="F1107">
        <v>1</v>
      </c>
    </row>
    <row r="1108" spans="2:6" x14ac:dyDescent="0.3">
      <c r="B1108" t="s">
        <v>848</v>
      </c>
      <c r="D1108">
        <v>160</v>
      </c>
      <c r="E1108">
        <v>12876</v>
      </c>
      <c r="F1108">
        <v>1</v>
      </c>
    </row>
    <row r="1109" spans="2:6" x14ac:dyDescent="0.3">
      <c r="B1109" t="s">
        <v>849</v>
      </c>
      <c r="D1109">
        <v>163</v>
      </c>
      <c r="E1109">
        <v>14192</v>
      </c>
      <c r="F1109">
        <v>1</v>
      </c>
    </row>
    <row r="1110" spans="2:6" x14ac:dyDescent="0.3">
      <c r="B1110" t="s">
        <v>850</v>
      </c>
      <c r="D1110">
        <v>157</v>
      </c>
      <c r="E1110">
        <v>11380</v>
      </c>
      <c r="F1110">
        <v>1</v>
      </c>
    </row>
    <row r="1111" spans="2:6" x14ac:dyDescent="0.3">
      <c r="B1111" t="s">
        <v>851</v>
      </c>
      <c r="D1111">
        <v>148</v>
      </c>
      <c r="E1111">
        <v>5528</v>
      </c>
      <c r="F1111">
        <v>1</v>
      </c>
    </row>
    <row r="1112" spans="2:6" x14ac:dyDescent="0.3">
      <c r="B1112" t="s">
        <v>852</v>
      </c>
      <c r="D1112">
        <v>145</v>
      </c>
      <c r="E1112">
        <v>4548</v>
      </c>
      <c r="F1112">
        <v>1</v>
      </c>
    </row>
    <row r="1113" spans="2:6" x14ac:dyDescent="0.3">
      <c r="B1113" t="s">
        <v>853</v>
      </c>
      <c r="D1113">
        <v>149</v>
      </c>
      <c r="E1113">
        <v>5892</v>
      </c>
      <c r="F1113">
        <v>1</v>
      </c>
    </row>
    <row r="1114" spans="2:6" x14ac:dyDescent="0.3">
      <c r="B1114" t="s">
        <v>854</v>
      </c>
      <c r="D1114">
        <v>147</v>
      </c>
      <c r="E1114">
        <v>5160</v>
      </c>
      <c r="F1114">
        <v>1</v>
      </c>
    </row>
    <row r="1115" spans="2:6" x14ac:dyDescent="0.3">
      <c r="B1115" t="s">
        <v>855</v>
      </c>
      <c r="D1115">
        <v>141</v>
      </c>
      <c r="E1115">
        <v>3686</v>
      </c>
      <c r="F1115">
        <v>1</v>
      </c>
    </row>
    <row r="1116" spans="2:6" x14ac:dyDescent="0.3">
      <c r="B1116" t="s">
        <v>856</v>
      </c>
      <c r="D1116">
        <v>131</v>
      </c>
      <c r="E1116">
        <v>2475</v>
      </c>
      <c r="F1116">
        <v>1</v>
      </c>
    </row>
    <row r="1117" spans="2:6" x14ac:dyDescent="0.3">
      <c r="B1117" t="s">
        <v>857</v>
      </c>
      <c r="D1117">
        <v>114</v>
      </c>
      <c r="E1117">
        <v>874</v>
      </c>
      <c r="F1117">
        <v>1</v>
      </c>
    </row>
    <row r="1118" spans="2:6" x14ac:dyDescent="0.3">
      <c r="B1118" t="s">
        <v>858</v>
      </c>
      <c r="D1118">
        <v>110</v>
      </c>
      <c r="E1118">
        <v>747</v>
      </c>
      <c r="F1118">
        <v>1</v>
      </c>
    </row>
    <row r="1119" spans="2:6" x14ac:dyDescent="0.3">
      <c r="B1119" t="s">
        <v>859</v>
      </c>
      <c r="D1119">
        <v>94</v>
      </c>
      <c r="E1119">
        <v>295</v>
      </c>
      <c r="F1119">
        <v>1</v>
      </c>
    </row>
    <row r="1120" spans="2:6" x14ac:dyDescent="0.3">
      <c r="B1120" t="s">
        <v>860</v>
      </c>
      <c r="D1120">
        <v>76</v>
      </c>
      <c r="E1120">
        <v>115</v>
      </c>
      <c r="F1120">
        <v>1</v>
      </c>
    </row>
    <row r="1121" spans="2:6" x14ac:dyDescent="0.3">
      <c r="B1121" t="s">
        <v>861</v>
      </c>
      <c r="D1121">
        <v>38</v>
      </c>
      <c r="E1121">
        <v>54</v>
      </c>
      <c r="F1121">
        <v>1</v>
      </c>
    </row>
    <row r="1122" spans="2:6" x14ac:dyDescent="0.3">
      <c r="B1122" t="s">
        <v>862</v>
      </c>
      <c r="D1122">
        <v>18</v>
      </c>
      <c r="E1122">
        <v>19</v>
      </c>
      <c r="F1122">
        <v>1</v>
      </c>
    </row>
    <row r="1123" spans="2:6" x14ac:dyDescent="0.3">
      <c r="B1123" t="s">
        <v>673</v>
      </c>
      <c r="D1123">
        <v>7</v>
      </c>
      <c r="E1123">
        <v>7</v>
      </c>
      <c r="F1123">
        <v>1</v>
      </c>
    </row>
    <row r="1124" spans="2:6" x14ac:dyDescent="0.3">
      <c r="B1124" t="s">
        <v>675</v>
      </c>
      <c r="D1124">
        <v>2</v>
      </c>
      <c r="E1124">
        <v>1</v>
      </c>
      <c r="F1124">
        <v>1</v>
      </c>
    </row>
    <row r="1125" spans="2:6" x14ac:dyDescent="0.3">
      <c r="B1125" t="s">
        <v>676</v>
      </c>
      <c r="D1125">
        <v>1</v>
      </c>
      <c r="E1125">
        <v>0</v>
      </c>
      <c r="F1125">
        <v>1</v>
      </c>
    </row>
    <row r="1126" spans="2:6" x14ac:dyDescent="0.3">
      <c r="B1126" t="s">
        <v>676</v>
      </c>
      <c r="D1126">
        <v>1</v>
      </c>
      <c r="E1126">
        <v>0</v>
      </c>
      <c r="F1126">
        <v>1</v>
      </c>
    </row>
    <row r="1127" spans="2:6" x14ac:dyDescent="0.3">
      <c r="B1127" t="s">
        <v>42</v>
      </c>
      <c r="D1127">
        <v>0</v>
      </c>
      <c r="E1127">
        <v>0</v>
      </c>
      <c r="F1127">
        <v>1</v>
      </c>
    </row>
    <row r="1128" spans="2:6" x14ac:dyDescent="0.3">
      <c r="B1128" t="s">
        <v>42</v>
      </c>
      <c r="D1128">
        <v>0</v>
      </c>
      <c r="E1128">
        <v>0</v>
      </c>
      <c r="F1128">
        <v>1</v>
      </c>
    </row>
    <row r="1129" spans="2:6" x14ac:dyDescent="0.3">
      <c r="B1129" t="s">
        <v>42</v>
      </c>
      <c r="D1129">
        <v>0</v>
      </c>
      <c r="E1129">
        <v>0</v>
      </c>
      <c r="F1129">
        <v>1</v>
      </c>
    </row>
    <row r="1130" spans="2:6" x14ac:dyDescent="0.3">
      <c r="B1130" t="s">
        <v>42</v>
      </c>
      <c r="D1130">
        <v>0</v>
      </c>
      <c r="E1130">
        <v>0</v>
      </c>
      <c r="F1130">
        <v>1</v>
      </c>
    </row>
    <row r="1131" spans="2:6" x14ac:dyDescent="0.3">
      <c r="B1131" t="s">
        <v>42</v>
      </c>
      <c r="D1131">
        <v>0</v>
      </c>
      <c r="E1131">
        <v>0</v>
      </c>
      <c r="F1131">
        <v>1</v>
      </c>
    </row>
    <row r="1132" spans="2:6" x14ac:dyDescent="0.3">
      <c r="B1132" t="s">
        <v>42</v>
      </c>
      <c r="D1132">
        <v>0</v>
      </c>
      <c r="E1132">
        <v>0</v>
      </c>
      <c r="F1132">
        <v>1</v>
      </c>
    </row>
    <row r="1133" spans="2:6" x14ac:dyDescent="0.3">
      <c r="B1133" t="s">
        <v>863</v>
      </c>
      <c r="D1133">
        <v>0</v>
      </c>
      <c r="E1133">
        <v>28</v>
      </c>
      <c r="F1133">
        <v>1</v>
      </c>
    </row>
    <row r="1134" spans="2:6" x14ac:dyDescent="0.3">
      <c r="B1134" t="s">
        <v>42</v>
      </c>
      <c r="D1134">
        <v>0</v>
      </c>
      <c r="E1134">
        <v>0</v>
      </c>
      <c r="F1134">
        <v>1</v>
      </c>
    </row>
    <row r="1135" spans="2:6" x14ac:dyDescent="0.3">
      <c r="B1135" t="s">
        <v>42</v>
      </c>
      <c r="D1135">
        <v>0</v>
      </c>
      <c r="E1135">
        <v>0</v>
      </c>
      <c r="F1135">
        <v>1</v>
      </c>
    </row>
    <row r="1136" spans="2:6" x14ac:dyDescent="0.3">
      <c r="B1136" t="s">
        <v>42</v>
      </c>
      <c r="D1136">
        <v>0</v>
      </c>
      <c r="E1136">
        <v>0</v>
      </c>
      <c r="F1136">
        <v>1</v>
      </c>
    </row>
    <row r="1137" spans="2:6" x14ac:dyDescent="0.3">
      <c r="B1137" t="s">
        <v>42</v>
      </c>
      <c r="D1137">
        <v>0</v>
      </c>
      <c r="E1137">
        <v>0</v>
      </c>
      <c r="F1137">
        <v>1</v>
      </c>
    </row>
    <row r="1138" spans="2:6" x14ac:dyDescent="0.3">
      <c r="B1138" t="s">
        <v>42</v>
      </c>
      <c r="D1138">
        <v>0</v>
      </c>
      <c r="E1138">
        <v>0</v>
      </c>
      <c r="F1138">
        <v>1</v>
      </c>
    </row>
    <row r="1139" spans="2:6" x14ac:dyDescent="0.3">
      <c r="B1139" t="s">
        <v>42</v>
      </c>
      <c r="D1139">
        <v>0</v>
      </c>
      <c r="E1139">
        <v>0</v>
      </c>
      <c r="F1139">
        <v>1</v>
      </c>
    </row>
    <row r="1140" spans="2:6" x14ac:dyDescent="0.3">
      <c r="B1140" t="s">
        <v>42</v>
      </c>
      <c r="D1140">
        <v>0</v>
      </c>
      <c r="E1140">
        <v>0</v>
      </c>
      <c r="F1140">
        <v>1</v>
      </c>
    </row>
    <row r="1141" spans="2:6" x14ac:dyDescent="0.3">
      <c r="B1141" t="s">
        <v>42</v>
      </c>
      <c r="D1141">
        <v>0</v>
      </c>
      <c r="E1141">
        <v>0</v>
      </c>
      <c r="F1141">
        <v>1</v>
      </c>
    </row>
    <row r="1142" spans="2:6" x14ac:dyDescent="0.3">
      <c r="B1142" t="s">
        <v>42</v>
      </c>
      <c r="D1142">
        <v>0</v>
      </c>
      <c r="E1142">
        <v>0</v>
      </c>
      <c r="F1142">
        <v>1</v>
      </c>
    </row>
    <row r="1143" spans="2:6" x14ac:dyDescent="0.3">
      <c r="B1143" t="s">
        <v>42</v>
      </c>
      <c r="D1143">
        <v>0</v>
      </c>
      <c r="E1143">
        <v>0</v>
      </c>
      <c r="F1143">
        <v>1</v>
      </c>
    </row>
    <row r="1144" spans="2:6" x14ac:dyDescent="0.3">
      <c r="B1144" t="s">
        <v>42</v>
      </c>
      <c r="D1144">
        <v>0</v>
      </c>
      <c r="E1144">
        <v>0</v>
      </c>
      <c r="F1144">
        <v>1</v>
      </c>
    </row>
    <row r="1145" spans="2:6" x14ac:dyDescent="0.3">
      <c r="B1145" t="s">
        <v>42</v>
      </c>
      <c r="D1145">
        <v>0</v>
      </c>
      <c r="E1145">
        <v>0</v>
      </c>
      <c r="F1145">
        <v>1</v>
      </c>
    </row>
    <row r="1146" spans="2:6" x14ac:dyDescent="0.3">
      <c r="B1146" t="s">
        <v>42</v>
      </c>
      <c r="D1146">
        <v>0</v>
      </c>
      <c r="E1146">
        <v>0</v>
      </c>
      <c r="F1146">
        <v>1</v>
      </c>
    </row>
    <row r="1147" spans="2:6" x14ac:dyDescent="0.3">
      <c r="B1147" t="s">
        <v>42</v>
      </c>
      <c r="D1147">
        <v>0</v>
      </c>
      <c r="E1147">
        <v>0</v>
      </c>
      <c r="F1147">
        <v>1</v>
      </c>
    </row>
    <row r="1148" spans="2:6" x14ac:dyDescent="0.3">
      <c r="B1148" t="s">
        <v>42</v>
      </c>
      <c r="D1148">
        <v>0</v>
      </c>
      <c r="E1148">
        <v>0</v>
      </c>
      <c r="F1148">
        <v>1</v>
      </c>
    </row>
    <row r="1149" spans="2:6" x14ac:dyDescent="0.3">
      <c r="B1149" t="s">
        <v>42</v>
      </c>
      <c r="D1149">
        <v>0</v>
      </c>
      <c r="E1149">
        <v>0</v>
      </c>
      <c r="F1149">
        <v>1</v>
      </c>
    </row>
    <row r="1150" spans="2:6" x14ac:dyDescent="0.3">
      <c r="B1150" t="s">
        <v>42</v>
      </c>
      <c r="D1150">
        <v>0</v>
      </c>
      <c r="E1150">
        <v>0</v>
      </c>
      <c r="F1150">
        <v>1</v>
      </c>
    </row>
    <row r="1151" spans="2:6" x14ac:dyDescent="0.3">
      <c r="B1151" t="s">
        <v>42</v>
      </c>
      <c r="D1151">
        <v>0</v>
      </c>
      <c r="E1151">
        <v>0</v>
      </c>
      <c r="F1151">
        <v>1</v>
      </c>
    </row>
    <row r="1152" spans="2:6" x14ac:dyDescent="0.3">
      <c r="B1152" t="s">
        <v>42</v>
      </c>
      <c r="D1152">
        <v>0</v>
      </c>
      <c r="E1152">
        <v>0</v>
      </c>
      <c r="F1152">
        <v>1</v>
      </c>
    </row>
    <row r="1153" spans="2:6" x14ac:dyDescent="0.3">
      <c r="B1153" t="s">
        <v>42</v>
      </c>
      <c r="D1153">
        <v>0</v>
      </c>
      <c r="E1153">
        <v>0</v>
      </c>
      <c r="F1153">
        <v>1</v>
      </c>
    </row>
    <row r="1154" spans="2:6" x14ac:dyDescent="0.3">
      <c r="B1154" t="s">
        <v>42</v>
      </c>
      <c r="D1154">
        <v>0</v>
      </c>
      <c r="E1154">
        <v>0</v>
      </c>
      <c r="F1154">
        <v>1</v>
      </c>
    </row>
    <row r="1155" spans="2:6" x14ac:dyDescent="0.3">
      <c r="B1155" t="s">
        <v>42</v>
      </c>
      <c r="D1155">
        <v>0</v>
      </c>
      <c r="E1155">
        <v>0</v>
      </c>
      <c r="F1155">
        <v>1</v>
      </c>
    </row>
    <row r="1156" spans="2:6" x14ac:dyDescent="0.3">
      <c r="B1156" t="s">
        <v>42</v>
      </c>
      <c r="D1156">
        <v>0</v>
      </c>
      <c r="E1156">
        <v>0</v>
      </c>
      <c r="F1156">
        <v>1</v>
      </c>
    </row>
    <row r="1157" spans="2:6" x14ac:dyDescent="0.3">
      <c r="B1157" t="s">
        <v>42</v>
      </c>
      <c r="D1157">
        <v>0</v>
      </c>
      <c r="E1157">
        <v>0</v>
      </c>
      <c r="F1157">
        <v>1</v>
      </c>
    </row>
    <row r="1158" spans="2:6" x14ac:dyDescent="0.3">
      <c r="B1158" t="s">
        <v>42</v>
      </c>
      <c r="D1158">
        <v>0</v>
      </c>
      <c r="E1158">
        <v>0</v>
      </c>
      <c r="F1158">
        <v>1</v>
      </c>
    </row>
    <row r="1159" spans="2:6" x14ac:dyDescent="0.3">
      <c r="B1159" t="s">
        <v>42</v>
      </c>
      <c r="D1159">
        <v>0</v>
      </c>
      <c r="E1159">
        <v>0</v>
      </c>
      <c r="F1159">
        <v>1</v>
      </c>
    </row>
    <row r="1160" spans="2:6" x14ac:dyDescent="0.3">
      <c r="B1160" t="s">
        <v>42</v>
      </c>
      <c r="D1160">
        <v>0</v>
      </c>
      <c r="E1160">
        <v>0</v>
      </c>
      <c r="F1160">
        <v>1</v>
      </c>
    </row>
    <row r="1161" spans="2:6" x14ac:dyDescent="0.3">
      <c r="B1161" t="s">
        <v>42</v>
      </c>
      <c r="D1161">
        <v>0</v>
      </c>
      <c r="E1161">
        <v>0</v>
      </c>
      <c r="F1161">
        <v>1</v>
      </c>
    </row>
    <row r="1162" spans="2:6" x14ac:dyDescent="0.3">
      <c r="B1162" t="s">
        <v>863</v>
      </c>
      <c r="D1162">
        <v>0</v>
      </c>
      <c r="E1162">
        <v>28</v>
      </c>
      <c r="F1162">
        <v>1</v>
      </c>
    </row>
    <row r="1163" spans="2:6" x14ac:dyDescent="0.3">
      <c r="B1163" t="s">
        <v>42</v>
      </c>
      <c r="D1163">
        <v>0</v>
      </c>
      <c r="E1163">
        <v>0</v>
      </c>
      <c r="F1163">
        <v>1</v>
      </c>
    </row>
    <row r="1164" spans="2:6" x14ac:dyDescent="0.3">
      <c r="B1164" t="s">
        <v>42</v>
      </c>
      <c r="D1164">
        <v>0</v>
      </c>
      <c r="E1164">
        <v>0</v>
      </c>
      <c r="F1164">
        <v>1</v>
      </c>
    </row>
    <row r="1165" spans="2:6" x14ac:dyDescent="0.3">
      <c r="B1165" t="s">
        <v>42</v>
      </c>
      <c r="D1165">
        <v>0</v>
      </c>
      <c r="E1165">
        <v>0</v>
      </c>
      <c r="F1165">
        <v>1</v>
      </c>
    </row>
    <row r="1166" spans="2:6" x14ac:dyDescent="0.3">
      <c r="B1166" t="s">
        <v>42</v>
      </c>
      <c r="D1166">
        <v>0</v>
      </c>
      <c r="E1166">
        <v>0</v>
      </c>
      <c r="F1166">
        <v>1</v>
      </c>
    </row>
    <row r="1167" spans="2:6" x14ac:dyDescent="0.3">
      <c r="B1167" t="s">
        <v>42</v>
      </c>
      <c r="D1167">
        <v>0</v>
      </c>
      <c r="E1167">
        <v>0</v>
      </c>
      <c r="F1167">
        <v>1</v>
      </c>
    </row>
    <row r="1168" spans="2:6" x14ac:dyDescent="0.3">
      <c r="B1168" t="s">
        <v>42</v>
      </c>
      <c r="D1168">
        <v>0</v>
      </c>
      <c r="E1168">
        <v>0</v>
      </c>
      <c r="F1168">
        <v>1</v>
      </c>
    </row>
    <row r="1169" spans="2:6" x14ac:dyDescent="0.3">
      <c r="B1169" t="s">
        <v>42</v>
      </c>
      <c r="D1169">
        <v>0</v>
      </c>
      <c r="E1169">
        <v>0</v>
      </c>
      <c r="F1169">
        <v>1</v>
      </c>
    </row>
    <row r="1170" spans="2:6" x14ac:dyDescent="0.3">
      <c r="B1170" t="s">
        <v>42</v>
      </c>
      <c r="D1170">
        <v>0</v>
      </c>
      <c r="E1170">
        <v>0</v>
      </c>
      <c r="F1170">
        <v>1</v>
      </c>
    </row>
    <row r="1171" spans="2:6" x14ac:dyDescent="0.3">
      <c r="B1171" t="s">
        <v>42</v>
      </c>
      <c r="D1171">
        <v>0</v>
      </c>
      <c r="E1171">
        <v>0</v>
      </c>
      <c r="F1171">
        <v>1</v>
      </c>
    </row>
    <row r="1172" spans="2:6" x14ac:dyDescent="0.3">
      <c r="B1172" t="s">
        <v>42</v>
      </c>
      <c r="D1172">
        <v>0</v>
      </c>
      <c r="E1172">
        <v>0</v>
      </c>
      <c r="F1172">
        <v>1</v>
      </c>
    </row>
    <row r="1173" spans="2:6" x14ac:dyDescent="0.3">
      <c r="B1173" t="s">
        <v>42</v>
      </c>
      <c r="D1173">
        <v>0</v>
      </c>
      <c r="E1173">
        <v>0</v>
      </c>
      <c r="F1173">
        <v>1</v>
      </c>
    </row>
    <row r="1174" spans="2:6" x14ac:dyDescent="0.3">
      <c r="B1174" t="s">
        <v>42</v>
      </c>
      <c r="D1174">
        <v>0</v>
      </c>
      <c r="E1174">
        <v>0</v>
      </c>
      <c r="F1174">
        <v>1</v>
      </c>
    </row>
    <row r="1175" spans="2:6" x14ac:dyDescent="0.3">
      <c r="B1175" t="s">
        <v>42</v>
      </c>
      <c r="D1175">
        <v>0</v>
      </c>
      <c r="E1175">
        <v>0</v>
      </c>
      <c r="F1175">
        <v>1</v>
      </c>
    </row>
    <row r="1176" spans="2:6" x14ac:dyDescent="0.3">
      <c r="B1176" t="s">
        <v>42</v>
      </c>
      <c r="D1176">
        <v>0</v>
      </c>
      <c r="E1176">
        <v>0</v>
      </c>
      <c r="F1176">
        <v>1</v>
      </c>
    </row>
    <row r="1177" spans="2:6" x14ac:dyDescent="0.3">
      <c r="B1177" t="s">
        <v>42</v>
      </c>
      <c r="D1177">
        <v>0</v>
      </c>
      <c r="E1177">
        <v>0</v>
      </c>
      <c r="F1177">
        <v>1</v>
      </c>
    </row>
    <row r="1178" spans="2:6" x14ac:dyDescent="0.3">
      <c r="B1178" t="s">
        <v>42</v>
      </c>
      <c r="D1178">
        <v>0</v>
      </c>
      <c r="E1178">
        <v>0</v>
      </c>
      <c r="F1178">
        <v>1</v>
      </c>
    </row>
    <row r="1179" spans="2:6" x14ac:dyDescent="0.3">
      <c r="B1179" t="s">
        <v>42</v>
      </c>
      <c r="D1179">
        <v>0</v>
      </c>
      <c r="E1179">
        <v>0</v>
      </c>
      <c r="F1179">
        <v>1</v>
      </c>
    </row>
    <row r="1180" spans="2:6" x14ac:dyDescent="0.3">
      <c r="B1180" t="s">
        <v>42</v>
      </c>
      <c r="D1180">
        <v>0</v>
      </c>
      <c r="E1180">
        <v>0</v>
      </c>
      <c r="F1180">
        <v>1</v>
      </c>
    </row>
    <row r="1181" spans="2:6" x14ac:dyDescent="0.3">
      <c r="B1181" t="s">
        <v>42</v>
      </c>
      <c r="D1181">
        <v>0</v>
      </c>
      <c r="E1181">
        <v>0</v>
      </c>
      <c r="F1181">
        <v>1</v>
      </c>
    </row>
    <row r="1182" spans="2:6" x14ac:dyDescent="0.3">
      <c r="B1182" t="s">
        <v>42</v>
      </c>
      <c r="D1182">
        <v>0</v>
      </c>
      <c r="E1182">
        <v>0</v>
      </c>
      <c r="F1182">
        <v>1</v>
      </c>
    </row>
    <row r="1183" spans="2:6" x14ac:dyDescent="0.3">
      <c r="B1183" t="s">
        <v>42</v>
      </c>
      <c r="D1183">
        <v>0</v>
      </c>
      <c r="E1183">
        <v>0</v>
      </c>
      <c r="F1183">
        <v>1</v>
      </c>
    </row>
    <row r="1184" spans="2:6" x14ac:dyDescent="0.3">
      <c r="B1184" t="s">
        <v>42</v>
      </c>
      <c r="D1184">
        <v>0</v>
      </c>
      <c r="E1184">
        <v>0</v>
      </c>
      <c r="F1184">
        <v>1</v>
      </c>
    </row>
    <row r="1185" spans="2:6" x14ac:dyDescent="0.3">
      <c r="B1185" t="s">
        <v>42</v>
      </c>
      <c r="D1185">
        <v>0</v>
      </c>
      <c r="E1185">
        <v>0</v>
      </c>
      <c r="F1185">
        <v>1</v>
      </c>
    </row>
    <row r="1186" spans="2:6" x14ac:dyDescent="0.3">
      <c r="B1186" t="s">
        <v>42</v>
      </c>
      <c r="D1186">
        <v>0</v>
      </c>
      <c r="E1186">
        <v>0</v>
      </c>
      <c r="F1186">
        <v>1</v>
      </c>
    </row>
    <row r="1187" spans="2:6" x14ac:dyDescent="0.3">
      <c r="B1187" t="s">
        <v>42</v>
      </c>
      <c r="D1187">
        <v>0</v>
      </c>
      <c r="E1187">
        <v>0</v>
      </c>
      <c r="F1187">
        <v>1</v>
      </c>
    </row>
    <row r="1188" spans="2:6" x14ac:dyDescent="0.3">
      <c r="B1188" t="s">
        <v>42</v>
      </c>
      <c r="D1188">
        <v>0</v>
      </c>
      <c r="E1188">
        <v>0</v>
      </c>
      <c r="F1188">
        <v>1</v>
      </c>
    </row>
    <row r="1189" spans="2:6" x14ac:dyDescent="0.3">
      <c r="B1189" t="s">
        <v>42</v>
      </c>
      <c r="D1189">
        <v>0</v>
      </c>
      <c r="E1189">
        <v>0</v>
      </c>
      <c r="F1189">
        <v>1</v>
      </c>
    </row>
    <row r="1190" spans="2:6" x14ac:dyDescent="0.3">
      <c r="B1190" t="s">
        <v>42</v>
      </c>
      <c r="D1190">
        <v>0</v>
      </c>
      <c r="E1190">
        <v>0</v>
      </c>
      <c r="F1190">
        <v>1</v>
      </c>
    </row>
    <row r="1191" spans="2:6" x14ac:dyDescent="0.3">
      <c r="B1191" t="s">
        <v>42</v>
      </c>
      <c r="D1191">
        <v>0</v>
      </c>
      <c r="E1191">
        <v>0</v>
      </c>
      <c r="F1191">
        <v>1</v>
      </c>
    </row>
    <row r="1192" spans="2:6" x14ac:dyDescent="0.3">
      <c r="B1192" t="s">
        <v>42</v>
      </c>
      <c r="D1192">
        <v>0</v>
      </c>
      <c r="E1192">
        <v>0</v>
      </c>
      <c r="F1192">
        <v>1</v>
      </c>
    </row>
    <row r="1193" spans="2:6" x14ac:dyDescent="0.3">
      <c r="B1193" t="s">
        <v>42</v>
      </c>
      <c r="D1193">
        <v>0</v>
      </c>
      <c r="E1193">
        <v>0</v>
      </c>
      <c r="F1193">
        <v>1</v>
      </c>
    </row>
    <row r="1194" spans="2:6" x14ac:dyDescent="0.3">
      <c r="B1194" t="s">
        <v>42</v>
      </c>
      <c r="D1194">
        <v>0</v>
      </c>
      <c r="E1194">
        <v>0</v>
      </c>
      <c r="F1194">
        <v>1</v>
      </c>
    </row>
    <row r="1195" spans="2:6" x14ac:dyDescent="0.3">
      <c r="B1195" t="s">
        <v>42</v>
      </c>
      <c r="D1195">
        <v>0</v>
      </c>
      <c r="E1195">
        <v>0</v>
      </c>
      <c r="F1195">
        <v>1</v>
      </c>
    </row>
    <row r="1196" spans="2:6" x14ac:dyDescent="0.3">
      <c r="B1196" t="s">
        <v>863</v>
      </c>
      <c r="D1196">
        <v>0</v>
      </c>
      <c r="E1196">
        <v>28</v>
      </c>
      <c r="F1196">
        <v>1</v>
      </c>
    </row>
    <row r="1197" spans="2:6" x14ac:dyDescent="0.3">
      <c r="B1197" t="s">
        <v>42</v>
      </c>
      <c r="D1197">
        <v>0</v>
      </c>
      <c r="E1197">
        <v>0</v>
      </c>
      <c r="F1197">
        <v>1</v>
      </c>
    </row>
    <row r="1198" spans="2:6" x14ac:dyDescent="0.3">
      <c r="B1198" t="s">
        <v>42</v>
      </c>
      <c r="D1198">
        <v>0</v>
      </c>
      <c r="E1198">
        <v>0</v>
      </c>
      <c r="F1198">
        <v>1</v>
      </c>
    </row>
    <row r="1199" spans="2:6" x14ac:dyDescent="0.3">
      <c r="B1199" t="s">
        <v>676</v>
      </c>
      <c r="D1199">
        <v>1</v>
      </c>
      <c r="E1199">
        <v>0</v>
      </c>
      <c r="F1199">
        <v>1</v>
      </c>
    </row>
    <row r="1200" spans="2:6" x14ac:dyDescent="0.3">
      <c r="B1200" t="s">
        <v>864</v>
      </c>
      <c r="D1200">
        <v>2</v>
      </c>
      <c r="E1200">
        <v>2</v>
      </c>
      <c r="F1200">
        <v>1</v>
      </c>
    </row>
    <row r="1201" spans="2:6" x14ac:dyDescent="0.3">
      <c r="B1201" t="s">
        <v>865</v>
      </c>
      <c r="D1201">
        <v>5</v>
      </c>
      <c r="E1201">
        <v>6</v>
      </c>
      <c r="F1201">
        <v>1</v>
      </c>
    </row>
    <row r="1202" spans="2:6" x14ac:dyDescent="0.3">
      <c r="B1202" t="s">
        <v>866</v>
      </c>
      <c r="D1202">
        <v>16</v>
      </c>
      <c r="E1202">
        <v>16</v>
      </c>
      <c r="F1202">
        <v>1</v>
      </c>
    </row>
    <row r="1203" spans="2:6" x14ac:dyDescent="0.3">
      <c r="B1203" t="s">
        <v>867</v>
      </c>
      <c r="D1203">
        <v>28</v>
      </c>
      <c r="E1203">
        <v>32</v>
      </c>
      <c r="F1203">
        <v>1</v>
      </c>
    </row>
    <row r="1204" spans="2:6" x14ac:dyDescent="0.3">
      <c r="B1204" t="s">
        <v>868</v>
      </c>
      <c r="D1204">
        <v>73</v>
      </c>
      <c r="E1204">
        <v>88</v>
      </c>
      <c r="F1204">
        <v>1</v>
      </c>
    </row>
    <row r="1205" spans="2:6" x14ac:dyDescent="0.3">
      <c r="B1205" t="s">
        <v>869</v>
      </c>
      <c r="D1205">
        <v>95</v>
      </c>
      <c r="E1205">
        <v>296</v>
      </c>
      <c r="F1205">
        <v>1</v>
      </c>
    </row>
    <row r="1206" spans="2:6" x14ac:dyDescent="0.3">
      <c r="B1206" t="s">
        <v>870</v>
      </c>
      <c r="D1206">
        <v>109</v>
      </c>
      <c r="E1206">
        <v>507</v>
      </c>
      <c r="F1206">
        <v>1</v>
      </c>
    </row>
    <row r="1207" spans="2:6" x14ac:dyDescent="0.3">
      <c r="B1207" t="s">
        <v>871</v>
      </c>
      <c r="D1207">
        <v>109</v>
      </c>
      <c r="E1207">
        <v>1000</v>
      </c>
      <c r="F1207">
        <v>1</v>
      </c>
    </row>
    <row r="1208" spans="2:6" x14ac:dyDescent="0.3">
      <c r="B1208" t="s">
        <v>872</v>
      </c>
      <c r="D1208">
        <v>121</v>
      </c>
      <c r="E1208">
        <v>1679</v>
      </c>
      <c r="F1208">
        <v>1</v>
      </c>
    </row>
    <row r="1209" spans="2:6" x14ac:dyDescent="0.3">
      <c r="B1209" t="s">
        <v>873</v>
      </c>
      <c r="D1209">
        <v>128</v>
      </c>
      <c r="E1209">
        <v>1993</v>
      </c>
      <c r="F1209">
        <v>1</v>
      </c>
    </row>
    <row r="1210" spans="2:6" x14ac:dyDescent="0.3">
      <c r="B1210" t="s">
        <v>874</v>
      </c>
      <c r="D1210">
        <v>135</v>
      </c>
      <c r="E1210">
        <v>3090</v>
      </c>
      <c r="F1210">
        <v>1</v>
      </c>
    </row>
    <row r="1211" spans="2:6" x14ac:dyDescent="0.3">
      <c r="B1211" t="s">
        <v>875</v>
      </c>
      <c r="D1211">
        <v>141</v>
      </c>
      <c r="E1211">
        <v>4284</v>
      </c>
      <c r="F1211">
        <v>1</v>
      </c>
    </row>
    <row r="1212" spans="2:6" x14ac:dyDescent="0.3">
      <c r="B1212" t="s">
        <v>876</v>
      </c>
      <c r="D1212">
        <v>149</v>
      </c>
      <c r="E1212">
        <v>9956</v>
      </c>
      <c r="F1212">
        <v>1</v>
      </c>
    </row>
    <row r="1213" spans="2:6" x14ac:dyDescent="0.3">
      <c r="B1213" t="s">
        <v>877</v>
      </c>
      <c r="D1213">
        <v>161</v>
      </c>
      <c r="E1213">
        <v>14212</v>
      </c>
      <c r="F1213">
        <v>1</v>
      </c>
    </row>
    <row r="1214" spans="2:6" x14ac:dyDescent="0.3">
      <c r="B1214" t="s">
        <v>878</v>
      </c>
      <c r="D1214">
        <v>167</v>
      </c>
      <c r="E1214">
        <v>16928</v>
      </c>
      <c r="F1214">
        <v>1</v>
      </c>
    </row>
    <row r="1215" spans="2:6" x14ac:dyDescent="0.3">
      <c r="B1215" t="s">
        <v>879</v>
      </c>
      <c r="D1215">
        <v>169</v>
      </c>
      <c r="E1215">
        <v>20528</v>
      </c>
      <c r="F1215">
        <v>1</v>
      </c>
    </row>
    <row r="1216" spans="2:6" x14ac:dyDescent="0.3">
      <c r="B1216" t="s">
        <v>880</v>
      </c>
      <c r="D1216">
        <v>183</v>
      </c>
      <c r="E1216">
        <v>45024</v>
      </c>
      <c r="F1216">
        <v>1</v>
      </c>
    </row>
    <row r="1217" spans="2:6" x14ac:dyDescent="0.3">
      <c r="B1217" t="s">
        <v>881</v>
      </c>
      <c r="D1217">
        <v>183</v>
      </c>
      <c r="E1217">
        <v>44464</v>
      </c>
      <c r="F1217">
        <v>1</v>
      </c>
    </row>
    <row r="1218" spans="2:6" x14ac:dyDescent="0.3">
      <c r="B1218" t="s">
        <v>882</v>
      </c>
      <c r="D1218">
        <v>182</v>
      </c>
      <c r="E1218">
        <v>34848</v>
      </c>
      <c r="F1218">
        <v>1</v>
      </c>
    </row>
    <row r="1219" spans="2:6" x14ac:dyDescent="0.3">
      <c r="B1219" t="s">
        <v>883</v>
      </c>
      <c r="D1219">
        <v>196</v>
      </c>
      <c r="E1219">
        <v>1856</v>
      </c>
      <c r="F1219">
        <v>1</v>
      </c>
    </row>
    <row r="1220" spans="2:6" x14ac:dyDescent="0.3">
      <c r="B1220" t="s">
        <v>884</v>
      </c>
      <c r="D1220">
        <v>195</v>
      </c>
      <c r="E1220">
        <v>19264</v>
      </c>
      <c r="F1220">
        <v>1</v>
      </c>
    </row>
    <row r="1221" spans="2:6" x14ac:dyDescent="0.3">
      <c r="B1221" t="s">
        <v>885</v>
      </c>
      <c r="D1221">
        <v>195</v>
      </c>
      <c r="E1221">
        <v>23456</v>
      </c>
      <c r="F1221">
        <v>1</v>
      </c>
    </row>
    <row r="1222" spans="2:6" x14ac:dyDescent="0.3">
      <c r="B1222" t="s">
        <v>886</v>
      </c>
      <c r="D1222">
        <v>195</v>
      </c>
      <c r="E1222">
        <v>21056</v>
      </c>
      <c r="F1222">
        <v>1</v>
      </c>
    </row>
    <row r="1223" spans="2:6" x14ac:dyDescent="0.3">
      <c r="B1223" t="s">
        <v>887</v>
      </c>
      <c r="D1223">
        <v>196</v>
      </c>
      <c r="E1223">
        <v>24768</v>
      </c>
      <c r="F1223">
        <v>1</v>
      </c>
    </row>
    <row r="1224" spans="2:6" x14ac:dyDescent="0.3">
      <c r="B1224" t="s">
        <v>888</v>
      </c>
      <c r="D1224">
        <v>193</v>
      </c>
      <c r="E1224">
        <v>19456</v>
      </c>
      <c r="F1224">
        <v>1</v>
      </c>
    </row>
    <row r="1225" spans="2:6" x14ac:dyDescent="0.3">
      <c r="B1225" t="s">
        <v>889</v>
      </c>
      <c r="D1225">
        <v>195</v>
      </c>
      <c r="E1225">
        <v>29216</v>
      </c>
      <c r="F1225">
        <v>1</v>
      </c>
    </row>
    <row r="1226" spans="2:6" x14ac:dyDescent="0.3">
      <c r="B1226" t="s">
        <v>890</v>
      </c>
      <c r="D1226">
        <v>197</v>
      </c>
      <c r="E1226">
        <v>38272</v>
      </c>
      <c r="F1226">
        <v>1</v>
      </c>
    </row>
    <row r="1227" spans="2:6" x14ac:dyDescent="0.3">
      <c r="B1227" t="s">
        <v>891</v>
      </c>
      <c r="D1227">
        <v>203</v>
      </c>
      <c r="E1227">
        <v>3968</v>
      </c>
      <c r="F1227">
        <v>1</v>
      </c>
    </row>
    <row r="1228" spans="2:6" x14ac:dyDescent="0.3">
      <c r="B1228" t="s">
        <v>892</v>
      </c>
      <c r="D1228">
        <v>205</v>
      </c>
      <c r="E1228">
        <v>22016</v>
      </c>
      <c r="F1228">
        <v>1</v>
      </c>
    </row>
    <row r="1229" spans="2:6" x14ac:dyDescent="0.3">
      <c r="B1229" t="s">
        <v>893</v>
      </c>
      <c r="D1229">
        <v>205</v>
      </c>
      <c r="E1229">
        <v>16256</v>
      </c>
      <c r="F1229">
        <v>1</v>
      </c>
    </row>
    <row r="1230" spans="2:6" x14ac:dyDescent="0.3">
      <c r="B1230" t="s">
        <v>894</v>
      </c>
      <c r="D1230">
        <v>206</v>
      </c>
      <c r="E1230">
        <v>26816</v>
      </c>
      <c r="F1230">
        <v>1</v>
      </c>
    </row>
    <row r="1231" spans="2:6" x14ac:dyDescent="0.3">
      <c r="B1231" t="s">
        <v>895</v>
      </c>
      <c r="D1231">
        <v>207</v>
      </c>
      <c r="E1231">
        <v>32320</v>
      </c>
      <c r="F1231">
        <v>1</v>
      </c>
    </row>
    <row r="1232" spans="2:6" x14ac:dyDescent="0.3">
      <c r="B1232" t="s">
        <v>896</v>
      </c>
      <c r="D1232">
        <v>195</v>
      </c>
      <c r="E1232">
        <v>42464</v>
      </c>
      <c r="F1232">
        <v>1</v>
      </c>
    </row>
    <row r="1233" spans="2:6" x14ac:dyDescent="0.3">
      <c r="B1233" t="s">
        <v>897</v>
      </c>
      <c r="D1233">
        <v>195</v>
      </c>
      <c r="E1233">
        <v>25024</v>
      </c>
      <c r="F1233">
        <v>1</v>
      </c>
    </row>
    <row r="1234" spans="2:6" x14ac:dyDescent="0.3">
      <c r="B1234" t="s">
        <v>898</v>
      </c>
      <c r="D1234">
        <v>204</v>
      </c>
      <c r="E1234">
        <v>704</v>
      </c>
      <c r="F1234">
        <v>1</v>
      </c>
    </row>
    <row r="1235" spans="2:6" x14ac:dyDescent="0.3">
      <c r="B1235" t="s">
        <v>899</v>
      </c>
      <c r="D1235">
        <v>210</v>
      </c>
      <c r="E1235">
        <v>13056</v>
      </c>
      <c r="F1235">
        <v>1</v>
      </c>
    </row>
    <row r="1236" spans="2:6" x14ac:dyDescent="0.3">
      <c r="B1236" t="s">
        <v>900</v>
      </c>
      <c r="D1236">
        <v>202</v>
      </c>
      <c r="E1236">
        <v>15104</v>
      </c>
      <c r="F1236">
        <v>1</v>
      </c>
    </row>
    <row r="1237" spans="2:6" x14ac:dyDescent="0.3">
      <c r="B1237" t="s">
        <v>901</v>
      </c>
      <c r="D1237">
        <v>205</v>
      </c>
      <c r="E1237">
        <v>960</v>
      </c>
      <c r="F1237">
        <v>1</v>
      </c>
    </row>
    <row r="1238" spans="2:6" x14ac:dyDescent="0.3">
      <c r="B1238" t="s">
        <v>902</v>
      </c>
      <c r="D1238">
        <v>208</v>
      </c>
      <c r="E1238">
        <v>62208</v>
      </c>
      <c r="F1238">
        <v>1</v>
      </c>
    </row>
    <row r="1239" spans="2:6" x14ac:dyDescent="0.3">
      <c r="B1239" t="s">
        <v>903</v>
      </c>
      <c r="D1239">
        <v>212</v>
      </c>
      <c r="E1239">
        <v>44416</v>
      </c>
      <c r="F1239">
        <v>1</v>
      </c>
    </row>
    <row r="1240" spans="2:6" x14ac:dyDescent="0.3">
      <c r="B1240" t="s">
        <v>904</v>
      </c>
      <c r="D1240">
        <v>201</v>
      </c>
      <c r="E1240">
        <v>3392</v>
      </c>
      <c r="F1240">
        <v>1</v>
      </c>
    </row>
    <row r="1241" spans="2:6" x14ac:dyDescent="0.3">
      <c r="B1241" t="s">
        <v>905</v>
      </c>
      <c r="D1241">
        <v>199</v>
      </c>
      <c r="E1241">
        <v>46304</v>
      </c>
      <c r="F1241">
        <v>1</v>
      </c>
    </row>
    <row r="1242" spans="2:6" x14ac:dyDescent="0.3">
      <c r="B1242" t="s">
        <v>906</v>
      </c>
      <c r="D1242">
        <v>198</v>
      </c>
      <c r="E1242">
        <v>27424</v>
      </c>
      <c r="F1242">
        <v>1</v>
      </c>
    </row>
    <row r="1243" spans="2:6" x14ac:dyDescent="0.3">
      <c r="B1243" t="s">
        <v>907</v>
      </c>
      <c r="D1243">
        <v>202</v>
      </c>
      <c r="E1243">
        <v>2176</v>
      </c>
      <c r="F1243">
        <v>1</v>
      </c>
    </row>
    <row r="1244" spans="2:6" x14ac:dyDescent="0.3">
      <c r="B1244" t="s">
        <v>908</v>
      </c>
      <c r="D1244">
        <v>214</v>
      </c>
      <c r="E1244">
        <v>11776</v>
      </c>
      <c r="F1244">
        <v>1</v>
      </c>
    </row>
    <row r="1245" spans="2:6" x14ac:dyDescent="0.3">
      <c r="B1245" t="s">
        <v>909</v>
      </c>
      <c r="D1245">
        <v>214</v>
      </c>
      <c r="E1245">
        <v>27648</v>
      </c>
      <c r="F1245">
        <v>1</v>
      </c>
    </row>
    <row r="1246" spans="2:6" x14ac:dyDescent="0.3">
      <c r="B1246" t="s">
        <v>910</v>
      </c>
      <c r="D1246">
        <v>217</v>
      </c>
      <c r="E1246">
        <v>31872</v>
      </c>
      <c r="F1246">
        <v>1</v>
      </c>
    </row>
    <row r="1247" spans="2:6" x14ac:dyDescent="0.3">
      <c r="B1247" t="s">
        <v>911</v>
      </c>
      <c r="D1247">
        <v>218</v>
      </c>
      <c r="E1247">
        <v>63232</v>
      </c>
      <c r="F1247">
        <v>1</v>
      </c>
    </row>
    <row r="1248" spans="2:6" x14ac:dyDescent="0.3">
      <c r="B1248" t="s">
        <v>912</v>
      </c>
      <c r="D1248">
        <v>214</v>
      </c>
      <c r="E1248">
        <v>12800</v>
      </c>
      <c r="F1248">
        <v>1</v>
      </c>
    </row>
    <row r="1249" spans="2:6" x14ac:dyDescent="0.3">
      <c r="B1249" t="s">
        <v>913</v>
      </c>
      <c r="D1249">
        <v>217</v>
      </c>
      <c r="E1249">
        <v>2432</v>
      </c>
      <c r="F1249">
        <v>1</v>
      </c>
    </row>
    <row r="1250" spans="2:6" x14ac:dyDescent="0.3">
      <c r="B1250" t="s">
        <v>914</v>
      </c>
      <c r="D1250">
        <v>220</v>
      </c>
      <c r="E1250">
        <v>3328</v>
      </c>
      <c r="F1250">
        <v>1</v>
      </c>
    </row>
    <row r="1251" spans="2:6" x14ac:dyDescent="0.3">
      <c r="B1251" t="s">
        <v>915</v>
      </c>
      <c r="D1251">
        <v>213</v>
      </c>
      <c r="E1251">
        <v>59648</v>
      </c>
      <c r="F1251">
        <v>1</v>
      </c>
    </row>
    <row r="1252" spans="2:6" x14ac:dyDescent="0.3">
      <c r="B1252" t="s">
        <v>916</v>
      </c>
      <c r="D1252">
        <v>211</v>
      </c>
      <c r="E1252">
        <v>41536</v>
      </c>
      <c r="F1252">
        <v>1</v>
      </c>
    </row>
    <row r="1253" spans="2:6" x14ac:dyDescent="0.3">
      <c r="B1253" t="s">
        <v>917</v>
      </c>
      <c r="D1253">
        <v>208</v>
      </c>
      <c r="E1253">
        <v>63488</v>
      </c>
      <c r="F1253">
        <v>1</v>
      </c>
    </row>
    <row r="1254" spans="2:6" x14ac:dyDescent="0.3">
      <c r="B1254" t="s">
        <v>918</v>
      </c>
      <c r="D1254">
        <v>221</v>
      </c>
      <c r="E1254">
        <v>48256</v>
      </c>
      <c r="F1254">
        <v>1</v>
      </c>
    </row>
    <row r="1255" spans="2:6" x14ac:dyDescent="0.3">
      <c r="B1255" t="s">
        <v>919</v>
      </c>
      <c r="D1255">
        <v>209</v>
      </c>
      <c r="E1255">
        <v>768</v>
      </c>
      <c r="F1255">
        <v>1</v>
      </c>
    </row>
    <row r="1256" spans="2:6" x14ac:dyDescent="0.3">
      <c r="B1256" t="s">
        <v>920</v>
      </c>
      <c r="D1256">
        <v>199</v>
      </c>
      <c r="E1256">
        <v>45152</v>
      </c>
      <c r="F1256">
        <v>1</v>
      </c>
    </row>
    <row r="1257" spans="2:6" x14ac:dyDescent="0.3">
      <c r="B1257" t="s">
        <v>921</v>
      </c>
      <c r="D1257">
        <v>220</v>
      </c>
      <c r="E1257">
        <v>62976</v>
      </c>
      <c r="F1257">
        <v>1</v>
      </c>
    </row>
    <row r="1258" spans="2:6" x14ac:dyDescent="0.3">
      <c r="B1258" t="s">
        <v>922</v>
      </c>
      <c r="D1258">
        <v>227</v>
      </c>
      <c r="E1258">
        <v>19200</v>
      </c>
      <c r="F1258">
        <v>1</v>
      </c>
    </row>
    <row r="1260" spans="2:6" x14ac:dyDescent="0.3">
      <c r="B1260" t="s">
        <v>923</v>
      </c>
      <c r="D1260">
        <v>223</v>
      </c>
      <c r="E1260">
        <v>30720</v>
      </c>
      <c r="F1260">
        <v>1</v>
      </c>
    </row>
    <row r="1261" spans="2:6" x14ac:dyDescent="0.3">
      <c r="B1261" t="s">
        <v>924</v>
      </c>
      <c r="D1261">
        <v>213</v>
      </c>
      <c r="E1261">
        <v>32640</v>
      </c>
      <c r="F1261">
        <v>1</v>
      </c>
    </row>
    <row r="1262" spans="2:6" x14ac:dyDescent="0.3">
      <c r="B1262" t="s">
        <v>925</v>
      </c>
      <c r="D1262">
        <v>212</v>
      </c>
      <c r="E1262">
        <v>58176</v>
      </c>
      <c r="F1262">
        <v>1</v>
      </c>
    </row>
    <row r="1263" spans="2:6" x14ac:dyDescent="0.3">
      <c r="B1263" t="s">
        <v>926</v>
      </c>
      <c r="D1263">
        <v>225</v>
      </c>
      <c r="E1263">
        <v>1792</v>
      </c>
      <c r="F1263">
        <v>1</v>
      </c>
    </row>
    <row r="1264" spans="2:6" x14ac:dyDescent="0.3">
      <c r="B1264" t="s">
        <v>927</v>
      </c>
      <c r="D1264">
        <v>208</v>
      </c>
      <c r="E1264">
        <v>13504</v>
      </c>
      <c r="F1264">
        <v>1</v>
      </c>
    </row>
    <row r="1265" spans="2:6" x14ac:dyDescent="0.3">
      <c r="B1265" t="s">
        <v>928</v>
      </c>
      <c r="D1265">
        <v>203</v>
      </c>
      <c r="E1265">
        <v>51296</v>
      </c>
      <c r="F1265">
        <v>1</v>
      </c>
    </row>
    <row r="1266" spans="2:6" x14ac:dyDescent="0.3">
      <c r="B1266" t="s">
        <v>929</v>
      </c>
      <c r="D1266">
        <v>206</v>
      </c>
      <c r="E1266">
        <v>31872</v>
      </c>
      <c r="F1266">
        <v>1</v>
      </c>
    </row>
    <row r="1267" spans="2:6" x14ac:dyDescent="0.3">
      <c r="B1267" t="s">
        <v>930</v>
      </c>
      <c r="D1267">
        <v>221</v>
      </c>
      <c r="E1267">
        <v>48896</v>
      </c>
      <c r="F1267">
        <v>1</v>
      </c>
    </row>
    <row r="1268" spans="2:6" x14ac:dyDescent="0.3">
      <c r="B1268" t="s">
        <v>931</v>
      </c>
      <c r="D1268">
        <v>221</v>
      </c>
      <c r="E1268">
        <v>28672</v>
      </c>
      <c r="F1268">
        <v>1</v>
      </c>
    </row>
    <row r="1269" spans="2:6" x14ac:dyDescent="0.3">
      <c r="B1269" t="s">
        <v>932</v>
      </c>
      <c r="D1269">
        <v>222</v>
      </c>
      <c r="E1269">
        <v>54400</v>
      </c>
      <c r="F1269">
        <v>1</v>
      </c>
    </row>
    <row r="1270" spans="2:6" x14ac:dyDescent="0.3">
      <c r="B1270" t="s">
        <v>933</v>
      </c>
      <c r="D1270">
        <v>232</v>
      </c>
      <c r="E1270">
        <v>20352</v>
      </c>
      <c r="F1270">
        <v>1</v>
      </c>
    </row>
    <row r="1271" spans="2:6" x14ac:dyDescent="0.3">
      <c r="B1271" t="s">
        <v>934</v>
      </c>
      <c r="D1271">
        <v>235</v>
      </c>
      <c r="E1271">
        <v>8960</v>
      </c>
      <c r="F1271">
        <v>1</v>
      </c>
    </row>
    <row r="1272" spans="2:6" x14ac:dyDescent="0.3">
      <c r="B1272" t="s">
        <v>935</v>
      </c>
      <c r="D1272">
        <v>218</v>
      </c>
      <c r="E1272">
        <v>31488</v>
      </c>
      <c r="F1272">
        <v>1</v>
      </c>
    </row>
    <row r="1273" spans="2:6" x14ac:dyDescent="0.3">
      <c r="B1273" t="s">
        <v>936</v>
      </c>
      <c r="D1273">
        <v>219</v>
      </c>
      <c r="E1273">
        <v>35072</v>
      </c>
      <c r="F1273">
        <v>1</v>
      </c>
    </row>
    <row r="1274" spans="2:6" x14ac:dyDescent="0.3">
      <c r="B1274" t="s">
        <v>937</v>
      </c>
      <c r="D1274">
        <v>219</v>
      </c>
      <c r="E1274">
        <v>3584</v>
      </c>
      <c r="F1274">
        <v>1</v>
      </c>
    </row>
    <row r="1275" spans="2:6" x14ac:dyDescent="0.3">
      <c r="B1275" t="s">
        <v>938</v>
      </c>
      <c r="D1275">
        <v>223</v>
      </c>
      <c r="E1275">
        <v>58112</v>
      </c>
      <c r="F1275">
        <v>1</v>
      </c>
    </row>
    <row r="1276" spans="2:6" x14ac:dyDescent="0.3">
      <c r="B1276" t="s">
        <v>939</v>
      </c>
      <c r="D1276">
        <v>219</v>
      </c>
      <c r="E1276">
        <v>40064</v>
      </c>
      <c r="F1276">
        <v>1</v>
      </c>
    </row>
    <row r="1277" spans="2:6" x14ac:dyDescent="0.3">
      <c r="B1277" t="s">
        <v>940</v>
      </c>
      <c r="D1277">
        <v>214</v>
      </c>
      <c r="E1277">
        <v>33024</v>
      </c>
      <c r="F1277">
        <v>1</v>
      </c>
    </row>
    <row r="1278" spans="2:6" x14ac:dyDescent="0.3">
      <c r="B1278" t="s">
        <v>941</v>
      </c>
      <c r="D1278">
        <v>222</v>
      </c>
      <c r="E1278">
        <v>11520</v>
      </c>
      <c r="F1278">
        <v>1</v>
      </c>
    </row>
    <row r="1279" spans="2:6" x14ac:dyDescent="0.3">
      <c r="B1279" t="s">
        <v>942</v>
      </c>
      <c r="D1279">
        <v>225</v>
      </c>
      <c r="E1279">
        <v>57344</v>
      </c>
      <c r="F1279">
        <v>1</v>
      </c>
    </row>
    <row r="1280" spans="2:6" x14ac:dyDescent="0.3">
      <c r="B1280" t="s">
        <v>943</v>
      </c>
      <c r="D1280">
        <v>226</v>
      </c>
      <c r="E1280">
        <v>24576</v>
      </c>
      <c r="F1280">
        <v>1</v>
      </c>
    </row>
    <row r="1281" spans="2:6" x14ac:dyDescent="0.3">
      <c r="B1281" t="s">
        <v>944</v>
      </c>
      <c r="D1281">
        <v>235</v>
      </c>
      <c r="E1281">
        <v>34816</v>
      </c>
      <c r="F1281">
        <v>1</v>
      </c>
    </row>
    <row r="1282" spans="2:6" x14ac:dyDescent="0.3">
      <c r="B1282" t="s">
        <v>945</v>
      </c>
      <c r="D1282">
        <v>237</v>
      </c>
      <c r="E1282">
        <v>34816</v>
      </c>
      <c r="F1282">
        <v>1</v>
      </c>
    </row>
    <row r="1283" spans="2:6" x14ac:dyDescent="0.3">
      <c r="B1283" t="s">
        <v>946</v>
      </c>
      <c r="D1283">
        <v>236</v>
      </c>
      <c r="E1283">
        <v>6144</v>
      </c>
      <c r="F1283">
        <v>1</v>
      </c>
    </row>
    <row r="1284" spans="2:6" x14ac:dyDescent="0.3">
      <c r="B1284" t="s">
        <v>947</v>
      </c>
      <c r="D1284">
        <v>223</v>
      </c>
      <c r="E1284">
        <v>26624</v>
      </c>
      <c r="F1284">
        <v>1</v>
      </c>
    </row>
    <row r="1285" spans="2:6" x14ac:dyDescent="0.3">
      <c r="B1285" t="s">
        <v>948</v>
      </c>
      <c r="D1285">
        <v>222</v>
      </c>
      <c r="E1285">
        <v>63488</v>
      </c>
      <c r="F1285">
        <v>1</v>
      </c>
    </row>
    <row r="1286" spans="2:6" x14ac:dyDescent="0.3">
      <c r="B1286" t="s">
        <v>949</v>
      </c>
      <c r="D1286">
        <v>234</v>
      </c>
      <c r="E1286">
        <v>30720</v>
      </c>
      <c r="F1286">
        <v>1</v>
      </c>
    </row>
    <row r="1287" spans="2:6" x14ac:dyDescent="0.3">
      <c r="B1287" t="s">
        <v>950</v>
      </c>
      <c r="D1287">
        <v>232</v>
      </c>
      <c r="E1287">
        <v>14336</v>
      </c>
      <c r="F1287">
        <v>1</v>
      </c>
    </row>
    <row r="1288" spans="2:6" x14ac:dyDescent="0.3">
      <c r="B1288" t="s">
        <v>951</v>
      </c>
      <c r="D1288">
        <v>232</v>
      </c>
      <c r="E1288">
        <v>22528</v>
      </c>
      <c r="F1288">
        <v>1</v>
      </c>
    </row>
    <row r="1289" spans="2:6" x14ac:dyDescent="0.3">
      <c r="B1289" t="s">
        <v>952</v>
      </c>
      <c r="D1289">
        <v>225</v>
      </c>
      <c r="E1289">
        <v>6144</v>
      </c>
      <c r="F1289">
        <v>1</v>
      </c>
    </row>
    <row r="1290" spans="2:6" x14ac:dyDescent="0.3">
      <c r="B1290" t="s">
        <v>953</v>
      </c>
      <c r="D1290">
        <v>233</v>
      </c>
      <c r="E1290">
        <v>63488</v>
      </c>
      <c r="F1290">
        <v>1</v>
      </c>
    </row>
    <row r="1291" spans="2:6" x14ac:dyDescent="0.3">
      <c r="B1291" t="s">
        <v>954</v>
      </c>
      <c r="D1291">
        <v>235</v>
      </c>
      <c r="E1291">
        <v>12288</v>
      </c>
      <c r="F1291">
        <v>1</v>
      </c>
    </row>
    <row r="1292" spans="2:6" x14ac:dyDescent="0.3">
      <c r="B1292" t="s">
        <v>955</v>
      </c>
      <c r="D1292">
        <v>241</v>
      </c>
      <c r="E1292">
        <v>63488</v>
      </c>
      <c r="F1292">
        <v>1</v>
      </c>
    </row>
    <row r="1293" spans="2:6" x14ac:dyDescent="0.3">
      <c r="B1293" t="s">
        <v>956</v>
      </c>
      <c r="D1293">
        <v>233</v>
      </c>
      <c r="E1293">
        <v>36864</v>
      </c>
      <c r="F1293">
        <v>1</v>
      </c>
    </row>
    <row r="1294" spans="2:6" x14ac:dyDescent="0.3">
      <c r="B1294" t="s">
        <v>957</v>
      </c>
      <c r="D1294">
        <v>229</v>
      </c>
      <c r="E1294">
        <v>63488</v>
      </c>
      <c r="F1294">
        <v>1</v>
      </c>
    </row>
    <row r="1295" spans="2:6" x14ac:dyDescent="0.3">
      <c r="B1295" t="s">
        <v>958</v>
      </c>
      <c r="D1295">
        <v>231</v>
      </c>
      <c r="E1295">
        <v>27136</v>
      </c>
      <c r="F1295">
        <v>1</v>
      </c>
    </row>
    <row r="1296" spans="2:6" x14ac:dyDescent="0.3">
      <c r="B1296" t="s">
        <v>959</v>
      </c>
      <c r="D1296">
        <v>232</v>
      </c>
      <c r="E1296">
        <v>63488</v>
      </c>
      <c r="F1296">
        <v>1</v>
      </c>
    </row>
    <row r="1297" spans="2:6" x14ac:dyDescent="0.3">
      <c r="B1297" t="s">
        <v>960</v>
      </c>
      <c r="D1297">
        <v>223</v>
      </c>
      <c r="E1297">
        <v>24576</v>
      </c>
      <c r="F1297">
        <v>1</v>
      </c>
    </row>
    <row r="1298" spans="2:6" x14ac:dyDescent="0.3">
      <c r="B1298" t="s">
        <v>961</v>
      </c>
      <c r="D1298">
        <v>229</v>
      </c>
      <c r="E1298">
        <v>2048</v>
      </c>
      <c r="F1298">
        <v>1</v>
      </c>
    </row>
    <row r="1299" spans="2:6" x14ac:dyDescent="0.3">
      <c r="B1299" t="s">
        <v>955</v>
      </c>
      <c r="D1299">
        <v>241</v>
      </c>
      <c r="E1299">
        <v>63488</v>
      </c>
      <c r="F1299">
        <v>1</v>
      </c>
    </row>
    <row r="1300" spans="2:6" x14ac:dyDescent="0.3">
      <c r="B1300" t="s">
        <v>953</v>
      </c>
      <c r="D1300">
        <v>233</v>
      </c>
      <c r="E1300">
        <v>63488</v>
      </c>
      <c r="F1300">
        <v>1</v>
      </c>
    </row>
    <row r="1301" spans="2:6" x14ac:dyDescent="0.3">
      <c r="B1301" t="s">
        <v>962</v>
      </c>
      <c r="D1301">
        <v>245</v>
      </c>
      <c r="E1301">
        <v>30720</v>
      </c>
      <c r="F1301">
        <v>1</v>
      </c>
    </row>
    <row r="1302" spans="2:6" x14ac:dyDescent="0.3">
      <c r="B1302" t="s">
        <v>963</v>
      </c>
      <c r="D1302">
        <v>230</v>
      </c>
      <c r="E1302">
        <v>63488</v>
      </c>
      <c r="F1302">
        <v>1</v>
      </c>
    </row>
    <row r="1303" spans="2:6" x14ac:dyDescent="0.3">
      <c r="B1303" t="s">
        <v>964</v>
      </c>
      <c r="D1303">
        <v>226</v>
      </c>
      <c r="E1303">
        <v>43520</v>
      </c>
      <c r="F1303">
        <v>1</v>
      </c>
    </row>
    <row r="1304" spans="2:6" x14ac:dyDescent="0.3">
      <c r="B1304" t="s">
        <v>965</v>
      </c>
      <c r="D1304">
        <v>226</v>
      </c>
      <c r="E1304">
        <v>7424</v>
      </c>
      <c r="F1304">
        <v>1</v>
      </c>
    </row>
    <row r="1305" spans="2:6" x14ac:dyDescent="0.3">
      <c r="B1305" t="s">
        <v>966</v>
      </c>
      <c r="D1305">
        <v>230</v>
      </c>
      <c r="E1305">
        <v>47872</v>
      </c>
      <c r="F1305">
        <v>1</v>
      </c>
    </row>
    <row r="1306" spans="2:6" x14ac:dyDescent="0.3">
      <c r="B1306" t="s">
        <v>967</v>
      </c>
      <c r="D1306">
        <v>233</v>
      </c>
      <c r="E1306">
        <v>17920</v>
      </c>
      <c r="F1306">
        <v>1</v>
      </c>
    </row>
    <row r="1307" spans="2:6" x14ac:dyDescent="0.3">
      <c r="B1307" t="s">
        <v>968</v>
      </c>
      <c r="D1307">
        <v>230</v>
      </c>
      <c r="E1307">
        <v>25728</v>
      </c>
      <c r="F1307">
        <v>1</v>
      </c>
    </row>
    <row r="1308" spans="2:6" x14ac:dyDescent="0.3">
      <c r="B1308" t="s">
        <v>969</v>
      </c>
      <c r="D1308">
        <v>218</v>
      </c>
      <c r="E1308">
        <v>49920</v>
      </c>
      <c r="F1308">
        <v>1</v>
      </c>
    </row>
    <row r="1309" spans="2:6" x14ac:dyDescent="0.3">
      <c r="B1309" t="s">
        <v>970</v>
      </c>
      <c r="D1309">
        <v>238</v>
      </c>
      <c r="E1309">
        <v>58112</v>
      </c>
      <c r="F1309">
        <v>1</v>
      </c>
    </row>
    <row r="1310" spans="2:6" x14ac:dyDescent="0.3">
      <c r="B1310" t="s">
        <v>971</v>
      </c>
      <c r="D1310">
        <v>230</v>
      </c>
      <c r="E1310">
        <v>49664</v>
      </c>
      <c r="F1310">
        <v>1</v>
      </c>
    </row>
    <row r="1311" spans="2:6" x14ac:dyDescent="0.3">
      <c r="B1311" t="s">
        <v>972</v>
      </c>
      <c r="D1311">
        <v>224</v>
      </c>
      <c r="E1311">
        <v>42496</v>
      </c>
      <c r="F1311">
        <v>1</v>
      </c>
    </row>
    <row r="1312" spans="2:6" x14ac:dyDescent="0.3">
      <c r="B1312" t="s">
        <v>973</v>
      </c>
      <c r="D1312">
        <v>233</v>
      </c>
      <c r="E1312">
        <v>5888</v>
      </c>
      <c r="F1312">
        <v>1</v>
      </c>
    </row>
    <row r="1313" spans="2:6" x14ac:dyDescent="0.3">
      <c r="B1313" t="s">
        <v>974</v>
      </c>
      <c r="D1313">
        <v>225</v>
      </c>
      <c r="E1313">
        <v>42752</v>
      </c>
      <c r="F1313">
        <v>1</v>
      </c>
    </row>
    <row r="1314" spans="2:6" x14ac:dyDescent="0.3">
      <c r="B1314" t="s">
        <v>975</v>
      </c>
      <c r="D1314">
        <v>223</v>
      </c>
      <c r="E1314">
        <v>50688</v>
      </c>
      <c r="F1314">
        <v>1</v>
      </c>
    </row>
    <row r="1315" spans="2:6" x14ac:dyDescent="0.3">
      <c r="B1315" t="s">
        <v>976</v>
      </c>
      <c r="D1315">
        <v>223</v>
      </c>
      <c r="E1315">
        <v>33280</v>
      </c>
      <c r="F1315">
        <v>1</v>
      </c>
    </row>
    <row r="1316" spans="2:6" x14ac:dyDescent="0.3">
      <c r="B1316" t="s">
        <v>977</v>
      </c>
      <c r="D1316">
        <v>226</v>
      </c>
      <c r="E1316">
        <v>40960</v>
      </c>
      <c r="F1316">
        <v>1</v>
      </c>
    </row>
    <row r="1317" spans="2:6" x14ac:dyDescent="0.3">
      <c r="B1317" t="s">
        <v>978</v>
      </c>
      <c r="D1317">
        <v>201</v>
      </c>
      <c r="E1317">
        <v>37824</v>
      </c>
      <c r="F1317">
        <v>1</v>
      </c>
    </row>
    <row r="1318" spans="2:6" x14ac:dyDescent="0.3">
      <c r="B1318" t="s">
        <v>979</v>
      </c>
      <c r="D1318">
        <v>221</v>
      </c>
      <c r="E1318">
        <v>30208</v>
      </c>
      <c r="F1318">
        <v>1</v>
      </c>
    </row>
    <row r="1319" spans="2:6" x14ac:dyDescent="0.3">
      <c r="B1319" t="s">
        <v>980</v>
      </c>
      <c r="D1319">
        <v>232</v>
      </c>
      <c r="E1319">
        <v>39424</v>
      </c>
      <c r="F1319">
        <v>1</v>
      </c>
    </row>
    <row r="1320" spans="2:6" x14ac:dyDescent="0.3">
      <c r="B1320" t="s">
        <v>981</v>
      </c>
      <c r="D1320">
        <v>223</v>
      </c>
      <c r="E1320">
        <v>51328</v>
      </c>
      <c r="F1320">
        <v>1</v>
      </c>
    </row>
    <row r="1321" spans="2:6" x14ac:dyDescent="0.3">
      <c r="B1321" t="s">
        <v>982</v>
      </c>
      <c r="D1321">
        <v>229</v>
      </c>
      <c r="E1321">
        <v>17792</v>
      </c>
      <c r="F1321">
        <v>1</v>
      </c>
    </row>
    <row r="1322" spans="2:6" x14ac:dyDescent="0.3">
      <c r="B1322" t="s">
        <v>983</v>
      </c>
      <c r="D1322">
        <v>228</v>
      </c>
      <c r="E1322">
        <v>20992</v>
      </c>
      <c r="F1322">
        <v>1</v>
      </c>
    </row>
    <row r="1323" spans="2:6" x14ac:dyDescent="0.3">
      <c r="B1323" t="s">
        <v>984</v>
      </c>
      <c r="D1323">
        <v>222</v>
      </c>
      <c r="E1323">
        <v>1280</v>
      </c>
      <c r="F1323">
        <v>1</v>
      </c>
    </row>
    <row r="1324" spans="2:6" x14ac:dyDescent="0.3">
      <c r="B1324" t="s">
        <v>985</v>
      </c>
      <c r="D1324">
        <v>226</v>
      </c>
      <c r="E1324">
        <v>49152</v>
      </c>
      <c r="F1324">
        <v>1</v>
      </c>
    </row>
    <row r="1325" spans="2:6" x14ac:dyDescent="0.3">
      <c r="B1325" t="s">
        <v>986</v>
      </c>
      <c r="D1325">
        <v>235</v>
      </c>
      <c r="E1325">
        <v>21504</v>
      </c>
      <c r="F1325">
        <v>1</v>
      </c>
    </row>
    <row r="1326" spans="2:6" x14ac:dyDescent="0.3">
      <c r="B1326" t="s">
        <v>987</v>
      </c>
      <c r="D1326">
        <v>227</v>
      </c>
      <c r="E1326">
        <v>24320</v>
      </c>
      <c r="F1326">
        <v>1</v>
      </c>
    </row>
    <row r="1327" spans="2:6" x14ac:dyDescent="0.3">
      <c r="B1327" t="s">
        <v>988</v>
      </c>
      <c r="D1327">
        <v>226</v>
      </c>
      <c r="E1327">
        <v>51712</v>
      </c>
      <c r="F1327">
        <v>1</v>
      </c>
    </row>
    <row r="1328" spans="2:6" x14ac:dyDescent="0.3">
      <c r="B1328" t="s">
        <v>989</v>
      </c>
      <c r="D1328">
        <v>232</v>
      </c>
      <c r="E1328">
        <v>25088</v>
      </c>
      <c r="F1328">
        <v>1</v>
      </c>
    </row>
    <row r="1329" spans="2:6" x14ac:dyDescent="0.3">
      <c r="B1329" t="s">
        <v>990</v>
      </c>
      <c r="D1329">
        <v>218</v>
      </c>
      <c r="E1329">
        <v>52224</v>
      </c>
      <c r="F1329">
        <v>1</v>
      </c>
    </row>
    <row r="1330" spans="2:6" x14ac:dyDescent="0.3">
      <c r="B1330" t="s">
        <v>991</v>
      </c>
      <c r="D1330">
        <v>206</v>
      </c>
      <c r="E1330">
        <v>6592</v>
      </c>
      <c r="F1330">
        <v>1</v>
      </c>
    </row>
    <row r="1331" spans="2:6" x14ac:dyDescent="0.3">
      <c r="B1331" t="s">
        <v>992</v>
      </c>
      <c r="D1331">
        <v>205</v>
      </c>
      <c r="E1331">
        <v>1024</v>
      </c>
      <c r="F1331">
        <v>1</v>
      </c>
    </row>
    <row r="1332" spans="2:6" x14ac:dyDescent="0.3">
      <c r="B1332" t="s">
        <v>993</v>
      </c>
      <c r="D1332">
        <v>209</v>
      </c>
      <c r="E1332">
        <v>44288</v>
      </c>
      <c r="F1332">
        <v>1</v>
      </c>
    </row>
    <row r="1333" spans="2:6" x14ac:dyDescent="0.3">
      <c r="B1333" t="s">
        <v>994</v>
      </c>
      <c r="D1333">
        <v>211</v>
      </c>
      <c r="E1333">
        <v>2496</v>
      </c>
      <c r="F1333">
        <v>1</v>
      </c>
    </row>
    <row r="1334" spans="2:6" x14ac:dyDescent="0.3">
      <c r="B1334" t="s">
        <v>995</v>
      </c>
      <c r="D1334">
        <v>217</v>
      </c>
      <c r="E1334">
        <v>3968</v>
      </c>
      <c r="F1334">
        <v>1</v>
      </c>
    </row>
    <row r="1335" spans="2:6" x14ac:dyDescent="0.3">
      <c r="B1335" t="s">
        <v>996</v>
      </c>
      <c r="D1335">
        <v>217</v>
      </c>
      <c r="E1335">
        <v>8448</v>
      </c>
      <c r="F1335">
        <v>1</v>
      </c>
    </row>
    <row r="1336" spans="2:6" x14ac:dyDescent="0.3">
      <c r="B1336" t="s">
        <v>997</v>
      </c>
      <c r="D1336">
        <v>220</v>
      </c>
      <c r="E1336">
        <v>61824</v>
      </c>
      <c r="F1336">
        <v>1</v>
      </c>
    </row>
    <row r="1337" spans="2:6" x14ac:dyDescent="0.3">
      <c r="B1337" t="s">
        <v>998</v>
      </c>
      <c r="D1337">
        <v>216</v>
      </c>
      <c r="E1337">
        <v>41344</v>
      </c>
      <c r="F1337">
        <v>1</v>
      </c>
    </row>
    <row r="1338" spans="2:6" x14ac:dyDescent="0.3">
      <c r="B1338" t="s">
        <v>999</v>
      </c>
      <c r="D1338">
        <v>210</v>
      </c>
      <c r="E1338">
        <v>42880</v>
      </c>
      <c r="F1338">
        <v>1</v>
      </c>
    </row>
    <row r="1339" spans="2:6" x14ac:dyDescent="0.3">
      <c r="B1339" t="s">
        <v>1000</v>
      </c>
      <c r="D1339">
        <v>209</v>
      </c>
      <c r="E1339">
        <v>24128</v>
      </c>
      <c r="F1339">
        <v>1</v>
      </c>
    </row>
    <row r="1340" spans="2:6" x14ac:dyDescent="0.3">
      <c r="B1340" t="s">
        <v>1001</v>
      </c>
      <c r="D1340">
        <v>223</v>
      </c>
      <c r="E1340">
        <v>19968</v>
      </c>
      <c r="F1340">
        <v>1</v>
      </c>
    </row>
    <row r="1341" spans="2:6" x14ac:dyDescent="0.3">
      <c r="B1341" t="s">
        <v>1002</v>
      </c>
      <c r="D1341">
        <v>220</v>
      </c>
      <c r="E1341">
        <v>33024</v>
      </c>
      <c r="F1341">
        <v>1</v>
      </c>
    </row>
    <row r="1342" spans="2:6" x14ac:dyDescent="0.3">
      <c r="B1342" t="s">
        <v>1003</v>
      </c>
      <c r="D1342">
        <v>207</v>
      </c>
      <c r="E1342">
        <v>28608</v>
      </c>
      <c r="F1342">
        <v>1</v>
      </c>
    </row>
    <row r="1343" spans="2:6" x14ac:dyDescent="0.3">
      <c r="B1343" t="s">
        <v>1004</v>
      </c>
      <c r="D1343">
        <v>204</v>
      </c>
      <c r="E1343">
        <v>57280</v>
      </c>
      <c r="F1343">
        <v>1</v>
      </c>
    </row>
    <row r="1344" spans="2:6" x14ac:dyDescent="0.3">
      <c r="B1344" t="s">
        <v>1005</v>
      </c>
      <c r="D1344">
        <v>213</v>
      </c>
      <c r="E1344">
        <v>26880</v>
      </c>
      <c r="F1344">
        <v>1</v>
      </c>
    </row>
    <row r="1345" spans="2:6" x14ac:dyDescent="0.3">
      <c r="B1345" t="s">
        <v>1006</v>
      </c>
      <c r="D1345">
        <v>222</v>
      </c>
      <c r="E1345">
        <v>17152</v>
      </c>
      <c r="F1345">
        <v>1</v>
      </c>
    </row>
    <row r="1346" spans="2:6" x14ac:dyDescent="0.3">
      <c r="B1346" t="s">
        <v>1007</v>
      </c>
      <c r="D1346">
        <v>213</v>
      </c>
      <c r="E1346">
        <v>45248</v>
      </c>
      <c r="F1346">
        <v>1</v>
      </c>
    </row>
    <row r="1347" spans="2:6" x14ac:dyDescent="0.3">
      <c r="B1347" t="s">
        <v>1008</v>
      </c>
      <c r="D1347">
        <v>213</v>
      </c>
      <c r="E1347">
        <v>39616</v>
      </c>
      <c r="F1347">
        <v>1</v>
      </c>
    </row>
    <row r="1348" spans="2:6" x14ac:dyDescent="0.3">
      <c r="B1348" t="s">
        <v>1009</v>
      </c>
      <c r="D1348">
        <v>213</v>
      </c>
      <c r="E1348">
        <v>57472</v>
      </c>
      <c r="F1348">
        <v>1</v>
      </c>
    </row>
    <row r="1349" spans="2:6" x14ac:dyDescent="0.3">
      <c r="B1349" t="s">
        <v>1010</v>
      </c>
      <c r="D1349">
        <v>219</v>
      </c>
      <c r="E1349">
        <v>58368</v>
      </c>
      <c r="F1349">
        <v>1</v>
      </c>
    </row>
    <row r="1350" spans="2:6" x14ac:dyDescent="0.3">
      <c r="B1350" t="s">
        <v>1011</v>
      </c>
      <c r="D1350">
        <v>214</v>
      </c>
      <c r="E1350">
        <v>52032</v>
      </c>
      <c r="F1350">
        <v>1</v>
      </c>
    </row>
    <row r="1351" spans="2:6" x14ac:dyDescent="0.3">
      <c r="B1351" t="s">
        <v>1012</v>
      </c>
      <c r="D1351">
        <v>214</v>
      </c>
      <c r="E1351">
        <v>5120</v>
      </c>
      <c r="F1351">
        <v>1</v>
      </c>
    </row>
    <row r="1352" spans="2:6" x14ac:dyDescent="0.3">
      <c r="B1352" t="s">
        <v>1013</v>
      </c>
      <c r="D1352">
        <v>205</v>
      </c>
      <c r="E1352">
        <v>4096</v>
      </c>
      <c r="F1352">
        <v>1</v>
      </c>
    </row>
    <row r="1353" spans="2:6" x14ac:dyDescent="0.3">
      <c r="B1353" t="s">
        <v>1014</v>
      </c>
      <c r="D1353">
        <v>210</v>
      </c>
      <c r="E1353">
        <v>10816</v>
      </c>
      <c r="F1353">
        <v>1</v>
      </c>
    </row>
    <row r="1354" spans="2:6" x14ac:dyDescent="0.3">
      <c r="B1354" t="s">
        <v>1015</v>
      </c>
      <c r="D1354">
        <v>215</v>
      </c>
      <c r="E1354">
        <v>34240</v>
      </c>
      <c r="F1354">
        <v>1</v>
      </c>
    </row>
    <row r="1355" spans="2:6" x14ac:dyDescent="0.3">
      <c r="B1355" t="s">
        <v>1016</v>
      </c>
      <c r="D1355">
        <v>207</v>
      </c>
      <c r="E1355">
        <v>41408</v>
      </c>
      <c r="F1355">
        <v>1</v>
      </c>
    </row>
    <row r="1356" spans="2:6" x14ac:dyDescent="0.3">
      <c r="B1356" t="s">
        <v>1017</v>
      </c>
      <c r="D1356">
        <v>217</v>
      </c>
      <c r="E1356">
        <v>39168</v>
      </c>
      <c r="F1356">
        <v>1</v>
      </c>
    </row>
    <row r="1357" spans="2:6" x14ac:dyDescent="0.3">
      <c r="B1357" t="s">
        <v>1018</v>
      </c>
      <c r="D1357">
        <v>198</v>
      </c>
      <c r="E1357">
        <v>7360</v>
      </c>
      <c r="F1357">
        <v>1</v>
      </c>
    </row>
    <row r="1358" spans="2:6" x14ac:dyDescent="0.3">
      <c r="B1358" t="s">
        <v>1019</v>
      </c>
      <c r="D1358">
        <v>200</v>
      </c>
      <c r="E1358">
        <v>43168</v>
      </c>
      <c r="F1358">
        <v>1</v>
      </c>
    </row>
    <row r="1359" spans="2:6" x14ac:dyDescent="0.3">
      <c r="B1359" t="s">
        <v>1020</v>
      </c>
      <c r="D1359">
        <v>194</v>
      </c>
      <c r="E1359">
        <v>6816</v>
      </c>
      <c r="F1359">
        <v>1</v>
      </c>
    </row>
    <row r="1360" spans="2:6" x14ac:dyDescent="0.3">
      <c r="B1360" t="s">
        <v>1021</v>
      </c>
      <c r="D1360">
        <v>194</v>
      </c>
      <c r="E1360">
        <v>6976</v>
      </c>
      <c r="F1360">
        <v>1</v>
      </c>
    </row>
    <row r="1361" spans="2:6" x14ac:dyDescent="0.3">
      <c r="B1361" t="s">
        <v>1022</v>
      </c>
      <c r="D1361">
        <v>196</v>
      </c>
      <c r="E1361">
        <v>5344</v>
      </c>
      <c r="F1361">
        <v>1</v>
      </c>
    </row>
    <row r="1362" spans="2:6" x14ac:dyDescent="0.3">
      <c r="B1362" t="s">
        <v>1023</v>
      </c>
      <c r="D1362">
        <v>194</v>
      </c>
      <c r="E1362">
        <v>64720</v>
      </c>
      <c r="F1362">
        <v>1</v>
      </c>
    </row>
    <row r="1363" spans="2:6" x14ac:dyDescent="0.3">
      <c r="B1363" t="s">
        <v>1024</v>
      </c>
      <c r="D1363">
        <v>194</v>
      </c>
      <c r="E1363">
        <v>65264</v>
      </c>
      <c r="F1363">
        <v>1</v>
      </c>
    </row>
    <row r="1364" spans="2:6" x14ac:dyDescent="0.3">
      <c r="B1364" t="s">
        <v>1025</v>
      </c>
      <c r="D1364">
        <v>194</v>
      </c>
      <c r="E1364">
        <v>2720</v>
      </c>
      <c r="F1364">
        <v>1</v>
      </c>
    </row>
    <row r="1365" spans="2:6" x14ac:dyDescent="0.3">
      <c r="B1365" t="s">
        <v>1026</v>
      </c>
      <c r="D1365">
        <v>193</v>
      </c>
      <c r="E1365">
        <v>61376</v>
      </c>
      <c r="F1365">
        <v>1</v>
      </c>
    </row>
    <row r="1366" spans="2:6" x14ac:dyDescent="0.3">
      <c r="B1366" t="s">
        <v>1027</v>
      </c>
      <c r="D1366">
        <v>192</v>
      </c>
      <c r="E1366">
        <v>59232</v>
      </c>
      <c r="F1366">
        <v>1</v>
      </c>
    </row>
    <row r="1367" spans="2:6" x14ac:dyDescent="0.3">
      <c r="B1367" t="s">
        <v>1028</v>
      </c>
      <c r="D1367">
        <v>191</v>
      </c>
      <c r="E1367">
        <v>57488</v>
      </c>
      <c r="F1367">
        <v>1</v>
      </c>
    </row>
    <row r="1368" spans="2:6" x14ac:dyDescent="0.3">
      <c r="B1368" t="s">
        <v>1029</v>
      </c>
      <c r="D1368">
        <v>191</v>
      </c>
      <c r="E1368">
        <v>55856</v>
      </c>
      <c r="F1368">
        <v>1</v>
      </c>
    </row>
    <row r="1369" spans="2:6" x14ac:dyDescent="0.3">
      <c r="B1369" t="s">
        <v>1030</v>
      </c>
      <c r="D1369">
        <v>191</v>
      </c>
      <c r="E1369">
        <v>55600</v>
      </c>
      <c r="F1369">
        <v>1</v>
      </c>
    </row>
    <row r="1371" spans="2:6" x14ac:dyDescent="0.3">
      <c r="B1371" t="s">
        <v>1031</v>
      </c>
      <c r="D1371">
        <v>200</v>
      </c>
      <c r="E1371">
        <v>45312</v>
      </c>
      <c r="F1371">
        <v>1</v>
      </c>
    </row>
    <row r="1372" spans="2:6" x14ac:dyDescent="0.3">
      <c r="B1372" t="s">
        <v>1032</v>
      </c>
      <c r="D1372">
        <v>205</v>
      </c>
      <c r="E1372">
        <v>21120</v>
      </c>
      <c r="F1372">
        <v>1</v>
      </c>
    </row>
    <row r="1373" spans="2:6" x14ac:dyDescent="0.3">
      <c r="B1373" t="s">
        <v>1033</v>
      </c>
      <c r="D1373">
        <v>205</v>
      </c>
      <c r="E1373">
        <v>10112</v>
      </c>
      <c r="F1373">
        <v>1</v>
      </c>
    </row>
    <row r="1374" spans="2:6" x14ac:dyDescent="0.3">
      <c r="B1374" t="s">
        <v>1034</v>
      </c>
      <c r="D1374">
        <v>205</v>
      </c>
      <c r="E1374">
        <v>13888</v>
      </c>
      <c r="F1374">
        <v>1</v>
      </c>
    </row>
    <row r="1375" spans="2:6" x14ac:dyDescent="0.3">
      <c r="B1375" t="s">
        <v>1035</v>
      </c>
      <c r="D1375">
        <v>205</v>
      </c>
      <c r="E1375">
        <v>48000</v>
      </c>
      <c r="F1375">
        <v>1</v>
      </c>
    </row>
    <row r="1376" spans="2:6" x14ac:dyDescent="0.3">
      <c r="B1376" t="s">
        <v>1036</v>
      </c>
      <c r="D1376">
        <v>210</v>
      </c>
      <c r="E1376">
        <v>3648</v>
      </c>
      <c r="F1376">
        <v>1</v>
      </c>
    </row>
    <row r="1377" spans="2:6" x14ac:dyDescent="0.3">
      <c r="B1377" t="s">
        <v>1037</v>
      </c>
      <c r="D1377">
        <v>210</v>
      </c>
      <c r="E1377">
        <v>18496</v>
      </c>
      <c r="F1377">
        <v>1</v>
      </c>
    </row>
    <row r="1378" spans="2:6" x14ac:dyDescent="0.3">
      <c r="B1378" t="s">
        <v>1038</v>
      </c>
      <c r="D1378">
        <v>208</v>
      </c>
      <c r="E1378">
        <v>52928</v>
      </c>
      <c r="F1378">
        <v>1</v>
      </c>
    </row>
    <row r="1379" spans="2:6" x14ac:dyDescent="0.3">
      <c r="B1379" t="s">
        <v>1039</v>
      </c>
      <c r="D1379">
        <v>150</v>
      </c>
      <c r="E1379">
        <v>384</v>
      </c>
      <c r="F1379">
        <v>1</v>
      </c>
    </row>
    <row r="1380" spans="2:6" x14ac:dyDescent="0.3">
      <c r="B1380" t="s">
        <v>1040</v>
      </c>
      <c r="D1380">
        <v>180</v>
      </c>
      <c r="E1380">
        <v>29088</v>
      </c>
      <c r="F1380">
        <v>1</v>
      </c>
    </row>
    <row r="1381" spans="2:6" x14ac:dyDescent="0.3">
      <c r="B1381" t="s">
        <v>1041</v>
      </c>
      <c r="D1381">
        <v>226</v>
      </c>
      <c r="E1381">
        <v>42496</v>
      </c>
      <c r="F1381">
        <v>1</v>
      </c>
    </row>
    <row r="1382" spans="2:6" x14ac:dyDescent="0.3">
      <c r="B1382" t="s">
        <v>1042</v>
      </c>
      <c r="D1382">
        <v>226</v>
      </c>
      <c r="E1382">
        <v>21120</v>
      </c>
      <c r="F1382">
        <v>1</v>
      </c>
    </row>
    <row r="1383" spans="2:6" x14ac:dyDescent="0.3">
      <c r="B1383" t="s">
        <v>1043</v>
      </c>
      <c r="D1383">
        <v>225</v>
      </c>
      <c r="E1383">
        <v>256</v>
      </c>
      <c r="F1383">
        <v>1</v>
      </c>
    </row>
    <row r="1384" spans="2:6" x14ac:dyDescent="0.3">
      <c r="B1384" t="s">
        <v>1044</v>
      </c>
      <c r="D1384">
        <v>224</v>
      </c>
      <c r="E1384">
        <v>48128</v>
      </c>
      <c r="F1384">
        <v>1</v>
      </c>
    </row>
    <row r="1385" spans="2:6" x14ac:dyDescent="0.3">
      <c r="B1385" t="s">
        <v>1045</v>
      </c>
      <c r="D1385">
        <v>223</v>
      </c>
      <c r="E1385">
        <v>32000</v>
      </c>
      <c r="F1385">
        <v>1</v>
      </c>
    </row>
    <row r="1386" spans="2:6" x14ac:dyDescent="0.3">
      <c r="B1386" t="s">
        <v>1046</v>
      </c>
      <c r="D1386">
        <v>223</v>
      </c>
      <c r="E1386">
        <v>19712</v>
      </c>
      <c r="F1386">
        <v>1</v>
      </c>
    </row>
    <row r="1387" spans="2:6" x14ac:dyDescent="0.3">
      <c r="B1387" t="s">
        <v>1047</v>
      </c>
      <c r="D1387">
        <v>223</v>
      </c>
      <c r="E1387">
        <v>17152</v>
      </c>
      <c r="F1387">
        <v>1</v>
      </c>
    </row>
    <row r="1388" spans="2:6" x14ac:dyDescent="0.3">
      <c r="B1388" t="s">
        <v>1048</v>
      </c>
      <c r="D1388">
        <v>222</v>
      </c>
      <c r="E1388">
        <v>12160</v>
      </c>
      <c r="F1388">
        <v>1</v>
      </c>
    </row>
    <row r="1389" spans="2:6" x14ac:dyDescent="0.3">
      <c r="B1389" t="s">
        <v>1049</v>
      </c>
      <c r="D1389">
        <v>222</v>
      </c>
      <c r="E1389">
        <v>9088</v>
      </c>
      <c r="F1389">
        <v>1</v>
      </c>
    </row>
    <row r="1390" spans="2:6" x14ac:dyDescent="0.3">
      <c r="B1390" t="s">
        <v>1050</v>
      </c>
      <c r="D1390">
        <v>222</v>
      </c>
      <c r="E1390">
        <v>4224</v>
      </c>
      <c r="F1390">
        <v>1</v>
      </c>
    </row>
    <row r="1391" spans="2:6" x14ac:dyDescent="0.3">
      <c r="B1391" t="s">
        <v>1051</v>
      </c>
      <c r="D1391">
        <v>222</v>
      </c>
      <c r="E1391">
        <v>63744</v>
      </c>
      <c r="F1391">
        <v>1</v>
      </c>
    </row>
    <row r="1392" spans="2:6" x14ac:dyDescent="0.3">
      <c r="B1392" t="s">
        <v>1052</v>
      </c>
      <c r="D1392">
        <v>221</v>
      </c>
      <c r="E1392">
        <v>54528</v>
      </c>
      <c r="F1392">
        <v>1</v>
      </c>
    </row>
    <row r="1393" spans="2:6" x14ac:dyDescent="0.3">
      <c r="B1393" t="s">
        <v>1053</v>
      </c>
      <c r="D1393">
        <v>220</v>
      </c>
      <c r="E1393">
        <v>35328</v>
      </c>
      <c r="F1393">
        <v>1</v>
      </c>
    </row>
    <row r="1394" spans="2:6" x14ac:dyDescent="0.3">
      <c r="B1394" t="s">
        <v>1054</v>
      </c>
      <c r="D1394">
        <v>220</v>
      </c>
      <c r="E1394">
        <v>22912</v>
      </c>
      <c r="F1394">
        <v>1</v>
      </c>
    </row>
    <row r="1395" spans="2:6" x14ac:dyDescent="0.3">
      <c r="B1395" t="s">
        <v>1055</v>
      </c>
      <c r="D1395">
        <v>218</v>
      </c>
      <c r="E1395">
        <v>56768</v>
      </c>
      <c r="F1395">
        <v>1</v>
      </c>
    </row>
    <row r="1396" spans="2:6" x14ac:dyDescent="0.3">
      <c r="B1396" t="s">
        <v>1056</v>
      </c>
      <c r="D1396">
        <v>215</v>
      </c>
      <c r="E1396">
        <v>29888</v>
      </c>
      <c r="F1396">
        <v>1</v>
      </c>
    </row>
    <row r="1397" spans="2:6" x14ac:dyDescent="0.3">
      <c r="B1397" t="s">
        <v>1057</v>
      </c>
      <c r="D1397">
        <v>216</v>
      </c>
      <c r="E1397">
        <v>31232</v>
      </c>
      <c r="F1397">
        <v>1</v>
      </c>
    </row>
    <row r="1398" spans="2:6" x14ac:dyDescent="0.3">
      <c r="B1398" t="s">
        <v>1058</v>
      </c>
      <c r="D1398">
        <v>216</v>
      </c>
      <c r="E1398">
        <v>35200</v>
      </c>
      <c r="F1398">
        <v>1</v>
      </c>
    </row>
    <row r="1399" spans="2:6" x14ac:dyDescent="0.3">
      <c r="B1399" t="s">
        <v>1058</v>
      </c>
      <c r="D1399">
        <v>216</v>
      </c>
      <c r="E1399">
        <v>35200</v>
      </c>
      <c r="F1399">
        <v>1</v>
      </c>
    </row>
    <row r="1400" spans="2:6" x14ac:dyDescent="0.3">
      <c r="B1400" t="s">
        <v>1059</v>
      </c>
      <c r="D1400">
        <v>216</v>
      </c>
      <c r="E1400">
        <v>32576</v>
      </c>
      <c r="F1400">
        <v>1</v>
      </c>
    </row>
    <row r="1401" spans="2:6" x14ac:dyDescent="0.3">
      <c r="B1401" t="s">
        <v>1060</v>
      </c>
      <c r="D1401">
        <v>213</v>
      </c>
      <c r="E1401">
        <v>6400</v>
      </c>
      <c r="F1401">
        <v>1</v>
      </c>
    </row>
    <row r="1402" spans="2:6" x14ac:dyDescent="0.3">
      <c r="B1402" t="s">
        <v>1061</v>
      </c>
      <c r="D1402">
        <v>211</v>
      </c>
      <c r="E1402">
        <v>40896</v>
      </c>
      <c r="F1402">
        <v>1</v>
      </c>
    </row>
    <row r="1403" spans="2:6" x14ac:dyDescent="0.3">
      <c r="B1403" t="s">
        <v>1062</v>
      </c>
      <c r="D1403">
        <v>208</v>
      </c>
      <c r="E1403">
        <v>20800</v>
      </c>
      <c r="F1403">
        <v>1</v>
      </c>
    </row>
    <row r="1404" spans="2:6" x14ac:dyDescent="0.3">
      <c r="B1404" t="s">
        <v>1063</v>
      </c>
      <c r="D1404">
        <v>219</v>
      </c>
      <c r="E1404">
        <v>39040</v>
      </c>
      <c r="F1404">
        <v>1</v>
      </c>
    </row>
    <row r="1405" spans="2:6" x14ac:dyDescent="0.3">
      <c r="B1405" t="s">
        <v>1064</v>
      </c>
      <c r="D1405">
        <v>225</v>
      </c>
      <c r="E1405">
        <v>21504</v>
      </c>
      <c r="F1405">
        <v>1</v>
      </c>
    </row>
    <row r="1406" spans="2:6" x14ac:dyDescent="0.3">
      <c r="B1406" t="s">
        <v>1065</v>
      </c>
      <c r="D1406">
        <v>223</v>
      </c>
      <c r="E1406">
        <v>43648</v>
      </c>
      <c r="F1406">
        <v>1</v>
      </c>
    </row>
    <row r="1407" spans="2:6" x14ac:dyDescent="0.3">
      <c r="B1407" t="s">
        <v>1066</v>
      </c>
      <c r="D1407">
        <v>226</v>
      </c>
      <c r="E1407">
        <v>60032</v>
      </c>
      <c r="F1407">
        <v>1</v>
      </c>
    </row>
    <row r="1408" spans="2:6" x14ac:dyDescent="0.3">
      <c r="B1408" t="s">
        <v>1067</v>
      </c>
      <c r="D1408">
        <v>226</v>
      </c>
      <c r="E1408">
        <v>44672</v>
      </c>
      <c r="F1408">
        <v>1</v>
      </c>
    </row>
    <row r="1409" spans="2:6" x14ac:dyDescent="0.3">
      <c r="B1409" t="s">
        <v>1068</v>
      </c>
      <c r="D1409">
        <v>238</v>
      </c>
      <c r="E1409">
        <v>35072</v>
      </c>
      <c r="F1409">
        <v>1</v>
      </c>
    </row>
    <row r="1410" spans="2:6" x14ac:dyDescent="0.3">
      <c r="B1410" t="s">
        <v>1069</v>
      </c>
      <c r="D1410">
        <v>232</v>
      </c>
      <c r="E1410">
        <v>35328</v>
      </c>
      <c r="F1410">
        <v>1</v>
      </c>
    </row>
    <row r="1411" spans="2:6" x14ac:dyDescent="0.3">
      <c r="B1411" t="s">
        <v>1070</v>
      </c>
      <c r="D1411">
        <v>230</v>
      </c>
      <c r="E1411">
        <v>24192</v>
      </c>
      <c r="F1411">
        <v>1</v>
      </c>
    </row>
    <row r="1412" spans="2:6" x14ac:dyDescent="0.3">
      <c r="B1412" t="s">
        <v>1071</v>
      </c>
      <c r="D1412">
        <v>212</v>
      </c>
      <c r="E1412">
        <v>24192</v>
      </c>
      <c r="F1412">
        <v>1</v>
      </c>
    </row>
    <row r="1413" spans="2:6" x14ac:dyDescent="0.3">
      <c r="B1413" t="s">
        <v>1072</v>
      </c>
      <c r="D1413">
        <v>212</v>
      </c>
      <c r="E1413">
        <v>50176</v>
      </c>
      <c r="F1413">
        <v>1</v>
      </c>
    </row>
    <row r="1414" spans="2:6" x14ac:dyDescent="0.3">
      <c r="B1414" t="s">
        <v>1073</v>
      </c>
      <c r="D1414">
        <v>245</v>
      </c>
      <c r="E1414">
        <v>46080</v>
      </c>
      <c r="F1414">
        <v>1</v>
      </c>
    </row>
    <row r="1415" spans="2:6" x14ac:dyDescent="0.3">
      <c r="B1415" t="s">
        <v>1074</v>
      </c>
      <c r="D1415">
        <v>243</v>
      </c>
      <c r="E1415">
        <v>41984</v>
      </c>
      <c r="F1415">
        <v>1</v>
      </c>
    </row>
    <row r="1416" spans="2:6" x14ac:dyDescent="0.3">
      <c r="B1416" t="s">
        <v>1075</v>
      </c>
      <c r="D1416">
        <v>243</v>
      </c>
      <c r="E1416">
        <v>16896</v>
      </c>
      <c r="F1416">
        <v>1</v>
      </c>
    </row>
    <row r="1417" spans="2:6" x14ac:dyDescent="0.3">
      <c r="B1417" t="s">
        <v>1075</v>
      </c>
      <c r="D1417">
        <v>243</v>
      </c>
      <c r="E1417">
        <v>16896</v>
      </c>
      <c r="F1417">
        <v>1</v>
      </c>
    </row>
    <row r="1418" spans="2:6" x14ac:dyDescent="0.3">
      <c r="B1418" t="s">
        <v>1076</v>
      </c>
      <c r="D1418">
        <v>243</v>
      </c>
      <c r="E1418">
        <v>58368</v>
      </c>
      <c r="F1418">
        <v>1</v>
      </c>
    </row>
    <row r="1420" spans="2:6" x14ac:dyDescent="0.3">
      <c r="B1420" t="s">
        <v>792</v>
      </c>
      <c r="D1420">
        <v>214</v>
      </c>
      <c r="E1420">
        <v>24320</v>
      </c>
      <c r="F1420">
        <v>1</v>
      </c>
    </row>
    <row r="1421" spans="2:6" x14ac:dyDescent="0.3">
      <c r="B1421" t="s">
        <v>793</v>
      </c>
      <c r="D1421">
        <v>225</v>
      </c>
      <c r="E1421">
        <v>30720</v>
      </c>
      <c r="F1421">
        <v>1</v>
      </c>
    </row>
    <row r="1422" spans="2:6" x14ac:dyDescent="0.3">
      <c r="B1422" t="s">
        <v>794</v>
      </c>
      <c r="D1422">
        <v>199</v>
      </c>
      <c r="E1422">
        <v>49728</v>
      </c>
      <c r="F1422">
        <v>1</v>
      </c>
    </row>
    <row r="1423" spans="2:6" x14ac:dyDescent="0.3">
      <c r="B1423" t="s">
        <v>795</v>
      </c>
      <c r="D1423">
        <v>195</v>
      </c>
      <c r="E1423">
        <v>19488</v>
      </c>
      <c r="F1423">
        <v>1</v>
      </c>
    </row>
    <row r="1424" spans="2:6" x14ac:dyDescent="0.3">
      <c r="B1424" t="s">
        <v>796</v>
      </c>
      <c r="D1424">
        <v>190</v>
      </c>
      <c r="E1424">
        <v>2592</v>
      </c>
      <c r="F1424">
        <v>1</v>
      </c>
    </row>
    <row r="1425" spans="2:6" x14ac:dyDescent="0.3">
      <c r="B1425" t="s">
        <v>797</v>
      </c>
      <c r="D1425">
        <v>185</v>
      </c>
      <c r="E1425">
        <v>51216</v>
      </c>
      <c r="F1425">
        <v>1</v>
      </c>
    </row>
    <row r="1426" spans="2:6" x14ac:dyDescent="0.3">
      <c r="B1426" t="s">
        <v>798</v>
      </c>
      <c r="D1426">
        <v>184</v>
      </c>
      <c r="E1426">
        <v>56688</v>
      </c>
      <c r="F1426">
        <v>1</v>
      </c>
    </row>
    <row r="1427" spans="2:6" x14ac:dyDescent="0.3">
      <c r="B1427" t="s">
        <v>799</v>
      </c>
      <c r="D1427">
        <v>189</v>
      </c>
      <c r="E1427">
        <v>62048</v>
      </c>
      <c r="F1427">
        <v>1</v>
      </c>
    </row>
    <row r="1428" spans="2:6" x14ac:dyDescent="0.3">
      <c r="B1428" t="s">
        <v>800</v>
      </c>
      <c r="D1428">
        <v>195</v>
      </c>
      <c r="E1428">
        <v>13056</v>
      </c>
      <c r="F1428">
        <v>1</v>
      </c>
    </row>
    <row r="1429" spans="2:6" x14ac:dyDescent="0.3">
      <c r="B1429" t="s">
        <v>801</v>
      </c>
      <c r="D1429">
        <v>197</v>
      </c>
      <c r="E1429">
        <v>21568</v>
      </c>
      <c r="F1429">
        <v>1</v>
      </c>
    </row>
    <row r="1430" spans="2:6" x14ac:dyDescent="0.3">
      <c r="B1430" t="s">
        <v>802</v>
      </c>
      <c r="D1430">
        <v>202</v>
      </c>
      <c r="E1430">
        <v>54976</v>
      </c>
      <c r="F1430">
        <v>1</v>
      </c>
    </row>
    <row r="1431" spans="2:6" x14ac:dyDescent="0.3">
      <c r="B1431" t="s">
        <v>803</v>
      </c>
      <c r="D1431">
        <v>209</v>
      </c>
      <c r="E1431">
        <v>51904</v>
      </c>
      <c r="F1431">
        <v>1</v>
      </c>
    </row>
    <row r="1432" spans="2:6" x14ac:dyDescent="0.3">
      <c r="B1432" t="s">
        <v>804</v>
      </c>
      <c r="D1432">
        <v>209</v>
      </c>
      <c r="E1432">
        <v>29120</v>
      </c>
      <c r="F1432">
        <v>1</v>
      </c>
    </row>
    <row r="1433" spans="2:6" x14ac:dyDescent="0.3">
      <c r="B1433" t="s">
        <v>805</v>
      </c>
      <c r="D1433">
        <v>212</v>
      </c>
      <c r="E1433">
        <v>0</v>
      </c>
      <c r="F1433">
        <v>1</v>
      </c>
    </row>
    <row r="1434" spans="2:6" x14ac:dyDescent="0.3">
      <c r="B1434" t="s">
        <v>806</v>
      </c>
      <c r="D1434">
        <v>208</v>
      </c>
      <c r="E1434">
        <v>19008</v>
      </c>
      <c r="F1434">
        <v>1</v>
      </c>
    </row>
    <row r="1435" spans="2:6" x14ac:dyDescent="0.3">
      <c r="B1435" t="s">
        <v>807</v>
      </c>
      <c r="D1435">
        <v>220</v>
      </c>
      <c r="E1435">
        <v>42368</v>
      </c>
      <c r="F1435">
        <v>1</v>
      </c>
    </row>
    <row r="1436" spans="2:6" x14ac:dyDescent="0.3">
      <c r="B1436" t="s">
        <v>808</v>
      </c>
      <c r="D1436">
        <v>226</v>
      </c>
      <c r="E1436">
        <v>21632</v>
      </c>
      <c r="F1436">
        <v>1</v>
      </c>
    </row>
    <row r="1437" spans="2:6" x14ac:dyDescent="0.3">
      <c r="B1437" t="s">
        <v>809</v>
      </c>
      <c r="D1437">
        <v>227</v>
      </c>
      <c r="E1437">
        <v>34432</v>
      </c>
      <c r="F1437">
        <v>1</v>
      </c>
    </row>
    <row r="1438" spans="2:6" x14ac:dyDescent="0.3">
      <c r="B1438" t="s">
        <v>810</v>
      </c>
      <c r="D1438">
        <v>227</v>
      </c>
      <c r="E1438">
        <v>27520</v>
      </c>
      <c r="F1438">
        <v>1</v>
      </c>
    </row>
    <row r="1439" spans="2:6" x14ac:dyDescent="0.3">
      <c r="B1439" t="s">
        <v>811</v>
      </c>
      <c r="D1439">
        <v>224</v>
      </c>
      <c r="E1439">
        <v>39040</v>
      </c>
      <c r="F1439">
        <v>1</v>
      </c>
    </row>
    <row r="1440" spans="2:6" x14ac:dyDescent="0.3">
      <c r="B1440" t="s">
        <v>812</v>
      </c>
      <c r="D1440">
        <v>222</v>
      </c>
      <c r="E1440">
        <v>53248</v>
      </c>
      <c r="F1440">
        <v>1</v>
      </c>
    </row>
    <row r="1441" spans="2:6" x14ac:dyDescent="0.3">
      <c r="B1441" t="s">
        <v>813</v>
      </c>
      <c r="D1441">
        <v>220</v>
      </c>
      <c r="E1441">
        <v>56576</v>
      </c>
      <c r="F1441">
        <v>1</v>
      </c>
    </row>
    <row r="1442" spans="2:6" x14ac:dyDescent="0.3">
      <c r="B1442" t="s">
        <v>814</v>
      </c>
      <c r="D1442">
        <v>218</v>
      </c>
      <c r="E1442">
        <v>11520</v>
      </c>
      <c r="F1442">
        <v>1</v>
      </c>
    </row>
    <row r="1443" spans="2:6" x14ac:dyDescent="0.3">
      <c r="B1443" t="s">
        <v>815</v>
      </c>
      <c r="D1443">
        <v>217</v>
      </c>
      <c r="E1443">
        <v>63424</v>
      </c>
      <c r="F1443">
        <v>1</v>
      </c>
    </row>
    <row r="1444" spans="2:6" x14ac:dyDescent="0.3">
      <c r="B1444" t="s">
        <v>816</v>
      </c>
      <c r="D1444">
        <v>212</v>
      </c>
      <c r="E1444">
        <v>36224</v>
      </c>
      <c r="F1444">
        <v>1</v>
      </c>
    </row>
    <row r="1445" spans="2:6" x14ac:dyDescent="0.3">
      <c r="B1445" t="s">
        <v>817</v>
      </c>
      <c r="D1445">
        <v>208</v>
      </c>
      <c r="E1445">
        <v>29952</v>
      </c>
      <c r="F1445">
        <v>1</v>
      </c>
    </row>
    <row r="1446" spans="2:6" x14ac:dyDescent="0.3">
      <c r="B1446" t="s">
        <v>818</v>
      </c>
      <c r="D1446">
        <v>207</v>
      </c>
      <c r="E1446">
        <v>35456</v>
      </c>
      <c r="F1446">
        <v>1</v>
      </c>
    </row>
    <row r="1447" spans="2:6" x14ac:dyDescent="0.3">
      <c r="B1447" t="s">
        <v>819</v>
      </c>
      <c r="D1447">
        <v>205</v>
      </c>
      <c r="E1447">
        <v>17984</v>
      </c>
      <c r="F1447">
        <v>1</v>
      </c>
    </row>
    <row r="1448" spans="2:6" x14ac:dyDescent="0.3">
      <c r="B1448" t="s">
        <v>820</v>
      </c>
      <c r="D1448">
        <v>205</v>
      </c>
      <c r="E1448">
        <v>53568</v>
      </c>
      <c r="F1448">
        <v>1</v>
      </c>
    </row>
    <row r="1449" spans="2:6" x14ac:dyDescent="0.3">
      <c r="B1449" t="s">
        <v>821</v>
      </c>
      <c r="D1449">
        <v>203</v>
      </c>
      <c r="E1449">
        <v>50016</v>
      </c>
      <c r="F1449">
        <v>1</v>
      </c>
    </row>
    <row r="1450" spans="2:6" x14ac:dyDescent="0.3">
      <c r="B1450" t="s">
        <v>822</v>
      </c>
      <c r="D1450">
        <v>198</v>
      </c>
      <c r="E1450">
        <v>34144</v>
      </c>
      <c r="F1450">
        <v>1</v>
      </c>
    </row>
    <row r="1451" spans="2:6" x14ac:dyDescent="0.3">
      <c r="B1451" t="s">
        <v>823</v>
      </c>
      <c r="D1451">
        <v>196</v>
      </c>
      <c r="E1451">
        <v>12192</v>
      </c>
      <c r="F1451">
        <v>1</v>
      </c>
    </row>
    <row r="1452" spans="2:6" x14ac:dyDescent="0.3">
      <c r="B1452" t="s">
        <v>824</v>
      </c>
      <c r="D1452">
        <v>202</v>
      </c>
      <c r="E1452">
        <v>45760</v>
      </c>
      <c r="F1452">
        <v>1</v>
      </c>
    </row>
    <row r="1453" spans="2:6" x14ac:dyDescent="0.3">
      <c r="B1453" t="s">
        <v>825</v>
      </c>
      <c r="D1453">
        <v>199</v>
      </c>
      <c r="E1453">
        <v>25184</v>
      </c>
      <c r="F1453">
        <v>1</v>
      </c>
    </row>
    <row r="1454" spans="2:6" x14ac:dyDescent="0.3">
      <c r="B1454" t="s">
        <v>826</v>
      </c>
      <c r="D1454">
        <v>196</v>
      </c>
      <c r="E1454">
        <v>14720</v>
      </c>
      <c r="F1454">
        <v>1</v>
      </c>
    </row>
    <row r="1455" spans="2:6" x14ac:dyDescent="0.3">
      <c r="B1455" t="s">
        <v>827</v>
      </c>
      <c r="D1455">
        <v>189</v>
      </c>
      <c r="E1455">
        <v>55056</v>
      </c>
      <c r="F1455">
        <v>1</v>
      </c>
    </row>
    <row r="1456" spans="2:6" x14ac:dyDescent="0.3">
      <c r="B1456" t="s">
        <v>828</v>
      </c>
      <c r="D1456">
        <v>192</v>
      </c>
      <c r="E1456">
        <v>56448</v>
      </c>
      <c r="F1456">
        <v>1</v>
      </c>
    </row>
    <row r="1457" spans="2:6" x14ac:dyDescent="0.3">
      <c r="B1457" t="s">
        <v>829</v>
      </c>
      <c r="D1457">
        <v>181</v>
      </c>
      <c r="E1457">
        <v>43168</v>
      </c>
      <c r="F1457">
        <v>1</v>
      </c>
    </row>
    <row r="1458" spans="2:6" x14ac:dyDescent="0.3">
      <c r="B1458" t="s">
        <v>830</v>
      </c>
      <c r="D1458">
        <v>154</v>
      </c>
      <c r="E1458">
        <v>7350</v>
      </c>
      <c r="F1458">
        <v>1</v>
      </c>
    </row>
    <row r="1459" spans="2:6" x14ac:dyDescent="0.3">
      <c r="B1459" t="s">
        <v>831</v>
      </c>
      <c r="D1459">
        <v>154</v>
      </c>
      <c r="E1459">
        <v>6888</v>
      </c>
      <c r="F1459">
        <v>1</v>
      </c>
    </row>
    <row r="1460" spans="2:6" x14ac:dyDescent="0.3">
      <c r="B1460" t="s">
        <v>832</v>
      </c>
      <c r="D1460">
        <v>155</v>
      </c>
      <c r="E1460">
        <v>10756</v>
      </c>
      <c r="F1460">
        <v>1</v>
      </c>
    </row>
    <row r="1461" spans="2:6" x14ac:dyDescent="0.3">
      <c r="B1461" t="s">
        <v>833</v>
      </c>
      <c r="D1461">
        <v>162</v>
      </c>
      <c r="E1461">
        <v>15920</v>
      </c>
      <c r="F1461">
        <v>1</v>
      </c>
    </row>
    <row r="1462" spans="2:6" x14ac:dyDescent="0.3">
      <c r="B1462" t="s">
        <v>834</v>
      </c>
      <c r="D1462">
        <v>170</v>
      </c>
      <c r="E1462">
        <v>24920</v>
      </c>
      <c r="F1462">
        <v>1</v>
      </c>
    </row>
    <row r="1463" spans="2:6" x14ac:dyDescent="0.3">
      <c r="B1463" t="s">
        <v>835</v>
      </c>
      <c r="D1463">
        <v>183</v>
      </c>
      <c r="E1463">
        <v>40528</v>
      </c>
      <c r="F1463">
        <v>1</v>
      </c>
    </row>
    <row r="1464" spans="2:6" x14ac:dyDescent="0.3">
      <c r="B1464" t="s">
        <v>836</v>
      </c>
      <c r="D1464">
        <v>182</v>
      </c>
      <c r="E1464">
        <v>37472</v>
      </c>
      <c r="F1464">
        <v>1</v>
      </c>
    </row>
    <row r="1465" spans="2:6" x14ac:dyDescent="0.3">
      <c r="B1465" t="s">
        <v>837</v>
      </c>
      <c r="D1465">
        <v>179</v>
      </c>
      <c r="E1465">
        <v>33632</v>
      </c>
      <c r="F1465">
        <v>1</v>
      </c>
    </row>
    <row r="1466" spans="2:6" x14ac:dyDescent="0.3">
      <c r="B1466" t="s">
        <v>838</v>
      </c>
      <c r="D1466">
        <v>178</v>
      </c>
      <c r="E1466">
        <v>36864</v>
      </c>
      <c r="F1466">
        <v>1</v>
      </c>
    </row>
    <row r="1467" spans="2:6" x14ac:dyDescent="0.3">
      <c r="B1467" t="s">
        <v>839</v>
      </c>
      <c r="D1467">
        <v>184</v>
      </c>
      <c r="E1467">
        <v>45136</v>
      </c>
      <c r="F1467">
        <v>1</v>
      </c>
    </row>
    <row r="1468" spans="2:6" x14ac:dyDescent="0.3">
      <c r="B1468" t="s">
        <v>840</v>
      </c>
      <c r="D1468">
        <v>186</v>
      </c>
      <c r="E1468">
        <v>47408</v>
      </c>
      <c r="F1468">
        <v>1</v>
      </c>
    </row>
    <row r="1469" spans="2:6" x14ac:dyDescent="0.3">
      <c r="B1469" t="s">
        <v>841</v>
      </c>
      <c r="D1469">
        <v>187</v>
      </c>
      <c r="E1469">
        <v>50976</v>
      </c>
      <c r="F1469">
        <v>1</v>
      </c>
    </row>
    <row r="1470" spans="2:6" x14ac:dyDescent="0.3">
      <c r="B1470" t="s">
        <v>842</v>
      </c>
      <c r="D1470">
        <v>186</v>
      </c>
      <c r="E1470">
        <v>47664</v>
      </c>
      <c r="F1470">
        <v>1</v>
      </c>
    </row>
    <row r="1471" spans="2:6" x14ac:dyDescent="0.3">
      <c r="B1471" t="s">
        <v>843</v>
      </c>
      <c r="D1471">
        <v>186</v>
      </c>
      <c r="E1471">
        <v>55120</v>
      </c>
      <c r="F1471">
        <v>1</v>
      </c>
    </row>
    <row r="1472" spans="2:6" x14ac:dyDescent="0.3">
      <c r="B1472" t="s">
        <v>844</v>
      </c>
      <c r="D1472">
        <v>188</v>
      </c>
      <c r="E1472">
        <v>56560</v>
      </c>
      <c r="F1472">
        <v>1</v>
      </c>
    </row>
    <row r="1473" spans="2:6" x14ac:dyDescent="0.3">
      <c r="B1473" t="s">
        <v>845</v>
      </c>
      <c r="D1473">
        <v>186</v>
      </c>
      <c r="E1473">
        <v>45664</v>
      </c>
      <c r="F1473">
        <v>1</v>
      </c>
    </row>
    <row r="1474" spans="2:6" x14ac:dyDescent="0.3">
      <c r="B1474" t="s">
        <v>846</v>
      </c>
      <c r="D1474">
        <v>182</v>
      </c>
      <c r="E1474">
        <v>36240</v>
      </c>
      <c r="F1474">
        <v>1</v>
      </c>
    </row>
    <row r="1475" spans="2:6" x14ac:dyDescent="0.3">
      <c r="B1475" t="s">
        <v>847</v>
      </c>
      <c r="D1475">
        <v>173</v>
      </c>
      <c r="E1475">
        <v>28344</v>
      </c>
      <c r="F1475">
        <v>1</v>
      </c>
    </row>
    <row r="1476" spans="2:6" x14ac:dyDescent="0.3">
      <c r="B1476" t="s">
        <v>848</v>
      </c>
      <c r="D1476">
        <v>160</v>
      </c>
      <c r="E1476">
        <v>12876</v>
      </c>
      <c r="F1476">
        <v>1</v>
      </c>
    </row>
    <row r="1477" spans="2:6" x14ac:dyDescent="0.3">
      <c r="B1477" t="s">
        <v>849</v>
      </c>
      <c r="D1477">
        <v>163</v>
      </c>
      <c r="E1477">
        <v>14192</v>
      </c>
      <c r="F1477">
        <v>1</v>
      </c>
    </row>
    <row r="1478" spans="2:6" x14ac:dyDescent="0.3">
      <c r="B1478" t="s">
        <v>850</v>
      </c>
      <c r="D1478">
        <v>157</v>
      </c>
      <c r="E1478">
        <v>11380</v>
      </c>
      <c r="F1478">
        <v>1</v>
      </c>
    </row>
    <row r="1479" spans="2:6" x14ac:dyDescent="0.3">
      <c r="B1479" t="s">
        <v>851</v>
      </c>
      <c r="D1479">
        <v>148</v>
      </c>
      <c r="E1479">
        <v>5528</v>
      </c>
      <c r="F1479">
        <v>1</v>
      </c>
    </row>
    <row r="1480" spans="2:6" x14ac:dyDescent="0.3">
      <c r="B1480" t="s">
        <v>852</v>
      </c>
      <c r="D1480">
        <v>145</v>
      </c>
      <c r="E1480">
        <v>4548</v>
      </c>
      <c r="F1480">
        <v>1</v>
      </c>
    </row>
    <row r="1481" spans="2:6" x14ac:dyDescent="0.3">
      <c r="B1481" t="s">
        <v>853</v>
      </c>
      <c r="D1481">
        <v>149</v>
      </c>
      <c r="E1481">
        <v>5892</v>
      </c>
      <c r="F1481">
        <v>1</v>
      </c>
    </row>
    <row r="1482" spans="2:6" x14ac:dyDescent="0.3">
      <c r="B1482" t="s">
        <v>854</v>
      </c>
      <c r="D1482">
        <v>147</v>
      </c>
      <c r="E1482">
        <v>5160</v>
      </c>
      <c r="F1482">
        <v>1</v>
      </c>
    </row>
    <row r="1483" spans="2:6" x14ac:dyDescent="0.3">
      <c r="B1483" t="s">
        <v>855</v>
      </c>
      <c r="D1483">
        <v>141</v>
      </c>
      <c r="E1483">
        <v>3686</v>
      </c>
      <c r="F1483">
        <v>1</v>
      </c>
    </row>
    <row r="1484" spans="2:6" x14ac:dyDescent="0.3">
      <c r="B1484" t="s">
        <v>856</v>
      </c>
      <c r="D1484">
        <v>131</v>
      </c>
      <c r="E1484">
        <v>2475</v>
      </c>
      <c r="F1484">
        <v>1</v>
      </c>
    </row>
    <row r="1485" spans="2:6" x14ac:dyDescent="0.3">
      <c r="B1485" t="s">
        <v>857</v>
      </c>
      <c r="D1485">
        <v>114</v>
      </c>
      <c r="E1485">
        <v>874</v>
      </c>
      <c r="F1485">
        <v>1</v>
      </c>
    </row>
    <row r="1486" spans="2:6" x14ac:dyDescent="0.3">
      <c r="B1486" t="s">
        <v>858</v>
      </c>
      <c r="D1486">
        <v>110</v>
      </c>
      <c r="E1486">
        <v>747</v>
      </c>
      <c r="F1486">
        <v>1</v>
      </c>
    </row>
    <row r="1487" spans="2:6" x14ac:dyDescent="0.3">
      <c r="B1487" t="s">
        <v>859</v>
      </c>
      <c r="D1487">
        <v>94</v>
      </c>
      <c r="E1487">
        <v>295</v>
      </c>
      <c r="F1487">
        <v>1</v>
      </c>
    </row>
    <row r="1488" spans="2:6" x14ac:dyDescent="0.3">
      <c r="B1488" t="s">
        <v>860</v>
      </c>
      <c r="D1488">
        <v>76</v>
      </c>
      <c r="E1488">
        <v>115</v>
      </c>
      <c r="F1488">
        <v>1</v>
      </c>
    </row>
    <row r="1489" spans="2:6" x14ac:dyDescent="0.3">
      <c r="B1489" t="s">
        <v>861</v>
      </c>
      <c r="D1489">
        <v>38</v>
      </c>
      <c r="E1489">
        <v>54</v>
      </c>
      <c r="F1489">
        <v>1</v>
      </c>
    </row>
    <row r="1490" spans="2:6" x14ac:dyDescent="0.3">
      <c r="B1490" t="s">
        <v>862</v>
      </c>
      <c r="D1490">
        <v>18</v>
      </c>
      <c r="E1490">
        <v>19</v>
      </c>
      <c r="F1490">
        <v>1</v>
      </c>
    </row>
    <row r="1491" spans="2:6" x14ac:dyDescent="0.3">
      <c r="B1491" t="s">
        <v>673</v>
      </c>
      <c r="D1491">
        <v>7</v>
      </c>
      <c r="E1491">
        <v>7</v>
      </c>
      <c r="F1491">
        <v>1</v>
      </c>
    </row>
    <row r="1492" spans="2:6" x14ac:dyDescent="0.3">
      <c r="B1492" t="s">
        <v>675</v>
      </c>
      <c r="D1492">
        <v>2</v>
      </c>
      <c r="E1492">
        <v>1</v>
      </c>
      <c r="F1492">
        <v>1</v>
      </c>
    </row>
    <row r="1493" spans="2:6" x14ac:dyDescent="0.3">
      <c r="B1493" t="s">
        <v>676</v>
      </c>
      <c r="D1493">
        <v>1</v>
      </c>
      <c r="E1493">
        <v>0</v>
      </c>
      <c r="F1493">
        <v>1</v>
      </c>
    </row>
    <row r="1494" spans="2:6" x14ac:dyDescent="0.3">
      <c r="B1494" t="s">
        <v>676</v>
      </c>
      <c r="D1494">
        <v>1</v>
      </c>
      <c r="E1494">
        <v>0</v>
      </c>
      <c r="F1494">
        <v>1</v>
      </c>
    </row>
    <row r="1495" spans="2:6" x14ac:dyDescent="0.3">
      <c r="B1495" t="s">
        <v>42</v>
      </c>
      <c r="D1495">
        <v>0</v>
      </c>
      <c r="E1495">
        <v>0</v>
      </c>
      <c r="F1495">
        <v>1</v>
      </c>
    </row>
    <row r="1496" spans="2:6" x14ac:dyDescent="0.3">
      <c r="B1496" t="s">
        <v>42</v>
      </c>
      <c r="D1496">
        <v>0</v>
      </c>
      <c r="E1496">
        <v>0</v>
      </c>
      <c r="F1496">
        <v>1</v>
      </c>
    </row>
    <row r="1497" spans="2:6" x14ac:dyDescent="0.3">
      <c r="B1497" t="s">
        <v>42</v>
      </c>
      <c r="D1497">
        <v>0</v>
      </c>
      <c r="E1497">
        <v>0</v>
      </c>
      <c r="F1497">
        <v>1</v>
      </c>
    </row>
    <row r="1498" spans="2:6" x14ac:dyDescent="0.3">
      <c r="B1498" t="s">
        <v>42</v>
      </c>
      <c r="D1498">
        <v>0</v>
      </c>
      <c r="E1498">
        <v>0</v>
      </c>
      <c r="F1498">
        <v>1</v>
      </c>
    </row>
    <row r="1499" spans="2:6" x14ac:dyDescent="0.3">
      <c r="B1499" t="s">
        <v>42</v>
      </c>
      <c r="D1499">
        <v>0</v>
      </c>
      <c r="E1499">
        <v>0</v>
      </c>
      <c r="F1499">
        <v>1</v>
      </c>
    </row>
    <row r="1500" spans="2:6" x14ac:dyDescent="0.3">
      <c r="B1500" t="s">
        <v>42</v>
      </c>
      <c r="D1500">
        <v>0</v>
      </c>
      <c r="E1500">
        <v>0</v>
      </c>
      <c r="F1500">
        <v>1</v>
      </c>
    </row>
    <row r="1501" spans="2:6" x14ac:dyDescent="0.3">
      <c r="B1501" t="s">
        <v>863</v>
      </c>
      <c r="D1501">
        <v>0</v>
      </c>
      <c r="E1501">
        <v>28</v>
      </c>
      <c r="F1501">
        <v>1</v>
      </c>
    </row>
    <row r="1502" spans="2:6" x14ac:dyDescent="0.3">
      <c r="B1502" t="s">
        <v>42</v>
      </c>
      <c r="D1502">
        <v>0</v>
      </c>
      <c r="E1502">
        <v>0</v>
      </c>
      <c r="F1502">
        <v>1</v>
      </c>
    </row>
    <row r="1503" spans="2:6" x14ac:dyDescent="0.3">
      <c r="B1503" t="s">
        <v>42</v>
      </c>
      <c r="D1503">
        <v>0</v>
      </c>
      <c r="E1503">
        <v>0</v>
      </c>
      <c r="F1503">
        <v>1</v>
      </c>
    </row>
    <row r="1504" spans="2:6" x14ac:dyDescent="0.3">
      <c r="B1504" t="s">
        <v>42</v>
      </c>
      <c r="D1504">
        <v>0</v>
      </c>
      <c r="E1504">
        <v>0</v>
      </c>
      <c r="F1504">
        <v>1</v>
      </c>
    </row>
    <row r="1505" spans="2:6" x14ac:dyDescent="0.3">
      <c r="B1505" t="s">
        <v>42</v>
      </c>
      <c r="D1505">
        <v>0</v>
      </c>
      <c r="E1505">
        <v>0</v>
      </c>
      <c r="F1505">
        <v>1</v>
      </c>
    </row>
    <row r="1506" spans="2:6" x14ac:dyDescent="0.3">
      <c r="B1506" t="s">
        <v>42</v>
      </c>
      <c r="D1506">
        <v>0</v>
      </c>
      <c r="E1506">
        <v>0</v>
      </c>
      <c r="F1506">
        <v>1</v>
      </c>
    </row>
    <row r="1507" spans="2:6" x14ac:dyDescent="0.3">
      <c r="B1507" t="s">
        <v>42</v>
      </c>
      <c r="D1507">
        <v>0</v>
      </c>
      <c r="E1507">
        <v>0</v>
      </c>
      <c r="F1507">
        <v>1</v>
      </c>
    </row>
    <row r="1508" spans="2:6" x14ac:dyDescent="0.3">
      <c r="B1508" t="s">
        <v>42</v>
      </c>
      <c r="D1508">
        <v>0</v>
      </c>
      <c r="E1508">
        <v>0</v>
      </c>
      <c r="F1508">
        <v>1</v>
      </c>
    </row>
    <row r="1509" spans="2:6" x14ac:dyDescent="0.3">
      <c r="B1509" t="s">
        <v>42</v>
      </c>
      <c r="D1509">
        <v>0</v>
      </c>
      <c r="E1509">
        <v>0</v>
      </c>
      <c r="F1509">
        <v>1</v>
      </c>
    </row>
    <row r="1510" spans="2:6" x14ac:dyDescent="0.3">
      <c r="B1510" t="s">
        <v>42</v>
      </c>
      <c r="D1510">
        <v>0</v>
      </c>
      <c r="E1510">
        <v>0</v>
      </c>
      <c r="F1510">
        <v>1</v>
      </c>
    </row>
    <row r="1511" spans="2:6" x14ac:dyDescent="0.3">
      <c r="B1511" t="s">
        <v>42</v>
      </c>
      <c r="D1511">
        <v>0</v>
      </c>
      <c r="E1511">
        <v>0</v>
      </c>
      <c r="F1511">
        <v>1</v>
      </c>
    </row>
    <row r="1512" spans="2:6" x14ac:dyDescent="0.3">
      <c r="B1512" t="s">
        <v>42</v>
      </c>
      <c r="D1512">
        <v>0</v>
      </c>
      <c r="E1512">
        <v>0</v>
      </c>
      <c r="F1512">
        <v>1</v>
      </c>
    </row>
    <row r="1513" spans="2:6" x14ac:dyDescent="0.3">
      <c r="B1513" t="s">
        <v>42</v>
      </c>
      <c r="D1513">
        <v>0</v>
      </c>
      <c r="E1513">
        <v>0</v>
      </c>
      <c r="F1513">
        <v>1</v>
      </c>
    </row>
    <row r="1514" spans="2:6" x14ac:dyDescent="0.3">
      <c r="B1514" t="s">
        <v>42</v>
      </c>
      <c r="D1514">
        <v>0</v>
      </c>
      <c r="E1514">
        <v>0</v>
      </c>
      <c r="F1514">
        <v>1</v>
      </c>
    </row>
    <row r="1515" spans="2:6" x14ac:dyDescent="0.3">
      <c r="B1515" t="s">
        <v>42</v>
      </c>
      <c r="D1515">
        <v>0</v>
      </c>
      <c r="E1515">
        <v>0</v>
      </c>
      <c r="F1515">
        <v>1</v>
      </c>
    </row>
    <row r="1516" spans="2:6" x14ac:dyDescent="0.3">
      <c r="B1516" t="s">
        <v>42</v>
      </c>
      <c r="D1516">
        <v>0</v>
      </c>
      <c r="E1516">
        <v>0</v>
      </c>
      <c r="F1516">
        <v>1</v>
      </c>
    </row>
    <row r="1517" spans="2:6" x14ac:dyDescent="0.3">
      <c r="B1517" t="s">
        <v>42</v>
      </c>
      <c r="D1517">
        <v>0</v>
      </c>
      <c r="E1517">
        <v>0</v>
      </c>
      <c r="F1517">
        <v>1</v>
      </c>
    </row>
    <row r="1518" spans="2:6" x14ac:dyDescent="0.3">
      <c r="B1518" t="s">
        <v>42</v>
      </c>
      <c r="D1518">
        <v>0</v>
      </c>
      <c r="E1518">
        <v>0</v>
      </c>
      <c r="F1518">
        <v>1</v>
      </c>
    </row>
    <row r="1519" spans="2:6" x14ac:dyDescent="0.3">
      <c r="B1519" t="s">
        <v>42</v>
      </c>
      <c r="D1519">
        <v>0</v>
      </c>
      <c r="E1519">
        <v>0</v>
      </c>
      <c r="F1519">
        <v>1</v>
      </c>
    </row>
    <row r="1520" spans="2:6" x14ac:dyDescent="0.3">
      <c r="B1520" t="s">
        <v>42</v>
      </c>
      <c r="D1520">
        <v>0</v>
      </c>
      <c r="E1520">
        <v>0</v>
      </c>
      <c r="F1520">
        <v>1</v>
      </c>
    </row>
    <row r="1521" spans="2:6" x14ac:dyDescent="0.3">
      <c r="B1521" t="s">
        <v>42</v>
      </c>
      <c r="D1521">
        <v>0</v>
      </c>
      <c r="E1521">
        <v>0</v>
      </c>
      <c r="F1521">
        <v>1</v>
      </c>
    </row>
    <row r="1522" spans="2:6" x14ac:dyDescent="0.3">
      <c r="B1522" t="s">
        <v>42</v>
      </c>
      <c r="D1522">
        <v>0</v>
      </c>
      <c r="E1522">
        <v>0</v>
      </c>
      <c r="F1522">
        <v>1</v>
      </c>
    </row>
    <row r="1523" spans="2:6" x14ac:dyDescent="0.3">
      <c r="B1523" t="s">
        <v>42</v>
      </c>
      <c r="D1523">
        <v>0</v>
      </c>
      <c r="E1523">
        <v>0</v>
      </c>
      <c r="F1523">
        <v>1</v>
      </c>
    </row>
    <row r="1524" spans="2:6" x14ac:dyDescent="0.3">
      <c r="B1524" t="s">
        <v>42</v>
      </c>
      <c r="D1524">
        <v>0</v>
      </c>
      <c r="E1524">
        <v>0</v>
      </c>
      <c r="F1524">
        <v>1</v>
      </c>
    </row>
    <row r="1525" spans="2:6" x14ac:dyDescent="0.3">
      <c r="B1525" t="s">
        <v>42</v>
      </c>
      <c r="D1525">
        <v>0</v>
      </c>
      <c r="E1525">
        <v>0</v>
      </c>
      <c r="F1525">
        <v>1</v>
      </c>
    </row>
    <row r="1526" spans="2:6" x14ac:dyDescent="0.3">
      <c r="B1526" t="s">
        <v>42</v>
      </c>
      <c r="D1526">
        <v>0</v>
      </c>
      <c r="E1526">
        <v>0</v>
      </c>
      <c r="F1526">
        <v>1</v>
      </c>
    </row>
    <row r="1527" spans="2:6" x14ac:dyDescent="0.3">
      <c r="B1527" t="s">
        <v>42</v>
      </c>
      <c r="D1527">
        <v>0</v>
      </c>
      <c r="E1527">
        <v>0</v>
      </c>
      <c r="F1527">
        <v>1</v>
      </c>
    </row>
    <row r="1528" spans="2:6" x14ac:dyDescent="0.3">
      <c r="B1528" t="s">
        <v>42</v>
      </c>
      <c r="D1528">
        <v>0</v>
      </c>
      <c r="E1528">
        <v>0</v>
      </c>
      <c r="F1528">
        <v>1</v>
      </c>
    </row>
    <row r="1529" spans="2:6" x14ac:dyDescent="0.3">
      <c r="B1529" t="s">
        <v>42</v>
      </c>
      <c r="D1529">
        <v>0</v>
      </c>
      <c r="E1529">
        <v>0</v>
      </c>
      <c r="F1529">
        <v>1</v>
      </c>
    </row>
    <row r="1530" spans="2:6" x14ac:dyDescent="0.3">
      <c r="B1530" t="s">
        <v>863</v>
      </c>
      <c r="D1530">
        <v>0</v>
      </c>
      <c r="E1530">
        <v>28</v>
      </c>
      <c r="F1530">
        <v>1</v>
      </c>
    </row>
    <row r="1531" spans="2:6" x14ac:dyDescent="0.3">
      <c r="B1531" t="s">
        <v>42</v>
      </c>
      <c r="D1531">
        <v>0</v>
      </c>
      <c r="E1531">
        <v>0</v>
      </c>
      <c r="F1531">
        <v>1</v>
      </c>
    </row>
    <row r="1532" spans="2:6" x14ac:dyDescent="0.3">
      <c r="B1532" t="s">
        <v>42</v>
      </c>
      <c r="D1532">
        <v>0</v>
      </c>
      <c r="E1532">
        <v>0</v>
      </c>
      <c r="F1532">
        <v>1</v>
      </c>
    </row>
    <row r="1533" spans="2:6" x14ac:dyDescent="0.3">
      <c r="B1533" t="s">
        <v>42</v>
      </c>
      <c r="D1533">
        <v>0</v>
      </c>
      <c r="E1533">
        <v>0</v>
      </c>
      <c r="F1533">
        <v>1</v>
      </c>
    </row>
    <row r="1534" spans="2:6" x14ac:dyDescent="0.3">
      <c r="B1534" t="s">
        <v>42</v>
      </c>
      <c r="D1534">
        <v>0</v>
      </c>
      <c r="E1534">
        <v>0</v>
      </c>
      <c r="F1534">
        <v>1</v>
      </c>
    </row>
    <row r="1535" spans="2:6" x14ac:dyDescent="0.3">
      <c r="B1535" t="s">
        <v>42</v>
      </c>
      <c r="D1535">
        <v>0</v>
      </c>
      <c r="E1535">
        <v>0</v>
      </c>
      <c r="F1535">
        <v>1</v>
      </c>
    </row>
    <row r="1536" spans="2:6" x14ac:dyDescent="0.3">
      <c r="B1536" t="s">
        <v>42</v>
      </c>
      <c r="D1536">
        <v>0</v>
      </c>
      <c r="E1536">
        <v>0</v>
      </c>
      <c r="F1536">
        <v>1</v>
      </c>
    </row>
    <row r="1537" spans="2:6" x14ac:dyDescent="0.3">
      <c r="B1537" t="s">
        <v>42</v>
      </c>
      <c r="D1537">
        <v>0</v>
      </c>
      <c r="E1537">
        <v>0</v>
      </c>
      <c r="F1537">
        <v>1</v>
      </c>
    </row>
    <row r="1538" spans="2:6" x14ac:dyDescent="0.3">
      <c r="B1538" t="s">
        <v>42</v>
      </c>
      <c r="D1538">
        <v>0</v>
      </c>
      <c r="E1538">
        <v>0</v>
      </c>
      <c r="F1538">
        <v>1</v>
      </c>
    </row>
    <row r="1539" spans="2:6" x14ac:dyDescent="0.3">
      <c r="B1539" t="s">
        <v>42</v>
      </c>
      <c r="D1539">
        <v>0</v>
      </c>
      <c r="E1539">
        <v>0</v>
      </c>
      <c r="F1539">
        <v>1</v>
      </c>
    </row>
    <row r="1540" spans="2:6" x14ac:dyDescent="0.3">
      <c r="B1540" t="s">
        <v>42</v>
      </c>
      <c r="D1540">
        <v>0</v>
      </c>
      <c r="E1540">
        <v>0</v>
      </c>
      <c r="F1540">
        <v>1</v>
      </c>
    </row>
    <row r="1541" spans="2:6" x14ac:dyDescent="0.3">
      <c r="B1541" t="s">
        <v>42</v>
      </c>
      <c r="D1541">
        <v>0</v>
      </c>
      <c r="E1541">
        <v>0</v>
      </c>
      <c r="F1541">
        <v>1</v>
      </c>
    </row>
    <row r="1542" spans="2:6" x14ac:dyDescent="0.3">
      <c r="B1542" t="s">
        <v>42</v>
      </c>
      <c r="D1542">
        <v>0</v>
      </c>
      <c r="E1542">
        <v>0</v>
      </c>
      <c r="F1542">
        <v>1</v>
      </c>
    </row>
    <row r="1543" spans="2:6" x14ac:dyDescent="0.3">
      <c r="B1543" t="s">
        <v>42</v>
      </c>
      <c r="D1543">
        <v>0</v>
      </c>
      <c r="E1543">
        <v>0</v>
      </c>
      <c r="F1543">
        <v>1</v>
      </c>
    </row>
    <row r="1544" spans="2:6" x14ac:dyDescent="0.3">
      <c r="B1544" t="s">
        <v>42</v>
      </c>
      <c r="D1544">
        <v>0</v>
      </c>
      <c r="E1544">
        <v>0</v>
      </c>
      <c r="F1544">
        <v>1</v>
      </c>
    </row>
    <row r="1545" spans="2:6" x14ac:dyDescent="0.3">
      <c r="B1545" t="s">
        <v>42</v>
      </c>
      <c r="D1545">
        <v>0</v>
      </c>
      <c r="E1545">
        <v>0</v>
      </c>
      <c r="F1545">
        <v>1</v>
      </c>
    </row>
    <row r="1546" spans="2:6" x14ac:dyDescent="0.3">
      <c r="B1546" t="s">
        <v>42</v>
      </c>
      <c r="D1546">
        <v>0</v>
      </c>
      <c r="E1546">
        <v>0</v>
      </c>
      <c r="F1546">
        <v>1</v>
      </c>
    </row>
    <row r="1547" spans="2:6" x14ac:dyDescent="0.3">
      <c r="B1547" t="s">
        <v>42</v>
      </c>
      <c r="D1547">
        <v>0</v>
      </c>
      <c r="E1547">
        <v>0</v>
      </c>
      <c r="F1547">
        <v>1</v>
      </c>
    </row>
    <row r="1548" spans="2:6" x14ac:dyDescent="0.3">
      <c r="B1548" t="s">
        <v>42</v>
      </c>
      <c r="D1548">
        <v>0</v>
      </c>
      <c r="E1548">
        <v>0</v>
      </c>
      <c r="F1548">
        <v>1</v>
      </c>
    </row>
    <row r="1549" spans="2:6" x14ac:dyDescent="0.3">
      <c r="B1549" t="s">
        <v>42</v>
      </c>
      <c r="D1549">
        <v>0</v>
      </c>
      <c r="E1549">
        <v>0</v>
      </c>
      <c r="F1549">
        <v>1</v>
      </c>
    </row>
    <row r="1550" spans="2:6" x14ac:dyDescent="0.3">
      <c r="B1550" t="s">
        <v>42</v>
      </c>
      <c r="D1550">
        <v>0</v>
      </c>
      <c r="E1550">
        <v>0</v>
      </c>
      <c r="F1550">
        <v>1</v>
      </c>
    </row>
    <row r="1551" spans="2:6" x14ac:dyDescent="0.3">
      <c r="B1551" t="s">
        <v>42</v>
      </c>
      <c r="D1551">
        <v>0</v>
      </c>
      <c r="E1551">
        <v>0</v>
      </c>
      <c r="F1551">
        <v>1</v>
      </c>
    </row>
    <row r="1552" spans="2:6" x14ac:dyDescent="0.3">
      <c r="B1552" t="s">
        <v>42</v>
      </c>
      <c r="D1552">
        <v>0</v>
      </c>
      <c r="E1552">
        <v>0</v>
      </c>
      <c r="F1552">
        <v>1</v>
      </c>
    </row>
    <row r="1553" spans="2:6" x14ac:dyDescent="0.3">
      <c r="B1553" t="s">
        <v>42</v>
      </c>
      <c r="D1553">
        <v>0</v>
      </c>
      <c r="E1553">
        <v>0</v>
      </c>
      <c r="F1553">
        <v>1</v>
      </c>
    </row>
    <row r="1554" spans="2:6" x14ac:dyDescent="0.3">
      <c r="B1554" t="s">
        <v>42</v>
      </c>
      <c r="D1554">
        <v>0</v>
      </c>
      <c r="E1554">
        <v>0</v>
      </c>
      <c r="F1554">
        <v>1</v>
      </c>
    </row>
    <row r="1555" spans="2:6" x14ac:dyDescent="0.3">
      <c r="B1555" t="s">
        <v>42</v>
      </c>
      <c r="D1555">
        <v>0</v>
      </c>
      <c r="E1555">
        <v>0</v>
      </c>
      <c r="F1555">
        <v>1</v>
      </c>
    </row>
    <row r="1556" spans="2:6" x14ac:dyDescent="0.3">
      <c r="B1556" t="s">
        <v>42</v>
      </c>
      <c r="D1556">
        <v>0</v>
      </c>
      <c r="E1556">
        <v>0</v>
      </c>
      <c r="F1556">
        <v>1</v>
      </c>
    </row>
    <row r="1557" spans="2:6" x14ac:dyDescent="0.3">
      <c r="B1557" t="s">
        <v>42</v>
      </c>
      <c r="D1557">
        <v>0</v>
      </c>
      <c r="E1557">
        <v>0</v>
      </c>
      <c r="F1557">
        <v>1</v>
      </c>
    </row>
    <row r="1558" spans="2:6" x14ac:dyDescent="0.3">
      <c r="B1558" t="s">
        <v>42</v>
      </c>
      <c r="D1558">
        <v>0</v>
      </c>
      <c r="E1558">
        <v>0</v>
      </c>
      <c r="F1558">
        <v>1</v>
      </c>
    </row>
    <row r="1559" spans="2:6" x14ac:dyDescent="0.3">
      <c r="B1559" t="s">
        <v>42</v>
      </c>
      <c r="D1559">
        <v>0</v>
      </c>
      <c r="E1559">
        <v>0</v>
      </c>
      <c r="F1559">
        <v>1</v>
      </c>
    </row>
    <row r="1560" spans="2:6" x14ac:dyDescent="0.3">
      <c r="B1560" t="s">
        <v>42</v>
      </c>
      <c r="D1560">
        <v>0</v>
      </c>
      <c r="E1560">
        <v>0</v>
      </c>
      <c r="F1560">
        <v>1</v>
      </c>
    </row>
    <row r="1561" spans="2:6" x14ac:dyDescent="0.3">
      <c r="B1561" t="s">
        <v>42</v>
      </c>
      <c r="D1561">
        <v>0</v>
      </c>
      <c r="E1561">
        <v>0</v>
      </c>
      <c r="F1561">
        <v>1</v>
      </c>
    </row>
    <row r="1562" spans="2:6" x14ac:dyDescent="0.3">
      <c r="B1562" t="s">
        <v>42</v>
      </c>
      <c r="D1562">
        <v>0</v>
      </c>
      <c r="E1562">
        <v>0</v>
      </c>
      <c r="F1562">
        <v>1</v>
      </c>
    </row>
    <row r="1563" spans="2:6" x14ac:dyDescent="0.3">
      <c r="B1563" t="s">
        <v>42</v>
      </c>
      <c r="D1563">
        <v>0</v>
      </c>
      <c r="E1563">
        <v>0</v>
      </c>
      <c r="F1563">
        <v>1</v>
      </c>
    </row>
    <row r="1564" spans="2:6" x14ac:dyDescent="0.3">
      <c r="B1564" t="s">
        <v>863</v>
      </c>
      <c r="D1564">
        <v>0</v>
      </c>
      <c r="E1564">
        <v>28</v>
      </c>
      <c r="F1564">
        <v>1</v>
      </c>
    </row>
    <row r="1565" spans="2:6" x14ac:dyDescent="0.3">
      <c r="B1565" t="s">
        <v>42</v>
      </c>
      <c r="D1565">
        <v>0</v>
      </c>
      <c r="E1565">
        <v>0</v>
      </c>
      <c r="F1565">
        <v>1</v>
      </c>
    </row>
    <row r="1566" spans="2:6" x14ac:dyDescent="0.3">
      <c r="B1566" t="s">
        <v>42</v>
      </c>
      <c r="D1566">
        <v>0</v>
      </c>
      <c r="E1566">
        <v>0</v>
      </c>
      <c r="F1566">
        <v>1</v>
      </c>
    </row>
    <row r="1567" spans="2:6" x14ac:dyDescent="0.3">
      <c r="B1567" t="s">
        <v>676</v>
      </c>
      <c r="D1567">
        <v>1</v>
      </c>
      <c r="E1567">
        <v>0</v>
      </c>
      <c r="F1567">
        <v>1</v>
      </c>
    </row>
    <row r="1568" spans="2:6" x14ac:dyDescent="0.3">
      <c r="B1568" t="s">
        <v>864</v>
      </c>
      <c r="D1568">
        <v>2</v>
      </c>
      <c r="E1568">
        <v>2</v>
      </c>
      <c r="F1568">
        <v>1</v>
      </c>
    </row>
    <row r="1569" spans="2:6" x14ac:dyDescent="0.3">
      <c r="B1569" t="s">
        <v>865</v>
      </c>
      <c r="D1569">
        <v>5</v>
      </c>
      <c r="E1569">
        <v>6</v>
      </c>
      <c r="F1569">
        <v>1</v>
      </c>
    </row>
    <row r="1570" spans="2:6" x14ac:dyDescent="0.3">
      <c r="B1570" t="s">
        <v>866</v>
      </c>
      <c r="D1570">
        <v>16</v>
      </c>
      <c r="E1570">
        <v>16</v>
      </c>
      <c r="F1570">
        <v>1</v>
      </c>
    </row>
    <row r="1571" spans="2:6" x14ac:dyDescent="0.3">
      <c r="B1571" t="s">
        <v>867</v>
      </c>
      <c r="D1571">
        <v>28</v>
      </c>
      <c r="E1571">
        <v>32</v>
      </c>
      <c r="F1571">
        <v>1</v>
      </c>
    </row>
    <row r="1572" spans="2:6" x14ac:dyDescent="0.3">
      <c r="B1572" t="s">
        <v>868</v>
      </c>
      <c r="D1572">
        <v>73</v>
      </c>
      <c r="E1572">
        <v>88</v>
      </c>
      <c r="F1572">
        <v>1</v>
      </c>
    </row>
    <row r="1573" spans="2:6" x14ac:dyDescent="0.3">
      <c r="B1573" t="s">
        <v>869</v>
      </c>
      <c r="D1573">
        <v>95</v>
      </c>
      <c r="E1573">
        <v>296</v>
      </c>
      <c r="F1573">
        <v>1</v>
      </c>
    </row>
    <row r="1574" spans="2:6" x14ac:dyDescent="0.3">
      <c r="B1574" t="s">
        <v>870</v>
      </c>
      <c r="D1574">
        <v>109</v>
      </c>
      <c r="E1574">
        <v>507</v>
      </c>
      <c r="F1574">
        <v>1</v>
      </c>
    </row>
    <row r="1575" spans="2:6" x14ac:dyDescent="0.3">
      <c r="B1575" t="s">
        <v>871</v>
      </c>
      <c r="D1575">
        <v>109</v>
      </c>
      <c r="E1575">
        <v>1000</v>
      </c>
      <c r="F1575">
        <v>1</v>
      </c>
    </row>
    <row r="1576" spans="2:6" x14ac:dyDescent="0.3">
      <c r="B1576" t="s">
        <v>872</v>
      </c>
      <c r="D1576">
        <v>121</v>
      </c>
      <c r="E1576">
        <v>1679</v>
      </c>
      <c r="F1576">
        <v>1</v>
      </c>
    </row>
    <row r="1577" spans="2:6" x14ac:dyDescent="0.3">
      <c r="B1577" t="s">
        <v>873</v>
      </c>
      <c r="D1577">
        <v>128</v>
      </c>
      <c r="E1577">
        <v>1993</v>
      </c>
      <c r="F1577">
        <v>1</v>
      </c>
    </row>
    <row r="1578" spans="2:6" x14ac:dyDescent="0.3">
      <c r="B1578" t="s">
        <v>874</v>
      </c>
      <c r="D1578">
        <v>135</v>
      </c>
      <c r="E1578">
        <v>3090</v>
      </c>
      <c r="F1578">
        <v>1</v>
      </c>
    </row>
    <row r="1579" spans="2:6" x14ac:dyDescent="0.3">
      <c r="B1579" t="s">
        <v>875</v>
      </c>
      <c r="D1579">
        <v>141</v>
      </c>
      <c r="E1579">
        <v>4284</v>
      </c>
      <c r="F1579">
        <v>1</v>
      </c>
    </row>
    <row r="1580" spans="2:6" x14ac:dyDescent="0.3">
      <c r="B1580" t="s">
        <v>876</v>
      </c>
      <c r="D1580">
        <v>149</v>
      </c>
      <c r="E1580">
        <v>9956</v>
      </c>
      <c r="F1580">
        <v>1</v>
      </c>
    </row>
    <row r="1581" spans="2:6" x14ac:dyDescent="0.3">
      <c r="B1581" t="s">
        <v>877</v>
      </c>
      <c r="D1581">
        <v>161</v>
      </c>
      <c r="E1581">
        <v>14212</v>
      </c>
      <c r="F1581">
        <v>1</v>
      </c>
    </row>
    <row r="1582" spans="2:6" x14ac:dyDescent="0.3">
      <c r="B1582" t="s">
        <v>878</v>
      </c>
      <c r="D1582">
        <v>167</v>
      </c>
      <c r="E1582">
        <v>16928</v>
      </c>
      <c r="F1582">
        <v>1</v>
      </c>
    </row>
    <row r="1583" spans="2:6" x14ac:dyDescent="0.3">
      <c r="B1583" t="s">
        <v>879</v>
      </c>
      <c r="D1583">
        <v>169</v>
      </c>
      <c r="E1583">
        <v>20528</v>
      </c>
      <c r="F1583">
        <v>1</v>
      </c>
    </row>
    <row r="1584" spans="2:6" x14ac:dyDescent="0.3">
      <c r="B1584" t="s">
        <v>880</v>
      </c>
      <c r="D1584">
        <v>183</v>
      </c>
      <c r="E1584">
        <v>45024</v>
      </c>
      <c r="F1584">
        <v>1</v>
      </c>
    </row>
    <row r="1585" spans="2:6" x14ac:dyDescent="0.3">
      <c r="B1585" t="s">
        <v>881</v>
      </c>
      <c r="D1585">
        <v>183</v>
      </c>
      <c r="E1585">
        <v>44464</v>
      </c>
      <c r="F1585">
        <v>1</v>
      </c>
    </row>
    <row r="1586" spans="2:6" x14ac:dyDescent="0.3">
      <c r="B1586" t="s">
        <v>882</v>
      </c>
      <c r="D1586">
        <v>182</v>
      </c>
      <c r="E1586">
        <v>34848</v>
      </c>
      <c r="F1586">
        <v>1</v>
      </c>
    </row>
    <row r="1587" spans="2:6" x14ac:dyDescent="0.3">
      <c r="B1587" t="s">
        <v>883</v>
      </c>
      <c r="D1587">
        <v>196</v>
      </c>
      <c r="E1587">
        <v>1856</v>
      </c>
      <c r="F1587">
        <v>1</v>
      </c>
    </row>
    <row r="1588" spans="2:6" x14ac:dyDescent="0.3">
      <c r="B1588" t="s">
        <v>884</v>
      </c>
      <c r="D1588">
        <v>195</v>
      </c>
      <c r="E1588">
        <v>19264</v>
      </c>
      <c r="F1588">
        <v>1</v>
      </c>
    </row>
    <row r="1589" spans="2:6" x14ac:dyDescent="0.3">
      <c r="B1589" t="s">
        <v>885</v>
      </c>
      <c r="D1589">
        <v>195</v>
      </c>
      <c r="E1589">
        <v>23456</v>
      </c>
      <c r="F1589">
        <v>1</v>
      </c>
    </row>
    <row r="1590" spans="2:6" x14ac:dyDescent="0.3">
      <c r="B1590" t="s">
        <v>886</v>
      </c>
      <c r="D1590">
        <v>195</v>
      </c>
      <c r="E1590">
        <v>21056</v>
      </c>
      <c r="F1590">
        <v>1</v>
      </c>
    </row>
    <row r="1591" spans="2:6" x14ac:dyDescent="0.3">
      <c r="B1591" t="s">
        <v>887</v>
      </c>
      <c r="D1591">
        <v>196</v>
      </c>
      <c r="E1591">
        <v>24768</v>
      </c>
      <c r="F1591">
        <v>1</v>
      </c>
    </row>
    <row r="1592" spans="2:6" x14ac:dyDescent="0.3">
      <c r="B1592" t="s">
        <v>888</v>
      </c>
      <c r="D1592">
        <v>193</v>
      </c>
      <c r="E1592">
        <v>19456</v>
      </c>
      <c r="F1592">
        <v>1</v>
      </c>
    </row>
    <row r="1593" spans="2:6" x14ac:dyDescent="0.3">
      <c r="B1593" t="s">
        <v>889</v>
      </c>
      <c r="D1593">
        <v>195</v>
      </c>
      <c r="E1593">
        <v>29216</v>
      </c>
      <c r="F1593">
        <v>1</v>
      </c>
    </row>
    <row r="1594" spans="2:6" x14ac:dyDescent="0.3">
      <c r="B1594" t="s">
        <v>890</v>
      </c>
      <c r="D1594">
        <v>197</v>
      </c>
      <c r="E1594">
        <v>38272</v>
      </c>
      <c r="F1594">
        <v>1</v>
      </c>
    </row>
    <row r="1595" spans="2:6" x14ac:dyDescent="0.3">
      <c r="B1595" t="s">
        <v>891</v>
      </c>
      <c r="D1595">
        <v>203</v>
      </c>
      <c r="E1595">
        <v>3968</v>
      </c>
      <c r="F1595">
        <v>1</v>
      </c>
    </row>
    <row r="1596" spans="2:6" x14ac:dyDescent="0.3">
      <c r="B1596" t="s">
        <v>892</v>
      </c>
      <c r="D1596">
        <v>205</v>
      </c>
      <c r="E1596">
        <v>22016</v>
      </c>
      <c r="F1596">
        <v>1</v>
      </c>
    </row>
    <row r="1597" spans="2:6" x14ac:dyDescent="0.3">
      <c r="B1597" t="s">
        <v>893</v>
      </c>
      <c r="D1597">
        <v>205</v>
      </c>
      <c r="E1597">
        <v>16256</v>
      </c>
      <c r="F1597">
        <v>1</v>
      </c>
    </row>
    <row r="1598" spans="2:6" x14ac:dyDescent="0.3">
      <c r="B1598" t="s">
        <v>894</v>
      </c>
      <c r="D1598">
        <v>206</v>
      </c>
      <c r="E1598">
        <v>26816</v>
      </c>
      <c r="F1598">
        <v>1</v>
      </c>
    </row>
    <row r="1599" spans="2:6" x14ac:dyDescent="0.3">
      <c r="B1599" t="s">
        <v>895</v>
      </c>
      <c r="D1599">
        <v>207</v>
      </c>
      <c r="E1599">
        <v>32320</v>
      </c>
      <c r="F1599">
        <v>1</v>
      </c>
    </row>
    <row r="1600" spans="2:6" x14ac:dyDescent="0.3">
      <c r="B1600" t="s">
        <v>896</v>
      </c>
      <c r="D1600">
        <v>195</v>
      </c>
      <c r="E1600">
        <v>42464</v>
      </c>
      <c r="F1600">
        <v>1</v>
      </c>
    </row>
    <row r="1601" spans="2:6" x14ac:dyDescent="0.3">
      <c r="B1601" t="s">
        <v>897</v>
      </c>
      <c r="D1601">
        <v>195</v>
      </c>
      <c r="E1601">
        <v>25024</v>
      </c>
      <c r="F1601">
        <v>1</v>
      </c>
    </row>
    <row r="1602" spans="2:6" x14ac:dyDescent="0.3">
      <c r="B1602" t="s">
        <v>898</v>
      </c>
      <c r="D1602">
        <v>204</v>
      </c>
      <c r="E1602">
        <v>704</v>
      </c>
      <c r="F1602">
        <v>1</v>
      </c>
    </row>
    <row r="1603" spans="2:6" x14ac:dyDescent="0.3">
      <c r="B1603" t="s">
        <v>899</v>
      </c>
      <c r="D1603">
        <v>210</v>
      </c>
      <c r="E1603">
        <v>13056</v>
      </c>
      <c r="F1603">
        <v>1</v>
      </c>
    </row>
    <row r="1604" spans="2:6" x14ac:dyDescent="0.3">
      <c r="B1604" t="s">
        <v>900</v>
      </c>
      <c r="D1604">
        <v>202</v>
      </c>
      <c r="E1604">
        <v>15104</v>
      </c>
      <c r="F1604">
        <v>1</v>
      </c>
    </row>
    <row r="1605" spans="2:6" x14ac:dyDescent="0.3">
      <c r="B1605" t="s">
        <v>901</v>
      </c>
      <c r="D1605">
        <v>205</v>
      </c>
      <c r="E1605">
        <v>960</v>
      </c>
      <c r="F1605">
        <v>1</v>
      </c>
    </row>
    <row r="1606" spans="2:6" x14ac:dyDescent="0.3">
      <c r="B1606" t="s">
        <v>902</v>
      </c>
      <c r="D1606">
        <v>208</v>
      </c>
      <c r="E1606">
        <v>62208</v>
      </c>
      <c r="F1606">
        <v>1</v>
      </c>
    </row>
    <row r="1607" spans="2:6" x14ac:dyDescent="0.3">
      <c r="B1607" t="s">
        <v>903</v>
      </c>
      <c r="D1607">
        <v>212</v>
      </c>
      <c r="E1607">
        <v>44416</v>
      </c>
      <c r="F1607">
        <v>1</v>
      </c>
    </row>
    <row r="1608" spans="2:6" x14ac:dyDescent="0.3">
      <c r="B1608" t="s">
        <v>904</v>
      </c>
      <c r="D1608">
        <v>201</v>
      </c>
      <c r="E1608">
        <v>3392</v>
      </c>
      <c r="F1608">
        <v>1</v>
      </c>
    </row>
    <row r="1609" spans="2:6" x14ac:dyDescent="0.3">
      <c r="B1609" t="s">
        <v>905</v>
      </c>
      <c r="D1609">
        <v>199</v>
      </c>
      <c r="E1609">
        <v>46304</v>
      </c>
      <c r="F1609">
        <v>1</v>
      </c>
    </row>
    <row r="1610" spans="2:6" x14ac:dyDescent="0.3">
      <c r="B1610" t="s">
        <v>906</v>
      </c>
      <c r="D1610">
        <v>198</v>
      </c>
      <c r="E1610">
        <v>27424</v>
      </c>
      <c r="F1610">
        <v>1</v>
      </c>
    </row>
    <row r="1611" spans="2:6" x14ac:dyDescent="0.3">
      <c r="B1611" t="s">
        <v>907</v>
      </c>
      <c r="D1611">
        <v>202</v>
      </c>
      <c r="E1611">
        <v>2176</v>
      </c>
      <c r="F1611">
        <v>1</v>
      </c>
    </row>
    <row r="1612" spans="2:6" x14ac:dyDescent="0.3">
      <c r="B1612" t="s">
        <v>908</v>
      </c>
      <c r="D1612">
        <v>214</v>
      </c>
      <c r="E1612">
        <v>11776</v>
      </c>
      <c r="F1612">
        <v>1</v>
      </c>
    </row>
    <row r="1613" spans="2:6" x14ac:dyDescent="0.3">
      <c r="B1613" t="s">
        <v>909</v>
      </c>
      <c r="D1613">
        <v>214</v>
      </c>
      <c r="E1613">
        <v>27648</v>
      </c>
      <c r="F1613">
        <v>1</v>
      </c>
    </row>
    <row r="1614" spans="2:6" x14ac:dyDescent="0.3">
      <c r="B1614" t="s">
        <v>910</v>
      </c>
      <c r="D1614">
        <v>217</v>
      </c>
      <c r="E1614">
        <v>31872</v>
      </c>
      <c r="F1614">
        <v>1</v>
      </c>
    </row>
    <row r="1615" spans="2:6" x14ac:dyDescent="0.3">
      <c r="B1615" t="s">
        <v>911</v>
      </c>
      <c r="D1615">
        <v>218</v>
      </c>
      <c r="E1615">
        <v>63232</v>
      </c>
      <c r="F1615">
        <v>1</v>
      </c>
    </row>
    <row r="1616" spans="2:6" x14ac:dyDescent="0.3">
      <c r="B1616" t="s">
        <v>912</v>
      </c>
      <c r="D1616">
        <v>214</v>
      </c>
      <c r="E1616">
        <v>12800</v>
      </c>
      <c r="F1616">
        <v>1</v>
      </c>
    </row>
    <row r="1617" spans="2:6" x14ac:dyDescent="0.3">
      <c r="B1617" t="s">
        <v>913</v>
      </c>
      <c r="D1617">
        <v>217</v>
      </c>
      <c r="E1617">
        <v>2432</v>
      </c>
      <c r="F1617">
        <v>1</v>
      </c>
    </row>
    <row r="1618" spans="2:6" x14ac:dyDescent="0.3">
      <c r="B1618" t="s">
        <v>914</v>
      </c>
      <c r="D1618">
        <v>220</v>
      </c>
      <c r="E1618">
        <v>3328</v>
      </c>
      <c r="F1618">
        <v>1</v>
      </c>
    </row>
    <row r="1619" spans="2:6" x14ac:dyDescent="0.3">
      <c r="B1619" t="s">
        <v>915</v>
      </c>
      <c r="D1619">
        <v>213</v>
      </c>
      <c r="E1619">
        <v>59648</v>
      </c>
      <c r="F1619">
        <v>1</v>
      </c>
    </row>
    <row r="1620" spans="2:6" x14ac:dyDescent="0.3">
      <c r="B1620" t="s">
        <v>916</v>
      </c>
      <c r="D1620">
        <v>211</v>
      </c>
      <c r="E1620">
        <v>41536</v>
      </c>
      <c r="F1620">
        <v>1</v>
      </c>
    </row>
    <row r="1621" spans="2:6" x14ac:dyDescent="0.3">
      <c r="B1621" t="s">
        <v>917</v>
      </c>
      <c r="D1621">
        <v>208</v>
      </c>
      <c r="E1621">
        <v>63488</v>
      </c>
      <c r="F1621">
        <v>1</v>
      </c>
    </row>
    <row r="1622" spans="2:6" x14ac:dyDescent="0.3">
      <c r="B1622" t="s">
        <v>918</v>
      </c>
      <c r="D1622">
        <v>221</v>
      </c>
      <c r="E1622">
        <v>48256</v>
      </c>
      <c r="F1622">
        <v>1</v>
      </c>
    </row>
    <row r="1623" spans="2:6" x14ac:dyDescent="0.3">
      <c r="B1623" t="s">
        <v>919</v>
      </c>
      <c r="D1623">
        <v>209</v>
      </c>
      <c r="E1623">
        <v>768</v>
      </c>
      <c r="F1623">
        <v>1</v>
      </c>
    </row>
    <row r="1624" spans="2:6" x14ac:dyDescent="0.3">
      <c r="B1624" t="s">
        <v>920</v>
      </c>
      <c r="D1624">
        <v>199</v>
      </c>
      <c r="E1624">
        <v>45152</v>
      </c>
      <c r="F1624">
        <v>1</v>
      </c>
    </row>
    <row r="1625" spans="2:6" x14ac:dyDescent="0.3">
      <c r="B1625" t="s">
        <v>921</v>
      </c>
      <c r="D1625">
        <v>220</v>
      </c>
      <c r="E1625">
        <v>62976</v>
      </c>
      <c r="F1625">
        <v>1</v>
      </c>
    </row>
    <row r="1626" spans="2:6" x14ac:dyDescent="0.3">
      <c r="B1626" t="s">
        <v>922</v>
      </c>
      <c r="D1626">
        <v>227</v>
      </c>
      <c r="E1626">
        <v>19200</v>
      </c>
      <c r="F1626">
        <v>1</v>
      </c>
    </row>
    <row r="1627" spans="2:6" x14ac:dyDescent="0.3">
      <c r="B1627" t="s">
        <v>923</v>
      </c>
      <c r="D1627">
        <v>223</v>
      </c>
      <c r="E1627">
        <v>30720</v>
      </c>
      <c r="F1627">
        <v>1</v>
      </c>
    </row>
    <row r="1628" spans="2:6" x14ac:dyDescent="0.3">
      <c r="B1628" t="s">
        <v>924</v>
      </c>
      <c r="D1628">
        <v>213</v>
      </c>
      <c r="E1628">
        <v>32640</v>
      </c>
      <c r="F1628">
        <v>1</v>
      </c>
    </row>
    <row r="1629" spans="2:6" x14ac:dyDescent="0.3">
      <c r="B1629" t="s">
        <v>925</v>
      </c>
      <c r="D1629">
        <v>212</v>
      </c>
      <c r="E1629">
        <v>58176</v>
      </c>
      <c r="F1629">
        <v>1</v>
      </c>
    </row>
    <row r="1630" spans="2:6" x14ac:dyDescent="0.3">
      <c r="B1630" t="s">
        <v>926</v>
      </c>
      <c r="D1630">
        <v>225</v>
      </c>
      <c r="E1630">
        <v>1792</v>
      </c>
      <c r="F1630">
        <v>1</v>
      </c>
    </row>
    <row r="1631" spans="2:6" x14ac:dyDescent="0.3">
      <c r="B1631" t="s">
        <v>927</v>
      </c>
      <c r="D1631">
        <v>208</v>
      </c>
      <c r="E1631">
        <v>13504</v>
      </c>
      <c r="F1631">
        <v>1</v>
      </c>
    </row>
    <row r="1632" spans="2:6" x14ac:dyDescent="0.3">
      <c r="B1632" t="s">
        <v>928</v>
      </c>
      <c r="D1632">
        <v>203</v>
      </c>
      <c r="E1632">
        <v>51296</v>
      </c>
      <c r="F1632">
        <v>1</v>
      </c>
    </row>
    <row r="1633" spans="2:6" x14ac:dyDescent="0.3">
      <c r="B1633" t="s">
        <v>929</v>
      </c>
      <c r="D1633">
        <v>206</v>
      </c>
      <c r="E1633">
        <v>31872</v>
      </c>
      <c r="F1633">
        <v>1</v>
      </c>
    </row>
    <row r="1634" spans="2:6" x14ac:dyDescent="0.3">
      <c r="B1634" t="s">
        <v>930</v>
      </c>
      <c r="D1634">
        <v>221</v>
      </c>
      <c r="E1634">
        <v>48896</v>
      </c>
      <c r="F1634">
        <v>1</v>
      </c>
    </row>
    <row r="1635" spans="2:6" x14ac:dyDescent="0.3">
      <c r="B1635" t="s">
        <v>931</v>
      </c>
      <c r="D1635">
        <v>221</v>
      </c>
      <c r="E1635">
        <v>28672</v>
      </c>
      <c r="F1635">
        <v>1</v>
      </c>
    </row>
    <row r="1636" spans="2:6" x14ac:dyDescent="0.3">
      <c r="B1636" t="s">
        <v>932</v>
      </c>
      <c r="D1636">
        <v>222</v>
      </c>
      <c r="E1636">
        <v>54400</v>
      </c>
      <c r="F1636">
        <v>1</v>
      </c>
    </row>
    <row r="1637" spans="2:6" x14ac:dyDescent="0.3">
      <c r="B1637" t="s">
        <v>933</v>
      </c>
      <c r="D1637">
        <v>232</v>
      </c>
      <c r="E1637">
        <v>20352</v>
      </c>
      <c r="F1637">
        <v>1</v>
      </c>
    </row>
    <row r="1638" spans="2:6" x14ac:dyDescent="0.3">
      <c r="B1638" t="s">
        <v>934</v>
      </c>
      <c r="D1638">
        <v>235</v>
      </c>
      <c r="E1638">
        <v>8960</v>
      </c>
      <c r="F1638">
        <v>1</v>
      </c>
    </row>
    <row r="1639" spans="2:6" x14ac:dyDescent="0.3">
      <c r="B1639" t="s">
        <v>935</v>
      </c>
      <c r="D1639">
        <v>218</v>
      </c>
      <c r="E1639">
        <v>31488</v>
      </c>
      <c r="F1639">
        <v>1</v>
      </c>
    </row>
    <row r="1640" spans="2:6" x14ac:dyDescent="0.3">
      <c r="B1640" t="s">
        <v>936</v>
      </c>
      <c r="D1640">
        <v>219</v>
      </c>
      <c r="E1640">
        <v>35072</v>
      </c>
      <c r="F1640">
        <v>1</v>
      </c>
    </row>
    <row r="1641" spans="2:6" x14ac:dyDescent="0.3">
      <c r="B1641" t="s">
        <v>937</v>
      </c>
      <c r="D1641">
        <v>219</v>
      </c>
      <c r="E1641">
        <v>3584</v>
      </c>
      <c r="F1641">
        <v>1</v>
      </c>
    </row>
    <row r="1642" spans="2:6" x14ac:dyDescent="0.3">
      <c r="B1642" t="s">
        <v>938</v>
      </c>
      <c r="D1642">
        <v>223</v>
      </c>
      <c r="E1642">
        <v>58112</v>
      </c>
      <c r="F1642">
        <v>1</v>
      </c>
    </row>
    <row r="1643" spans="2:6" x14ac:dyDescent="0.3">
      <c r="B1643" t="s">
        <v>939</v>
      </c>
      <c r="D1643">
        <v>219</v>
      </c>
      <c r="E1643">
        <v>40064</v>
      </c>
      <c r="F1643">
        <v>1</v>
      </c>
    </row>
    <row r="1644" spans="2:6" x14ac:dyDescent="0.3">
      <c r="B1644" t="s">
        <v>940</v>
      </c>
      <c r="D1644">
        <v>214</v>
      </c>
      <c r="E1644">
        <v>33024</v>
      </c>
      <c r="F1644">
        <v>1</v>
      </c>
    </row>
    <row r="1645" spans="2:6" x14ac:dyDescent="0.3">
      <c r="B1645" t="s">
        <v>941</v>
      </c>
      <c r="D1645">
        <v>222</v>
      </c>
      <c r="E1645">
        <v>11520</v>
      </c>
      <c r="F1645">
        <v>1</v>
      </c>
    </row>
    <row r="1646" spans="2:6" x14ac:dyDescent="0.3">
      <c r="B1646" t="s">
        <v>942</v>
      </c>
      <c r="D1646">
        <v>225</v>
      </c>
      <c r="E1646">
        <v>57344</v>
      </c>
      <c r="F1646">
        <v>1</v>
      </c>
    </row>
    <row r="1647" spans="2:6" x14ac:dyDescent="0.3">
      <c r="B1647" t="s">
        <v>943</v>
      </c>
      <c r="D1647">
        <v>226</v>
      </c>
      <c r="E1647">
        <v>24576</v>
      </c>
      <c r="F1647">
        <v>1</v>
      </c>
    </row>
    <row r="1648" spans="2:6" x14ac:dyDescent="0.3">
      <c r="B1648" t="s">
        <v>944</v>
      </c>
      <c r="D1648">
        <v>235</v>
      </c>
      <c r="E1648">
        <v>34816</v>
      </c>
      <c r="F1648">
        <v>1</v>
      </c>
    </row>
    <row r="1649" spans="2:6" x14ac:dyDescent="0.3">
      <c r="B1649" t="s">
        <v>945</v>
      </c>
      <c r="D1649">
        <v>237</v>
      </c>
      <c r="E1649">
        <v>34816</v>
      </c>
      <c r="F1649">
        <v>1</v>
      </c>
    </row>
    <row r="1650" spans="2:6" x14ac:dyDescent="0.3">
      <c r="B1650" t="s">
        <v>946</v>
      </c>
      <c r="D1650">
        <v>236</v>
      </c>
      <c r="E1650">
        <v>6144</v>
      </c>
      <c r="F1650">
        <v>1</v>
      </c>
    </row>
    <row r="1651" spans="2:6" x14ac:dyDescent="0.3">
      <c r="B1651" t="s">
        <v>947</v>
      </c>
      <c r="D1651">
        <v>223</v>
      </c>
      <c r="E1651">
        <v>26624</v>
      </c>
      <c r="F1651">
        <v>1</v>
      </c>
    </row>
    <row r="1652" spans="2:6" x14ac:dyDescent="0.3">
      <c r="B1652" t="s">
        <v>948</v>
      </c>
      <c r="D1652">
        <v>222</v>
      </c>
      <c r="E1652">
        <v>63488</v>
      </c>
      <c r="F1652">
        <v>1</v>
      </c>
    </row>
    <row r="1653" spans="2:6" x14ac:dyDescent="0.3">
      <c r="B1653" t="s">
        <v>949</v>
      </c>
      <c r="D1653">
        <v>234</v>
      </c>
      <c r="E1653">
        <v>30720</v>
      </c>
      <c r="F1653">
        <v>1</v>
      </c>
    </row>
    <row r="1654" spans="2:6" x14ac:dyDescent="0.3">
      <c r="B1654" t="s">
        <v>950</v>
      </c>
      <c r="D1654">
        <v>232</v>
      </c>
      <c r="E1654">
        <v>14336</v>
      </c>
      <c r="F1654">
        <v>1</v>
      </c>
    </row>
    <row r="1655" spans="2:6" x14ac:dyDescent="0.3">
      <c r="B1655" t="s">
        <v>951</v>
      </c>
      <c r="D1655">
        <v>232</v>
      </c>
      <c r="E1655">
        <v>22528</v>
      </c>
      <c r="F1655">
        <v>1</v>
      </c>
    </row>
    <row r="1656" spans="2:6" x14ac:dyDescent="0.3">
      <c r="B1656" t="s">
        <v>952</v>
      </c>
      <c r="D1656">
        <v>225</v>
      </c>
      <c r="E1656">
        <v>6144</v>
      </c>
      <c r="F1656">
        <v>1</v>
      </c>
    </row>
    <row r="1657" spans="2:6" x14ac:dyDescent="0.3">
      <c r="B1657" t="s">
        <v>953</v>
      </c>
      <c r="D1657">
        <v>233</v>
      </c>
      <c r="E1657">
        <v>63488</v>
      </c>
      <c r="F1657">
        <v>1</v>
      </c>
    </row>
    <row r="1658" spans="2:6" x14ac:dyDescent="0.3">
      <c r="B1658" t="s">
        <v>954</v>
      </c>
      <c r="D1658">
        <v>235</v>
      </c>
      <c r="E1658">
        <v>12288</v>
      </c>
      <c r="F1658">
        <v>1</v>
      </c>
    </row>
    <row r="1659" spans="2:6" x14ac:dyDescent="0.3">
      <c r="B1659" t="s">
        <v>955</v>
      </c>
      <c r="D1659">
        <v>241</v>
      </c>
      <c r="E1659">
        <v>63488</v>
      </c>
      <c r="F1659">
        <v>1</v>
      </c>
    </row>
    <row r="1660" spans="2:6" x14ac:dyDescent="0.3">
      <c r="B1660" t="s">
        <v>956</v>
      </c>
      <c r="D1660">
        <v>233</v>
      </c>
      <c r="E1660">
        <v>36864</v>
      </c>
      <c r="F1660">
        <v>1</v>
      </c>
    </row>
    <row r="1661" spans="2:6" x14ac:dyDescent="0.3">
      <c r="B1661" t="s">
        <v>957</v>
      </c>
      <c r="D1661">
        <v>229</v>
      </c>
      <c r="E1661">
        <v>63488</v>
      </c>
      <c r="F1661">
        <v>1</v>
      </c>
    </row>
    <row r="1662" spans="2:6" x14ac:dyDescent="0.3">
      <c r="B1662" t="s">
        <v>958</v>
      </c>
      <c r="D1662">
        <v>231</v>
      </c>
      <c r="E1662">
        <v>27136</v>
      </c>
      <c r="F1662">
        <v>1</v>
      </c>
    </row>
    <row r="1663" spans="2:6" x14ac:dyDescent="0.3">
      <c r="B1663" t="s">
        <v>959</v>
      </c>
      <c r="D1663">
        <v>232</v>
      </c>
      <c r="E1663">
        <v>63488</v>
      </c>
      <c r="F1663">
        <v>1</v>
      </c>
    </row>
    <row r="1664" spans="2:6" x14ac:dyDescent="0.3">
      <c r="B1664" t="s">
        <v>960</v>
      </c>
      <c r="D1664">
        <v>223</v>
      </c>
      <c r="E1664">
        <v>24576</v>
      </c>
      <c r="F1664">
        <v>1</v>
      </c>
    </row>
    <row r="1665" spans="2:6" x14ac:dyDescent="0.3">
      <c r="B1665" t="s">
        <v>961</v>
      </c>
      <c r="D1665">
        <v>229</v>
      </c>
      <c r="E1665">
        <v>2048</v>
      </c>
      <c r="F1665">
        <v>1</v>
      </c>
    </row>
    <row r="1666" spans="2:6" x14ac:dyDescent="0.3">
      <c r="B1666" t="s">
        <v>955</v>
      </c>
      <c r="D1666">
        <v>241</v>
      </c>
      <c r="E1666">
        <v>63488</v>
      </c>
      <c r="F1666">
        <v>1</v>
      </c>
    </row>
    <row r="1667" spans="2:6" x14ac:dyDescent="0.3">
      <c r="B1667" t="s">
        <v>953</v>
      </c>
      <c r="D1667">
        <v>233</v>
      </c>
      <c r="E1667">
        <v>63488</v>
      </c>
      <c r="F1667">
        <v>1</v>
      </c>
    </row>
    <row r="1668" spans="2:6" x14ac:dyDescent="0.3">
      <c r="B1668" t="s">
        <v>962</v>
      </c>
      <c r="D1668">
        <v>245</v>
      </c>
      <c r="E1668">
        <v>30720</v>
      </c>
      <c r="F1668">
        <v>1</v>
      </c>
    </row>
    <row r="1669" spans="2:6" x14ac:dyDescent="0.3">
      <c r="B1669" t="s">
        <v>963</v>
      </c>
      <c r="D1669">
        <v>230</v>
      </c>
      <c r="E1669">
        <v>63488</v>
      </c>
      <c r="F1669">
        <v>1</v>
      </c>
    </row>
    <row r="1670" spans="2:6" x14ac:dyDescent="0.3">
      <c r="B1670" t="s">
        <v>964</v>
      </c>
      <c r="D1670">
        <v>226</v>
      </c>
      <c r="E1670">
        <v>43520</v>
      </c>
      <c r="F1670">
        <v>1</v>
      </c>
    </row>
    <row r="1671" spans="2:6" x14ac:dyDescent="0.3">
      <c r="B1671" t="s">
        <v>965</v>
      </c>
      <c r="D1671">
        <v>226</v>
      </c>
      <c r="E1671">
        <v>7424</v>
      </c>
      <c r="F1671">
        <v>1</v>
      </c>
    </row>
    <row r="1672" spans="2:6" x14ac:dyDescent="0.3">
      <c r="B1672" t="s">
        <v>966</v>
      </c>
      <c r="D1672">
        <v>230</v>
      </c>
      <c r="E1672">
        <v>47872</v>
      </c>
      <c r="F1672">
        <v>1</v>
      </c>
    </row>
    <row r="1673" spans="2:6" x14ac:dyDescent="0.3">
      <c r="B1673" t="s">
        <v>967</v>
      </c>
      <c r="D1673">
        <v>233</v>
      </c>
      <c r="E1673">
        <v>17920</v>
      </c>
      <c r="F1673">
        <v>1</v>
      </c>
    </row>
    <row r="1674" spans="2:6" x14ac:dyDescent="0.3">
      <c r="B1674" t="s">
        <v>968</v>
      </c>
      <c r="D1674">
        <v>230</v>
      </c>
      <c r="E1674">
        <v>25728</v>
      </c>
      <c r="F1674">
        <v>1</v>
      </c>
    </row>
    <row r="1675" spans="2:6" x14ac:dyDescent="0.3">
      <c r="B1675" t="s">
        <v>969</v>
      </c>
      <c r="D1675">
        <v>218</v>
      </c>
      <c r="E1675">
        <v>49920</v>
      </c>
      <c r="F1675">
        <v>1</v>
      </c>
    </row>
    <row r="1676" spans="2:6" x14ac:dyDescent="0.3">
      <c r="B1676" t="s">
        <v>970</v>
      </c>
      <c r="D1676">
        <v>238</v>
      </c>
      <c r="E1676">
        <v>58112</v>
      </c>
      <c r="F1676">
        <v>1</v>
      </c>
    </row>
    <row r="1677" spans="2:6" x14ac:dyDescent="0.3">
      <c r="B1677" t="s">
        <v>971</v>
      </c>
      <c r="D1677">
        <v>230</v>
      </c>
      <c r="E1677">
        <v>49664</v>
      </c>
      <c r="F1677">
        <v>1</v>
      </c>
    </row>
    <row r="1678" spans="2:6" x14ac:dyDescent="0.3">
      <c r="B1678" t="s">
        <v>972</v>
      </c>
      <c r="D1678">
        <v>224</v>
      </c>
      <c r="E1678">
        <v>42496</v>
      </c>
      <c r="F1678">
        <v>1</v>
      </c>
    </row>
    <row r="1679" spans="2:6" x14ac:dyDescent="0.3">
      <c r="B1679" t="s">
        <v>973</v>
      </c>
      <c r="D1679">
        <v>233</v>
      </c>
      <c r="E1679">
        <v>5888</v>
      </c>
      <c r="F1679">
        <v>1</v>
      </c>
    </row>
    <row r="1680" spans="2:6" x14ac:dyDescent="0.3">
      <c r="B1680" t="s">
        <v>974</v>
      </c>
      <c r="D1680">
        <v>225</v>
      </c>
      <c r="E1680">
        <v>42752</v>
      </c>
      <c r="F1680">
        <v>1</v>
      </c>
    </row>
    <row r="1681" spans="2:6" x14ac:dyDescent="0.3">
      <c r="B1681" t="s">
        <v>975</v>
      </c>
      <c r="D1681">
        <v>223</v>
      </c>
      <c r="E1681">
        <v>50688</v>
      </c>
      <c r="F1681">
        <v>1</v>
      </c>
    </row>
    <row r="1682" spans="2:6" x14ac:dyDescent="0.3">
      <c r="B1682" t="s">
        <v>976</v>
      </c>
      <c r="D1682">
        <v>223</v>
      </c>
      <c r="E1682">
        <v>33280</v>
      </c>
      <c r="F1682">
        <v>1</v>
      </c>
    </row>
    <row r="1683" spans="2:6" x14ac:dyDescent="0.3">
      <c r="B1683" t="s">
        <v>977</v>
      </c>
      <c r="D1683">
        <v>226</v>
      </c>
      <c r="E1683">
        <v>40960</v>
      </c>
      <c r="F1683">
        <v>1</v>
      </c>
    </row>
    <row r="1684" spans="2:6" x14ac:dyDescent="0.3">
      <c r="B1684" t="s">
        <v>978</v>
      </c>
      <c r="D1684">
        <v>201</v>
      </c>
      <c r="E1684">
        <v>37824</v>
      </c>
      <c r="F1684">
        <v>1</v>
      </c>
    </row>
    <row r="1685" spans="2:6" x14ac:dyDescent="0.3">
      <c r="B1685" t="s">
        <v>979</v>
      </c>
      <c r="D1685">
        <v>221</v>
      </c>
      <c r="E1685">
        <v>30208</v>
      </c>
      <c r="F1685">
        <v>1</v>
      </c>
    </row>
    <row r="1686" spans="2:6" x14ac:dyDescent="0.3">
      <c r="B1686" t="s">
        <v>980</v>
      </c>
      <c r="D1686">
        <v>232</v>
      </c>
      <c r="E1686">
        <v>39424</v>
      </c>
      <c r="F1686">
        <v>1</v>
      </c>
    </row>
    <row r="1687" spans="2:6" x14ac:dyDescent="0.3">
      <c r="B1687" t="s">
        <v>981</v>
      </c>
      <c r="D1687">
        <v>223</v>
      </c>
      <c r="E1687">
        <v>51328</v>
      </c>
      <c r="F1687">
        <v>1</v>
      </c>
    </row>
    <row r="1688" spans="2:6" x14ac:dyDescent="0.3">
      <c r="B1688" t="s">
        <v>982</v>
      </c>
      <c r="D1688">
        <v>229</v>
      </c>
      <c r="E1688">
        <v>17792</v>
      </c>
      <c r="F1688">
        <v>1</v>
      </c>
    </row>
    <row r="1689" spans="2:6" x14ac:dyDescent="0.3">
      <c r="B1689" t="s">
        <v>983</v>
      </c>
      <c r="D1689">
        <v>228</v>
      </c>
      <c r="E1689">
        <v>20992</v>
      </c>
      <c r="F1689">
        <v>1</v>
      </c>
    </row>
    <row r="1690" spans="2:6" x14ac:dyDescent="0.3">
      <c r="B1690" t="s">
        <v>984</v>
      </c>
      <c r="D1690">
        <v>222</v>
      </c>
      <c r="E1690">
        <v>1280</v>
      </c>
      <c r="F1690">
        <v>1</v>
      </c>
    </row>
    <row r="1691" spans="2:6" x14ac:dyDescent="0.3">
      <c r="B1691" t="s">
        <v>985</v>
      </c>
      <c r="D1691">
        <v>226</v>
      </c>
      <c r="E1691">
        <v>49152</v>
      </c>
      <c r="F1691">
        <v>1</v>
      </c>
    </row>
    <row r="1692" spans="2:6" x14ac:dyDescent="0.3">
      <c r="B1692" t="s">
        <v>986</v>
      </c>
      <c r="D1692">
        <v>235</v>
      </c>
      <c r="E1692">
        <v>21504</v>
      </c>
      <c r="F1692">
        <v>1</v>
      </c>
    </row>
    <row r="1693" spans="2:6" x14ac:dyDescent="0.3">
      <c r="B1693" t="s">
        <v>987</v>
      </c>
      <c r="D1693">
        <v>227</v>
      </c>
      <c r="E1693">
        <v>24320</v>
      </c>
      <c r="F1693">
        <v>1</v>
      </c>
    </row>
    <row r="1694" spans="2:6" x14ac:dyDescent="0.3">
      <c r="B1694" t="s">
        <v>988</v>
      </c>
      <c r="D1694">
        <v>226</v>
      </c>
      <c r="E1694">
        <v>51712</v>
      </c>
      <c r="F1694">
        <v>1</v>
      </c>
    </row>
    <row r="1695" spans="2:6" x14ac:dyDescent="0.3">
      <c r="B1695" t="s">
        <v>989</v>
      </c>
      <c r="D1695">
        <v>232</v>
      </c>
      <c r="E1695">
        <v>25088</v>
      </c>
      <c r="F1695">
        <v>1</v>
      </c>
    </row>
    <row r="1696" spans="2:6" x14ac:dyDescent="0.3">
      <c r="B1696" t="s">
        <v>990</v>
      </c>
      <c r="D1696">
        <v>218</v>
      </c>
      <c r="E1696">
        <v>52224</v>
      </c>
      <c r="F1696">
        <v>1</v>
      </c>
    </row>
    <row r="1697" spans="2:6" x14ac:dyDescent="0.3">
      <c r="B1697" t="s">
        <v>991</v>
      </c>
      <c r="D1697">
        <v>206</v>
      </c>
      <c r="E1697">
        <v>6592</v>
      </c>
      <c r="F1697">
        <v>1</v>
      </c>
    </row>
    <row r="1698" spans="2:6" x14ac:dyDescent="0.3">
      <c r="B1698" t="s">
        <v>992</v>
      </c>
      <c r="D1698">
        <v>205</v>
      </c>
      <c r="E1698">
        <v>1024</v>
      </c>
      <c r="F1698">
        <v>1</v>
      </c>
    </row>
    <row r="1699" spans="2:6" x14ac:dyDescent="0.3">
      <c r="B1699" t="s">
        <v>993</v>
      </c>
      <c r="D1699">
        <v>209</v>
      </c>
      <c r="E1699">
        <v>44288</v>
      </c>
      <c r="F1699">
        <v>1</v>
      </c>
    </row>
    <row r="1700" spans="2:6" x14ac:dyDescent="0.3">
      <c r="B1700" t="s">
        <v>994</v>
      </c>
      <c r="D1700">
        <v>211</v>
      </c>
      <c r="E1700">
        <v>2496</v>
      </c>
      <c r="F1700">
        <v>1</v>
      </c>
    </row>
    <row r="1701" spans="2:6" x14ac:dyDescent="0.3">
      <c r="B1701" t="s">
        <v>995</v>
      </c>
      <c r="D1701">
        <v>217</v>
      </c>
      <c r="E1701">
        <v>3968</v>
      </c>
      <c r="F1701">
        <v>1</v>
      </c>
    </row>
    <row r="1702" spans="2:6" x14ac:dyDescent="0.3">
      <c r="B1702" t="s">
        <v>996</v>
      </c>
      <c r="D1702">
        <v>217</v>
      </c>
      <c r="E1702">
        <v>8448</v>
      </c>
      <c r="F1702">
        <v>1</v>
      </c>
    </row>
    <row r="1703" spans="2:6" x14ac:dyDescent="0.3">
      <c r="B1703" t="s">
        <v>997</v>
      </c>
      <c r="D1703">
        <v>220</v>
      </c>
      <c r="E1703">
        <v>61824</v>
      </c>
      <c r="F1703">
        <v>1</v>
      </c>
    </row>
    <row r="1704" spans="2:6" x14ac:dyDescent="0.3">
      <c r="B1704" t="s">
        <v>998</v>
      </c>
      <c r="D1704">
        <v>216</v>
      </c>
      <c r="E1704">
        <v>41344</v>
      </c>
      <c r="F1704">
        <v>1</v>
      </c>
    </row>
    <row r="1705" spans="2:6" x14ac:dyDescent="0.3">
      <c r="B1705" t="s">
        <v>999</v>
      </c>
      <c r="D1705">
        <v>210</v>
      </c>
      <c r="E1705">
        <v>42880</v>
      </c>
      <c r="F1705">
        <v>1</v>
      </c>
    </row>
    <row r="1706" spans="2:6" x14ac:dyDescent="0.3">
      <c r="B1706" t="s">
        <v>1000</v>
      </c>
      <c r="D1706">
        <v>209</v>
      </c>
      <c r="E1706">
        <v>24128</v>
      </c>
      <c r="F1706">
        <v>1</v>
      </c>
    </row>
    <row r="1707" spans="2:6" x14ac:dyDescent="0.3">
      <c r="B1707" t="s">
        <v>1001</v>
      </c>
      <c r="D1707">
        <v>223</v>
      </c>
      <c r="E1707">
        <v>19968</v>
      </c>
      <c r="F1707">
        <v>1</v>
      </c>
    </row>
    <row r="1708" spans="2:6" x14ac:dyDescent="0.3">
      <c r="B1708" t="s">
        <v>1002</v>
      </c>
      <c r="D1708">
        <v>220</v>
      </c>
      <c r="E1708">
        <v>33024</v>
      </c>
      <c r="F1708">
        <v>1</v>
      </c>
    </row>
    <row r="1709" spans="2:6" x14ac:dyDescent="0.3">
      <c r="B1709" t="s">
        <v>1003</v>
      </c>
      <c r="D1709">
        <v>207</v>
      </c>
      <c r="E1709">
        <v>28608</v>
      </c>
      <c r="F1709">
        <v>1</v>
      </c>
    </row>
    <row r="1710" spans="2:6" x14ac:dyDescent="0.3">
      <c r="B1710" t="s">
        <v>1004</v>
      </c>
      <c r="D1710">
        <v>204</v>
      </c>
      <c r="E1710">
        <v>57280</v>
      </c>
      <c r="F1710">
        <v>1</v>
      </c>
    </row>
    <row r="1711" spans="2:6" x14ac:dyDescent="0.3">
      <c r="B1711" t="s">
        <v>1005</v>
      </c>
      <c r="D1711">
        <v>213</v>
      </c>
      <c r="E1711">
        <v>26880</v>
      </c>
      <c r="F1711">
        <v>1</v>
      </c>
    </row>
    <row r="1712" spans="2:6" x14ac:dyDescent="0.3">
      <c r="B1712" t="s">
        <v>1006</v>
      </c>
      <c r="D1712">
        <v>222</v>
      </c>
      <c r="E1712">
        <v>17152</v>
      </c>
      <c r="F1712">
        <v>1</v>
      </c>
    </row>
    <row r="1713" spans="2:6" x14ac:dyDescent="0.3">
      <c r="B1713" t="s">
        <v>1007</v>
      </c>
      <c r="D1713">
        <v>213</v>
      </c>
      <c r="E1713">
        <v>45248</v>
      </c>
      <c r="F1713">
        <v>1</v>
      </c>
    </row>
    <row r="1714" spans="2:6" x14ac:dyDescent="0.3">
      <c r="B1714" t="s">
        <v>1008</v>
      </c>
      <c r="D1714">
        <v>213</v>
      </c>
      <c r="E1714">
        <v>39616</v>
      </c>
      <c r="F1714">
        <v>1</v>
      </c>
    </row>
    <row r="1715" spans="2:6" x14ac:dyDescent="0.3">
      <c r="B1715" t="s">
        <v>1009</v>
      </c>
      <c r="D1715">
        <v>213</v>
      </c>
      <c r="E1715">
        <v>57472</v>
      </c>
      <c r="F1715">
        <v>1</v>
      </c>
    </row>
    <row r="1716" spans="2:6" x14ac:dyDescent="0.3">
      <c r="B1716" t="s">
        <v>1010</v>
      </c>
      <c r="D1716">
        <v>219</v>
      </c>
      <c r="E1716">
        <v>58368</v>
      </c>
      <c r="F1716">
        <v>1</v>
      </c>
    </row>
    <row r="1717" spans="2:6" x14ac:dyDescent="0.3">
      <c r="B1717" t="s">
        <v>1011</v>
      </c>
      <c r="D1717">
        <v>214</v>
      </c>
      <c r="E1717">
        <v>52032</v>
      </c>
      <c r="F1717">
        <v>1</v>
      </c>
    </row>
    <row r="1718" spans="2:6" x14ac:dyDescent="0.3">
      <c r="B1718" t="s">
        <v>1012</v>
      </c>
      <c r="D1718">
        <v>214</v>
      </c>
      <c r="E1718">
        <v>5120</v>
      </c>
      <c r="F1718">
        <v>1</v>
      </c>
    </row>
    <row r="1719" spans="2:6" x14ac:dyDescent="0.3">
      <c r="B1719" t="s">
        <v>1013</v>
      </c>
      <c r="D1719">
        <v>205</v>
      </c>
      <c r="E1719">
        <v>4096</v>
      </c>
      <c r="F1719">
        <v>1</v>
      </c>
    </row>
    <row r="1720" spans="2:6" x14ac:dyDescent="0.3">
      <c r="B1720" t="s">
        <v>1014</v>
      </c>
      <c r="D1720">
        <v>210</v>
      </c>
      <c r="E1720">
        <v>10816</v>
      </c>
      <c r="F1720">
        <v>1</v>
      </c>
    </row>
    <row r="1721" spans="2:6" x14ac:dyDescent="0.3">
      <c r="B1721" t="s">
        <v>1015</v>
      </c>
      <c r="D1721">
        <v>215</v>
      </c>
      <c r="E1721">
        <v>34240</v>
      </c>
      <c r="F1721">
        <v>1</v>
      </c>
    </row>
    <row r="1722" spans="2:6" x14ac:dyDescent="0.3">
      <c r="B1722" t="s">
        <v>1016</v>
      </c>
      <c r="D1722">
        <v>207</v>
      </c>
      <c r="E1722">
        <v>41408</v>
      </c>
      <c r="F1722">
        <v>1</v>
      </c>
    </row>
    <row r="1723" spans="2:6" x14ac:dyDescent="0.3">
      <c r="B1723" t="s">
        <v>1017</v>
      </c>
      <c r="D1723">
        <v>217</v>
      </c>
      <c r="E1723">
        <v>39168</v>
      </c>
      <c r="F1723">
        <v>1</v>
      </c>
    </row>
    <row r="1724" spans="2:6" x14ac:dyDescent="0.3">
      <c r="B1724" t="s">
        <v>1018</v>
      </c>
      <c r="D1724">
        <v>198</v>
      </c>
      <c r="E1724">
        <v>7360</v>
      </c>
      <c r="F1724">
        <v>1</v>
      </c>
    </row>
    <row r="1725" spans="2:6" x14ac:dyDescent="0.3">
      <c r="B1725" t="s">
        <v>1019</v>
      </c>
      <c r="D1725">
        <v>200</v>
      </c>
      <c r="E1725">
        <v>43168</v>
      </c>
      <c r="F1725">
        <v>1</v>
      </c>
    </row>
    <row r="1726" spans="2:6" x14ac:dyDescent="0.3">
      <c r="B1726" t="s">
        <v>1020</v>
      </c>
      <c r="D1726">
        <v>194</v>
      </c>
      <c r="E1726">
        <v>6816</v>
      </c>
      <c r="F1726">
        <v>1</v>
      </c>
    </row>
    <row r="1727" spans="2:6" x14ac:dyDescent="0.3">
      <c r="B1727" t="s">
        <v>1021</v>
      </c>
      <c r="D1727">
        <v>194</v>
      </c>
      <c r="E1727">
        <v>6976</v>
      </c>
      <c r="F1727">
        <v>1</v>
      </c>
    </row>
    <row r="1728" spans="2:6" x14ac:dyDescent="0.3">
      <c r="B1728" t="s">
        <v>1022</v>
      </c>
      <c r="D1728">
        <v>196</v>
      </c>
      <c r="E1728">
        <v>5344</v>
      </c>
      <c r="F1728">
        <v>1</v>
      </c>
    </row>
    <row r="1729" spans="2:6" x14ac:dyDescent="0.3">
      <c r="B1729" t="s">
        <v>1023</v>
      </c>
      <c r="D1729">
        <v>194</v>
      </c>
      <c r="E1729">
        <v>64720</v>
      </c>
      <c r="F1729">
        <v>1</v>
      </c>
    </row>
    <row r="1730" spans="2:6" x14ac:dyDescent="0.3">
      <c r="B1730" t="s">
        <v>1024</v>
      </c>
      <c r="D1730">
        <v>194</v>
      </c>
      <c r="E1730">
        <v>65264</v>
      </c>
      <c r="F1730">
        <v>1</v>
      </c>
    </row>
    <row r="1731" spans="2:6" x14ac:dyDescent="0.3">
      <c r="B1731" t="s">
        <v>1025</v>
      </c>
      <c r="D1731">
        <v>194</v>
      </c>
      <c r="E1731">
        <v>2720</v>
      </c>
      <c r="F1731">
        <v>1</v>
      </c>
    </row>
    <row r="1732" spans="2:6" x14ac:dyDescent="0.3">
      <c r="B1732" t="s">
        <v>1026</v>
      </c>
      <c r="D1732">
        <v>193</v>
      </c>
      <c r="E1732">
        <v>61376</v>
      </c>
      <c r="F1732">
        <v>1</v>
      </c>
    </row>
    <row r="1733" spans="2:6" x14ac:dyDescent="0.3">
      <c r="B1733" t="s">
        <v>1027</v>
      </c>
      <c r="D1733">
        <v>192</v>
      </c>
      <c r="E1733">
        <v>59232</v>
      </c>
      <c r="F1733">
        <v>1</v>
      </c>
    </row>
    <row r="1734" spans="2:6" x14ac:dyDescent="0.3">
      <c r="B1734" t="s">
        <v>1028</v>
      </c>
      <c r="D1734">
        <v>191</v>
      </c>
      <c r="E1734">
        <v>57488</v>
      </c>
      <c r="F1734">
        <v>1</v>
      </c>
    </row>
    <row r="1735" spans="2:6" x14ac:dyDescent="0.3">
      <c r="B1735" t="s">
        <v>1029</v>
      </c>
      <c r="D1735">
        <v>191</v>
      </c>
      <c r="E1735">
        <v>55856</v>
      </c>
      <c r="F1735">
        <v>1</v>
      </c>
    </row>
    <row r="1736" spans="2:6" x14ac:dyDescent="0.3">
      <c r="B1736" t="s">
        <v>1030</v>
      </c>
      <c r="D1736">
        <v>191</v>
      </c>
      <c r="E1736">
        <v>55600</v>
      </c>
      <c r="F1736">
        <v>1</v>
      </c>
    </row>
    <row r="1737" spans="2:6" x14ac:dyDescent="0.3">
      <c r="B1737" t="s">
        <v>1093</v>
      </c>
      <c r="D1737">
        <v>189</v>
      </c>
      <c r="E1737">
        <v>47504</v>
      </c>
      <c r="F1737">
        <v>1</v>
      </c>
    </row>
    <row r="1738" spans="2:6" x14ac:dyDescent="0.3">
      <c r="B1738" t="s">
        <v>1094</v>
      </c>
      <c r="D1738">
        <v>189</v>
      </c>
      <c r="E1738">
        <v>50976</v>
      </c>
      <c r="F1738">
        <v>1</v>
      </c>
    </row>
    <row r="1739" spans="2:6" x14ac:dyDescent="0.3">
      <c r="B1739" t="s">
        <v>1095</v>
      </c>
      <c r="D1739">
        <v>188</v>
      </c>
      <c r="E1739">
        <v>48416</v>
      </c>
      <c r="F1739">
        <v>1</v>
      </c>
    </row>
    <row r="1740" spans="2:6" x14ac:dyDescent="0.3">
      <c r="B1740" t="s">
        <v>1096</v>
      </c>
      <c r="D1740">
        <v>188</v>
      </c>
      <c r="E1740">
        <v>47936</v>
      </c>
      <c r="F1740">
        <v>1</v>
      </c>
    </row>
    <row r="1741" spans="2:6" x14ac:dyDescent="0.3">
      <c r="B1741" t="s">
        <v>1097</v>
      </c>
      <c r="D1741">
        <v>186</v>
      </c>
      <c r="E1741">
        <v>44928</v>
      </c>
      <c r="F1741">
        <v>1</v>
      </c>
    </row>
    <row r="1742" spans="2:6" x14ac:dyDescent="0.3">
      <c r="B1742" t="s">
        <v>1098</v>
      </c>
      <c r="D1742">
        <v>184</v>
      </c>
      <c r="E1742">
        <v>39120</v>
      </c>
      <c r="F1742">
        <v>1</v>
      </c>
    </row>
    <row r="1743" spans="2:6" x14ac:dyDescent="0.3">
      <c r="B1743" t="s">
        <v>1099</v>
      </c>
      <c r="D1743">
        <v>182</v>
      </c>
      <c r="E1743">
        <v>34144</v>
      </c>
      <c r="F1743">
        <v>1</v>
      </c>
    </row>
    <row r="1744" spans="2:6" x14ac:dyDescent="0.3">
      <c r="B1744" t="s">
        <v>1100</v>
      </c>
      <c r="D1744">
        <v>180</v>
      </c>
      <c r="E1744">
        <v>31088</v>
      </c>
      <c r="F1744">
        <v>1</v>
      </c>
    </row>
    <row r="1745" spans="2:6" x14ac:dyDescent="0.3">
      <c r="B1745" t="s">
        <v>1101</v>
      </c>
      <c r="D1745">
        <v>176</v>
      </c>
      <c r="E1745">
        <v>26880</v>
      </c>
      <c r="F1745">
        <v>1</v>
      </c>
    </row>
    <row r="1746" spans="2:6" x14ac:dyDescent="0.3">
      <c r="B1746" t="s">
        <v>1102</v>
      </c>
      <c r="D1746">
        <v>173</v>
      </c>
      <c r="E1746">
        <v>23368</v>
      </c>
      <c r="F1746">
        <v>1</v>
      </c>
    </row>
    <row r="1747" spans="2:6" x14ac:dyDescent="0.3">
      <c r="B1747" t="s">
        <v>1103</v>
      </c>
      <c r="D1747">
        <v>171</v>
      </c>
      <c r="E1747">
        <v>19288</v>
      </c>
      <c r="F1747">
        <v>1</v>
      </c>
    </row>
    <row r="1748" spans="2:6" x14ac:dyDescent="0.3">
      <c r="B1748" t="s">
        <v>1104</v>
      </c>
      <c r="D1748">
        <v>166</v>
      </c>
      <c r="E1748">
        <v>15644</v>
      </c>
      <c r="F1748">
        <v>1</v>
      </c>
    </row>
    <row r="1749" spans="2:6" x14ac:dyDescent="0.3">
      <c r="B1749" t="s">
        <v>1105</v>
      </c>
      <c r="D1749">
        <v>163</v>
      </c>
      <c r="E1749">
        <v>13012</v>
      </c>
      <c r="F1749">
        <v>1</v>
      </c>
    </row>
    <row r="1750" spans="2:6" x14ac:dyDescent="0.3">
      <c r="B1750" t="s">
        <v>1106</v>
      </c>
      <c r="D1750">
        <v>161</v>
      </c>
      <c r="E1750">
        <v>11432</v>
      </c>
      <c r="F1750">
        <v>1</v>
      </c>
    </row>
    <row r="1751" spans="2:6" x14ac:dyDescent="0.3">
      <c r="B1751" t="s">
        <v>1107</v>
      </c>
      <c r="D1751">
        <v>159</v>
      </c>
      <c r="E1751">
        <v>10176</v>
      </c>
      <c r="F1751">
        <v>1</v>
      </c>
    </row>
    <row r="1752" spans="2:6" x14ac:dyDescent="0.3">
      <c r="B1752" t="s">
        <v>1108</v>
      </c>
      <c r="D1752">
        <v>154</v>
      </c>
      <c r="E1752">
        <v>8240</v>
      </c>
      <c r="F1752">
        <v>1</v>
      </c>
    </row>
    <row r="1753" spans="2:6" x14ac:dyDescent="0.3">
      <c r="B1753" t="s">
        <v>1109</v>
      </c>
      <c r="D1753">
        <v>149</v>
      </c>
      <c r="E1753">
        <v>6124</v>
      </c>
      <c r="F1753">
        <v>1</v>
      </c>
    </row>
    <row r="1754" spans="2:6" x14ac:dyDescent="0.3">
      <c r="B1754" t="s">
        <v>1110</v>
      </c>
      <c r="D1754">
        <v>146</v>
      </c>
      <c r="E1754">
        <v>4638</v>
      </c>
      <c r="F1754">
        <v>1</v>
      </c>
    </row>
    <row r="1755" spans="2:6" x14ac:dyDescent="0.3">
      <c r="B1755" t="s">
        <v>1111</v>
      </c>
      <c r="D1755">
        <v>139</v>
      </c>
      <c r="E1755">
        <v>3647</v>
      </c>
      <c r="F1755">
        <v>1</v>
      </c>
    </row>
    <row r="1756" spans="2:6" x14ac:dyDescent="0.3">
      <c r="B1756" t="s">
        <v>1112</v>
      </c>
      <c r="D1756">
        <v>132</v>
      </c>
      <c r="E1756">
        <v>2338</v>
      </c>
      <c r="F1756">
        <v>1</v>
      </c>
    </row>
    <row r="1757" spans="2:6" x14ac:dyDescent="0.3">
      <c r="B1757" t="s">
        <v>1113</v>
      </c>
      <c r="D1757">
        <v>122</v>
      </c>
      <c r="E1757">
        <v>1334</v>
      </c>
      <c r="F1757">
        <v>1</v>
      </c>
    </row>
    <row r="1758" spans="2:6" x14ac:dyDescent="0.3">
      <c r="B1758" t="s">
        <v>1114</v>
      </c>
      <c r="D1758">
        <v>112</v>
      </c>
      <c r="E1758">
        <v>849</v>
      </c>
      <c r="F1758">
        <v>1</v>
      </c>
    </row>
    <row r="1759" spans="2:6" x14ac:dyDescent="0.3">
      <c r="B1759" t="s">
        <v>1115</v>
      </c>
      <c r="D1759">
        <v>100</v>
      </c>
      <c r="E1759">
        <v>379</v>
      </c>
      <c r="F1759">
        <v>1</v>
      </c>
    </row>
    <row r="1760" spans="2:6" x14ac:dyDescent="0.3">
      <c r="B1760" t="s">
        <v>1116</v>
      </c>
      <c r="D1760">
        <v>87</v>
      </c>
      <c r="E1760">
        <v>211</v>
      </c>
      <c r="F1760">
        <v>1</v>
      </c>
    </row>
    <row r="1761" spans="2:6" x14ac:dyDescent="0.3">
      <c r="B1761" t="s">
        <v>1117</v>
      </c>
      <c r="D1761">
        <v>65</v>
      </c>
      <c r="E1761">
        <v>85</v>
      </c>
      <c r="F1761">
        <v>1</v>
      </c>
    </row>
    <row r="1762" spans="2:6" x14ac:dyDescent="0.3">
      <c r="B1762" t="s">
        <v>1118</v>
      </c>
      <c r="D1762">
        <v>27</v>
      </c>
      <c r="E1762">
        <v>31</v>
      </c>
      <c r="F1762">
        <v>1</v>
      </c>
    </row>
    <row r="1763" spans="2:6" x14ac:dyDescent="0.3">
      <c r="B1763" t="s">
        <v>1119</v>
      </c>
      <c r="D1763">
        <v>13</v>
      </c>
      <c r="E1763">
        <v>16</v>
      </c>
      <c r="F1763">
        <v>1</v>
      </c>
    </row>
    <row r="1764" spans="2:6" x14ac:dyDescent="0.3">
      <c r="B1764" t="s">
        <v>1120</v>
      </c>
      <c r="D1764">
        <v>6</v>
      </c>
      <c r="E1764">
        <v>6</v>
      </c>
      <c r="F1764">
        <v>1</v>
      </c>
    </row>
    <row r="1765" spans="2:6" x14ac:dyDescent="0.3">
      <c r="B1765" t="s">
        <v>675</v>
      </c>
      <c r="D1765">
        <v>2</v>
      </c>
      <c r="E1765">
        <v>1</v>
      </c>
      <c r="F1765">
        <v>1</v>
      </c>
    </row>
    <row r="1766" spans="2:6" x14ac:dyDescent="0.3">
      <c r="B1766" t="s">
        <v>676</v>
      </c>
      <c r="D1766">
        <v>1</v>
      </c>
      <c r="E1766">
        <v>0</v>
      </c>
      <c r="F1766">
        <v>1</v>
      </c>
    </row>
    <row r="1767" spans="2:6" x14ac:dyDescent="0.3">
      <c r="B1767" t="s">
        <v>42</v>
      </c>
      <c r="D1767">
        <v>0</v>
      </c>
      <c r="E1767">
        <v>0</v>
      </c>
      <c r="F1767">
        <v>1</v>
      </c>
    </row>
    <row r="1768" spans="2:6" x14ac:dyDescent="0.3">
      <c r="B1768" t="s">
        <v>42</v>
      </c>
      <c r="D1768">
        <v>0</v>
      </c>
      <c r="E1768">
        <v>0</v>
      </c>
      <c r="F1768">
        <v>1</v>
      </c>
    </row>
    <row r="1769" spans="2:6" x14ac:dyDescent="0.3">
      <c r="B1769" t="s">
        <v>42</v>
      </c>
      <c r="D1769">
        <v>0</v>
      </c>
      <c r="E1769">
        <v>0</v>
      </c>
      <c r="F1769">
        <v>1</v>
      </c>
    </row>
    <row r="1770" spans="2:6" x14ac:dyDescent="0.3">
      <c r="B1770" t="s">
        <v>42</v>
      </c>
      <c r="D1770">
        <v>0</v>
      </c>
      <c r="E1770">
        <v>0</v>
      </c>
      <c r="F1770">
        <v>1</v>
      </c>
    </row>
    <row r="1771" spans="2:6" x14ac:dyDescent="0.3">
      <c r="B1771" t="s">
        <v>42</v>
      </c>
      <c r="D1771">
        <v>0</v>
      </c>
      <c r="E1771">
        <v>0</v>
      </c>
      <c r="F1771">
        <v>1</v>
      </c>
    </row>
    <row r="1772" spans="2:6" x14ac:dyDescent="0.3">
      <c r="B1772" t="s">
        <v>42</v>
      </c>
      <c r="D1772">
        <v>0</v>
      </c>
      <c r="E1772">
        <v>0</v>
      </c>
      <c r="F1772">
        <v>1</v>
      </c>
    </row>
    <row r="1773" spans="2:6" x14ac:dyDescent="0.3">
      <c r="B1773" t="s">
        <v>42</v>
      </c>
      <c r="D1773">
        <v>0</v>
      </c>
      <c r="E1773">
        <v>0</v>
      </c>
      <c r="F1773">
        <v>1</v>
      </c>
    </row>
    <row r="1774" spans="2:6" x14ac:dyDescent="0.3">
      <c r="B1774" t="s">
        <v>42</v>
      </c>
      <c r="D1774">
        <v>0</v>
      </c>
      <c r="E1774">
        <v>0</v>
      </c>
      <c r="F1774">
        <v>1</v>
      </c>
    </row>
    <row r="1775" spans="2:6" x14ac:dyDescent="0.3">
      <c r="B1775" t="s">
        <v>42</v>
      </c>
      <c r="D1775">
        <v>0</v>
      </c>
      <c r="E1775">
        <v>0</v>
      </c>
      <c r="F1775">
        <v>1</v>
      </c>
    </row>
    <row r="1776" spans="2:6" x14ac:dyDescent="0.3">
      <c r="B1776" t="s">
        <v>42</v>
      </c>
      <c r="D1776">
        <v>0</v>
      </c>
      <c r="E1776">
        <v>0</v>
      </c>
      <c r="F1776">
        <v>1</v>
      </c>
    </row>
    <row r="1777" spans="2:6" x14ac:dyDescent="0.3">
      <c r="B1777" t="s">
        <v>42</v>
      </c>
      <c r="D1777">
        <v>0</v>
      </c>
      <c r="E1777">
        <v>0</v>
      </c>
      <c r="F1777">
        <v>1</v>
      </c>
    </row>
    <row r="1778" spans="2:6" x14ac:dyDescent="0.3">
      <c r="B1778" t="s">
        <v>42</v>
      </c>
      <c r="D1778">
        <v>0</v>
      </c>
      <c r="E1778">
        <v>0</v>
      </c>
      <c r="F1778">
        <v>1</v>
      </c>
    </row>
    <row r="1779" spans="2:6" x14ac:dyDescent="0.3">
      <c r="B1779" t="s">
        <v>42</v>
      </c>
      <c r="D1779">
        <v>0</v>
      </c>
      <c r="E1779">
        <v>0</v>
      </c>
      <c r="F1779">
        <v>1</v>
      </c>
    </row>
    <row r="1780" spans="2:6" x14ac:dyDescent="0.3">
      <c r="B1780" t="s">
        <v>42</v>
      </c>
      <c r="D1780">
        <v>0</v>
      </c>
      <c r="E1780">
        <v>0</v>
      </c>
      <c r="F1780">
        <v>1</v>
      </c>
    </row>
    <row r="1781" spans="2:6" x14ac:dyDescent="0.3">
      <c r="B1781" t="s">
        <v>42</v>
      </c>
      <c r="D1781">
        <v>0</v>
      </c>
      <c r="E1781">
        <v>0</v>
      </c>
      <c r="F1781">
        <v>1</v>
      </c>
    </row>
    <row r="1782" spans="2:6" x14ac:dyDescent="0.3">
      <c r="B1782" t="s">
        <v>42</v>
      </c>
      <c r="D1782">
        <v>0</v>
      </c>
      <c r="E1782">
        <v>0</v>
      </c>
      <c r="F1782">
        <v>1</v>
      </c>
    </row>
    <row r="1783" spans="2:6" x14ac:dyDescent="0.3">
      <c r="B1783" t="s">
        <v>42</v>
      </c>
      <c r="D1783">
        <v>0</v>
      </c>
      <c r="E1783">
        <v>0</v>
      </c>
      <c r="F1783">
        <v>1</v>
      </c>
    </row>
    <row r="1784" spans="2:6" x14ac:dyDescent="0.3">
      <c r="B1784" t="s">
        <v>42</v>
      </c>
      <c r="D1784">
        <v>0</v>
      </c>
      <c r="E1784">
        <v>0</v>
      </c>
      <c r="F1784">
        <v>1</v>
      </c>
    </row>
    <row r="1785" spans="2:6" x14ac:dyDescent="0.3">
      <c r="B1785" t="s">
        <v>42</v>
      </c>
      <c r="D1785">
        <v>0</v>
      </c>
      <c r="E1785">
        <v>0</v>
      </c>
      <c r="F1785">
        <v>1</v>
      </c>
    </row>
    <row r="1786" spans="2:6" x14ac:dyDescent="0.3">
      <c r="B1786" t="s">
        <v>42</v>
      </c>
      <c r="D1786">
        <v>0</v>
      </c>
      <c r="E1786">
        <v>0</v>
      </c>
      <c r="F1786">
        <v>1</v>
      </c>
    </row>
    <row r="1787" spans="2:6" x14ac:dyDescent="0.3">
      <c r="B1787" t="s">
        <v>42</v>
      </c>
      <c r="D1787">
        <v>0</v>
      </c>
      <c r="E1787">
        <v>0</v>
      </c>
      <c r="F1787">
        <v>1</v>
      </c>
    </row>
    <row r="1788" spans="2:6" x14ac:dyDescent="0.3">
      <c r="B1788" t="s">
        <v>42</v>
      </c>
      <c r="D1788">
        <v>0</v>
      </c>
      <c r="E1788">
        <v>0</v>
      </c>
      <c r="F1788">
        <v>1</v>
      </c>
    </row>
    <row r="1789" spans="2:6" x14ac:dyDescent="0.3">
      <c r="B1789" t="s">
        <v>42</v>
      </c>
      <c r="D1789">
        <v>0</v>
      </c>
      <c r="E1789">
        <v>0</v>
      </c>
      <c r="F1789">
        <v>1</v>
      </c>
    </row>
    <row r="1790" spans="2:6" x14ac:dyDescent="0.3">
      <c r="B1790" t="s">
        <v>42</v>
      </c>
      <c r="D1790">
        <v>0</v>
      </c>
      <c r="E1790">
        <v>0</v>
      </c>
      <c r="F1790">
        <v>1</v>
      </c>
    </row>
    <row r="1791" spans="2:6" x14ac:dyDescent="0.3">
      <c r="B1791" t="s">
        <v>42</v>
      </c>
      <c r="D1791">
        <v>0</v>
      </c>
      <c r="E1791">
        <v>0</v>
      </c>
      <c r="F1791">
        <v>1</v>
      </c>
    </row>
    <row r="1792" spans="2:6" x14ac:dyDescent="0.3">
      <c r="B1792" t="s">
        <v>42</v>
      </c>
      <c r="D1792">
        <v>0</v>
      </c>
      <c r="E1792">
        <v>0</v>
      </c>
      <c r="F1792">
        <v>1</v>
      </c>
    </row>
    <row r="1793" spans="2:6" x14ac:dyDescent="0.3">
      <c r="B1793" t="s">
        <v>42</v>
      </c>
      <c r="D1793">
        <v>0</v>
      </c>
      <c r="E1793">
        <v>0</v>
      </c>
      <c r="F1793">
        <v>1</v>
      </c>
    </row>
    <row r="1794" spans="2:6" x14ac:dyDescent="0.3">
      <c r="B1794" t="s">
        <v>42</v>
      </c>
      <c r="D1794">
        <v>0</v>
      </c>
      <c r="E1794">
        <v>0</v>
      </c>
      <c r="F1794">
        <v>1</v>
      </c>
    </row>
    <row r="1795" spans="2:6" x14ac:dyDescent="0.3">
      <c r="B1795" t="s">
        <v>42</v>
      </c>
      <c r="D1795">
        <v>0</v>
      </c>
      <c r="E1795">
        <v>0</v>
      </c>
      <c r="F1795">
        <v>1</v>
      </c>
    </row>
    <row r="1796" spans="2:6" x14ac:dyDescent="0.3">
      <c r="B1796" t="s">
        <v>42</v>
      </c>
      <c r="D1796">
        <v>0</v>
      </c>
      <c r="E1796">
        <v>0</v>
      </c>
      <c r="F1796">
        <v>1</v>
      </c>
    </row>
    <row r="1797" spans="2:6" x14ac:dyDescent="0.3">
      <c r="B1797" t="s">
        <v>42</v>
      </c>
      <c r="D1797">
        <v>0</v>
      </c>
      <c r="E1797">
        <v>0</v>
      </c>
      <c r="F1797">
        <v>1</v>
      </c>
    </row>
    <row r="1798" spans="2:6" x14ac:dyDescent="0.3">
      <c r="B1798" t="s">
        <v>42</v>
      </c>
      <c r="D1798">
        <v>0</v>
      </c>
      <c r="E1798">
        <v>0</v>
      </c>
      <c r="F1798">
        <v>1</v>
      </c>
    </row>
    <row r="1799" spans="2:6" x14ac:dyDescent="0.3">
      <c r="B1799" t="s">
        <v>42</v>
      </c>
      <c r="D1799">
        <v>0</v>
      </c>
      <c r="E1799">
        <v>0</v>
      </c>
      <c r="F1799">
        <v>1</v>
      </c>
    </row>
    <row r="1800" spans="2:6" x14ac:dyDescent="0.3">
      <c r="B1800" t="s">
        <v>42</v>
      </c>
      <c r="D1800">
        <v>0</v>
      </c>
      <c r="E1800">
        <v>0</v>
      </c>
      <c r="F1800">
        <v>1</v>
      </c>
    </row>
    <row r="1801" spans="2:6" x14ac:dyDescent="0.3">
      <c r="B1801" t="s">
        <v>42</v>
      </c>
      <c r="D1801">
        <v>0</v>
      </c>
      <c r="E1801">
        <v>0</v>
      </c>
      <c r="F1801">
        <v>1</v>
      </c>
    </row>
    <row r="1802" spans="2:6" x14ac:dyDescent="0.3">
      <c r="B1802" t="s">
        <v>42</v>
      </c>
      <c r="D1802">
        <v>0</v>
      </c>
      <c r="E1802">
        <v>0</v>
      </c>
      <c r="F1802">
        <v>1</v>
      </c>
    </row>
    <row r="1803" spans="2:6" x14ac:dyDescent="0.3">
      <c r="B1803" t="s">
        <v>42</v>
      </c>
      <c r="D1803">
        <v>0</v>
      </c>
      <c r="E1803">
        <v>0</v>
      </c>
      <c r="F1803">
        <v>1</v>
      </c>
    </row>
    <row r="1804" spans="2:6" x14ac:dyDescent="0.3">
      <c r="B1804" t="s">
        <v>42</v>
      </c>
      <c r="D1804">
        <v>0</v>
      </c>
      <c r="E1804">
        <v>0</v>
      </c>
      <c r="F1804">
        <v>1</v>
      </c>
    </row>
    <row r="1805" spans="2:6" x14ac:dyDescent="0.3">
      <c r="B1805" t="s">
        <v>1121</v>
      </c>
      <c r="D1805">
        <v>1</v>
      </c>
      <c r="E1805">
        <v>13</v>
      </c>
      <c r="F1805">
        <v>1</v>
      </c>
    </row>
    <row r="1806" spans="2:6" x14ac:dyDescent="0.3">
      <c r="B1806" t="s">
        <v>42</v>
      </c>
      <c r="D1806">
        <v>0</v>
      </c>
      <c r="E1806">
        <v>0</v>
      </c>
      <c r="F1806">
        <v>1</v>
      </c>
    </row>
    <row r="1807" spans="2:6" x14ac:dyDescent="0.3">
      <c r="B1807" t="s">
        <v>42</v>
      </c>
      <c r="D1807">
        <v>0</v>
      </c>
      <c r="E1807">
        <v>0</v>
      </c>
      <c r="F1807">
        <v>1</v>
      </c>
    </row>
    <row r="1808" spans="2:6" x14ac:dyDescent="0.3">
      <c r="B1808" t="s">
        <v>42</v>
      </c>
      <c r="D1808">
        <v>0</v>
      </c>
      <c r="E1808">
        <v>0</v>
      </c>
      <c r="F1808">
        <v>1</v>
      </c>
    </row>
    <row r="1809" spans="2:6" x14ac:dyDescent="0.3">
      <c r="B1809" t="s">
        <v>42</v>
      </c>
      <c r="D1809">
        <v>0</v>
      </c>
      <c r="E1809">
        <v>0</v>
      </c>
      <c r="F1809">
        <v>1</v>
      </c>
    </row>
    <row r="1810" spans="2:6" x14ac:dyDescent="0.3">
      <c r="B1810" t="s">
        <v>42</v>
      </c>
      <c r="D1810">
        <v>0</v>
      </c>
      <c r="E1810">
        <v>0</v>
      </c>
      <c r="F1810">
        <v>1</v>
      </c>
    </row>
    <row r="1811" spans="2:6" x14ac:dyDescent="0.3">
      <c r="B1811" t="s">
        <v>42</v>
      </c>
      <c r="D1811">
        <v>0</v>
      </c>
      <c r="E1811">
        <v>0</v>
      </c>
      <c r="F1811">
        <v>1</v>
      </c>
    </row>
    <row r="1812" spans="2:6" x14ac:dyDescent="0.3">
      <c r="B1812" t="s">
        <v>42</v>
      </c>
      <c r="D1812">
        <v>0</v>
      </c>
      <c r="E1812">
        <v>0</v>
      </c>
      <c r="F1812">
        <v>1</v>
      </c>
    </row>
    <row r="1813" spans="2:6" x14ac:dyDescent="0.3">
      <c r="B1813" t="s">
        <v>42</v>
      </c>
      <c r="D1813">
        <v>0</v>
      </c>
      <c r="E1813">
        <v>0</v>
      </c>
      <c r="F1813">
        <v>1</v>
      </c>
    </row>
    <row r="1814" spans="2:6" x14ac:dyDescent="0.3">
      <c r="B1814" t="s">
        <v>42</v>
      </c>
      <c r="D1814">
        <v>0</v>
      </c>
      <c r="E1814">
        <v>0</v>
      </c>
      <c r="F1814">
        <v>1</v>
      </c>
    </row>
    <row r="1815" spans="2:6" x14ac:dyDescent="0.3">
      <c r="B1815" t="s">
        <v>42</v>
      </c>
      <c r="D1815">
        <v>0</v>
      </c>
      <c r="E1815">
        <v>0</v>
      </c>
      <c r="F1815">
        <v>1</v>
      </c>
    </row>
    <row r="1816" spans="2:6" x14ac:dyDescent="0.3">
      <c r="B1816" t="s">
        <v>42</v>
      </c>
      <c r="D1816">
        <v>0</v>
      </c>
      <c r="E1816">
        <v>0</v>
      </c>
      <c r="F1816">
        <v>1</v>
      </c>
    </row>
    <row r="1817" spans="2:6" x14ac:dyDescent="0.3">
      <c r="B1817" t="s">
        <v>42</v>
      </c>
      <c r="D1817">
        <v>0</v>
      </c>
      <c r="E1817">
        <v>0</v>
      </c>
      <c r="F1817">
        <v>1</v>
      </c>
    </row>
    <row r="1818" spans="2:6" x14ac:dyDescent="0.3">
      <c r="B1818" t="s">
        <v>42</v>
      </c>
      <c r="D1818">
        <v>0</v>
      </c>
      <c r="E1818">
        <v>0</v>
      </c>
      <c r="F1818">
        <v>1</v>
      </c>
    </row>
    <row r="1819" spans="2:6" x14ac:dyDescent="0.3">
      <c r="B1819" t="s">
        <v>42</v>
      </c>
      <c r="D1819">
        <v>0</v>
      </c>
      <c r="E1819">
        <v>0</v>
      </c>
      <c r="F1819">
        <v>1</v>
      </c>
    </row>
    <row r="1820" spans="2:6" x14ac:dyDescent="0.3">
      <c r="B1820" t="s">
        <v>42</v>
      </c>
      <c r="D1820">
        <v>0</v>
      </c>
      <c r="E1820">
        <v>0</v>
      </c>
      <c r="F1820">
        <v>1</v>
      </c>
    </row>
    <row r="1821" spans="2:6" x14ac:dyDescent="0.3">
      <c r="B1821" t="s">
        <v>42</v>
      </c>
      <c r="D1821">
        <v>0</v>
      </c>
      <c r="E1821">
        <v>0</v>
      </c>
      <c r="F1821">
        <v>1</v>
      </c>
    </row>
    <row r="1822" spans="2:6" x14ac:dyDescent="0.3">
      <c r="B1822" t="s">
        <v>42</v>
      </c>
      <c r="D1822">
        <v>0</v>
      </c>
      <c r="E1822">
        <v>0</v>
      </c>
      <c r="F1822">
        <v>1</v>
      </c>
    </row>
    <row r="1823" spans="2:6" x14ac:dyDescent="0.3">
      <c r="B1823" t="s">
        <v>42</v>
      </c>
      <c r="D1823">
        <v>0</v>
      </c>
      <c r="E1823">
        <v>0</v>
      </c>
      <c r="F1823">
        <v>1</v>
      </c>
    </row>
    <row r="1824" spans="2:6" x14ac:dyDescent="0.3">
      <c r="B1824" t="s">
        <v>42</v>
      </c>
      <c r="D1824">
        <v>0</v>
      </c>
      <c r="E1824">
        <v>0</v>
      </c>
      <c r="F1824">
        <v>1</v>
      </c>
    </row>
    <row r="1825" spans="2:6" x14ac:dyDescent="0.3">
      <c r="B1825" t="s">
        <v>42</v>
      </c>
      <c r="D1825">
        <v>0</v>
      </c>
      <c r="E1825">
        <v>0</v>
      </c>
      <c r="F1825">
        <v>1</v>
      </c>
    </row>
    <row r="1826" spans="2:6" x14ac:dyDescent="0.3">
      <c r="B1826" t="s">
        <v>42</v>
      </c>
      <c r="D1826">
        <v>0</v>
      </c>
      <c r="E1826">
        <v>0</v>
      </c>
      <c r="F1826">
        <v>1</v>
      </c>
    </row>
    <row r="1827" spans="2:6" x14ac:dyDescent="0.3">
      <c r="B1827" t="s">
        <v>42</v>
      </c>
      <c r="D1827">
        <v>0</v>
      </c>
      <c r="E1827">
        <v>0</v>
      </c>
      <c r="F1827">
        <v>1</v>
      </c>
    </row>
    <row r="1828" spans="2:6" x14ac:dyDescent="0.3">
      <c r="B1828" t="s">
        <v>42</v>
      </c>
      <c r="D1828">
        <v>0</v>
      </c>
      <c r="E1828">
        <v>0</v>
      </c>
      <c r="F1828">
        <v>1</v>
      </c>
    </row>
    <row r="1829" spans="2:6" x14ac:dyDescent="0.3">
      <c r="B1829" t="s">
        <v>42</v>
      </c>
      <c r="D1829">
        <v>0</v>
      </c>
      <c r="E1829">
        <v>0</v>
      </c>
      <c r="F1829">
        <v>1</v>
      </c>
    </row>
    <row r="1830" spans="2:6" x14ac:dyDescent="0.3">
      <c r="B1830" t="s">
        <v>42</v>
      </c>
      <c r="D1830">
        <v>0</v>
      </c>
      <c r="E1830">
        <v>0</v>
      </c>
      <c r="F1830">
        <v>1</v>
      </c>
    </row>
    <row r="1831" spans="2:6" x14ac:dyDescent="0.3">
      <c r="B1831" t="s">
        <v>42</v>
      </c>
      <c r="D1831">
        <v>0</v>
      </c>
      <c r="E1831">
        <v>0</v>
      </c>
      <c r="F1831">
        <v>1</v>
      </c>
    </row>
    <row r="1832" spans="2:6" x14ac:dyDescent="0.3">
      <c r="B1832" t="s">
        <v>42</v>
      </c>
      <c r="D1832">
        <v>0</v>
      </c>
      <c r="E1832">
        <v>0</v>
      </c>
      <c r="F1832">
        <v>1</v>
      </c>
    </row>
    <row r="1833" spans="2:6" x14ac:dyDescent="0.3">
      <c r="B1833" t="s">
        <v>42</v>
      </c>
      <c r="D1833">
        <v>0</v>
      </c>
      <c r="E1833">
        <v>0</v>
      </c>
      <c r="F1833">
        <v>1</v>
      </c>
    </row>
    <row r="1834" spans="2:6" x14ac:dyDescent="0.3">
      <c r="B1834" t="s">
        <v>42</v>
      </c>
      <c r="D1834">
        <v>0</v>
      </c>
      <c r="E1834">
        <v>0</v>
      </c>
      <c r="F1834">
        <v>1</v>
      </c>
    </row>
    <row r="1835" spans="2:6" x14ac:dyDescent="0.3">
      <c r="B1835" t="s">
        <v>42</v>
      </c>
      <c r="D1835">
        <v>0</v>
      </c>
      <c r="E1835">
        <v>0</v>
      </c>
      <c r="F1835">
        <v>1</v>
      </c>
    </row>
    <row r="1836" spans="2:6" x14ac:dyDescent="0.3">
      <c r="B1836" t="s">
        <v>42</v>
      </c>
      <c r="D1836">
        <v>0</v>
      </c>
      <c r="E1836">
        <v>0</v>
      </c>
      <c r="F1836">
        <v>1</v>
      </c>
    </row>
    <row r="1837" spans="2:6" x14ac:dyDescent="0.3">
      <c r="B1837" t="s">
        <v>42</v>
      </c>
      <c r="D1837">
        <v>0</v>
      </c>
      <c r="E1837">
        <v>0</v>
      </c>
      <c r="F1837">
        <v>1</v>
      </c>
    </row>
    <row r="1838" spans="2:6" x14ac:dyDescent="0.3">
      <c r="B1838" t="s">
        <v>42</v>
      </c>
      <c r="D1838">
        <v>0</v>
      </c>
      <c r="E1838">
        <v>0</v>
      </c>
      <c r="F1838">
        <v>1</v>
      </c>
    </row>
    <row r="1839" spans="2:6" x14ac:dyDescent="0.3">
      <c r="B1839" t="s">
        <v>42</v>
      </c>
      <c r="D1839">
        <v>0</v>
      </c>
      <c r="E1839">
        <v>0</v>
      </c>
      <c r="F1839">
        <v>1</v>
      </c>
    </row>
    <row r="1840" spans="2:6" x14ac:dyDescent="0.3">
      <c r="B1840" t="s">
        <v>676</v>
      </c>
      <c r="D1840">
        <v>1</v>
      </c>
      <c r="E1840">
        <v>0</v>
      </c>
      <c r="F1840">
        <v>1</v>
      </c>
    </row>
    <row r="1841" spans="2:6" x14ac:dyDescent="0.3">
      <c r="B1841" t="s">
        <v>675</v>
      </c>
      <c r="D1841">
        <v>2</v>
      </c>
      <c r="E1841">
        <v>1</v>
      </c>
      <c r="F1841">
        <v>1</v>
      </c>
    </row>
    <row r="1842" spans="2:6" x14ac:dyDescent="0.3">
      <c r="B1842" t="s">
        <v>865</v>
      </c>
      <c r="D1842">
        <v>5</v>
      </c>
      <c r="E1842">
        <v>6</v>
      </c>
      <c r="F1842">
        <v>1</v>
      </c>
    </row>
    <row r="1843" spans="2:6" x14ac:dyDescent="0.3">
      <c r="B1843" t="s">
        <v>1122</v>
      </c>
      <c r="D1843">
        <v>11</v>
      </c>
      <c r="E1843">
        <v>11</v>
      </c>
      <c r="F1843">
        <v>1</v>
      </c>
    </row>
    <row r="1844" spans="2:6" x14ac:dyDescent="0.3">
      <c r="B1844" t="s">
        <v>1123</v>
      </c>
      <c r="D1844">
        <v>11</v>
      </c>
      <c r="E1844">
        <v>21</v>
      </c>
      <c r="F1844">
        <v>1</v>
      </c>
    </row>
    <row r="1845" spans="2:6" x14ac:dyDescent="0.3">
      <c r="B1845" t="s">
        <v>1124</v>
      </c>
      <c r="D1845">
        <v>31</v>
      </c>
      <c r="E1845">
        <v>66</v>
      </c>
      <c r="F1845">
        <v>1</v>
      </c>
    </row>
    <row r="1846" spans="2:6" x14ac:dyDescent="0.3">
      <c r="B1846" t="s">
        <v>1125</v>
      </c>
      <c r="D1846">
        <v>76</v>
      </c>
      <c r="E1846">
        <v>177</v>
      </c>
      <c r="F1846">
        <v>1</v>
      </c>
    </row>
    <row r="1847" spans="2:6" x14ac:dyDescent="0.3">
      <c r="B1847" t="s">
        <v>1126</v>
      </c>
      <c r="D1847">
        <v>92</v>
      </c>
      <c r="E1847">
        <v>394</v>
      </c>
      <c r="F1847">
        <v>1</v>
      </c>
    </row>
    <row r="1848" spans="2:6" x14ac:dyDescent="0.3">
      <c r="B1848" t="s">
        <v>1127</v>
      </c>
      <c r="D1848">
        <v>103</v>
      </c>
      <c r="E1848">
        <v>712</v>
      </c>
      <c r="F1848">
        <v>1</v>
      </c>
    </row>
    <row r="1849" spans="2:6" x14ac:dyDescent="0.3">
      <c r="B1849" t="s">
        <v>1128</v>
      </c>
      <c r="D1849">
        <v>120</v>
      </c>
      <c r="E1849">
        <v>1377</v>
      </c>
      <c r="F1849">
        <v>1</v>
      </c>
    </row>
    <row r="1850" spans="2:6" x14ac:dyDescent="0.3">
      <c r="B1850" t="s">
        <v>1129</v>
      </c>
      <c r="D1850">
        <v>131</v>
      </c>
      <c r="E1850">
        <v>2838</v>
      </c>
      <c r="F1850">
        <v>1</v>
      </c>
    </row>
    <row r="1851" spans="2:6" x14ac:dyDescent="0.3">
      <c r="B1851" t="s">
        <v>1130</v>
      </c>
      <c r="D1851">
        <v>140</v>
      </c>
      <c r="E1851">
        <v>4662</v>
      </c>
      <c r="F1851">
        <v>1</v>
      </c>
    </row>
    <row r="1852" spans="2:6" x14ac:dyDescent="0.3">
      <c r="B1852" t="s">
        <v>1131</v>
      </c>
      <c r="D1852">
        <v>148</v>
      </c>
      <c r="E1852">
        <v>5724</v>
      </c>
      <c r="F1852">
        <v>1</v>
      </c>
    </row>
    <row r="1853" spans="2:6" x14ac:dyDescent="0.3">
      <c r="B1853" t="s">
        <v>1132</v>
      </c>
      <c r="D1853">
        <v>154</v>
      </c>
      <c r="E1853">
        <v>9216</v>
      </c>
      <c r="F1853">
        <v>1</v>
      </c>
    </row>
    <row r="1854" spans="2:6" x14ac:dyDescent="0.3">
      <c r="B1854" t="s">
        <v>1133</v>
      </c>
      <c r="D1854">
        <v>163</v>
      </c>
      <c r="E1854">
        <v>14644</v>
      </c>
      <c r="F1854">
        <v>1</v>
      </c>
    </row>
    <row r="1855" spans="2:6" x14ac:dyDescent="0.3">
      <c r="B1855" t="s">
        <v>1134</v>
      </c>
      <c r="D1855">
        <v>166</v>
      </c>
      <c r="E1855">
        <v>18232</v>
      </c>
      <c r="F1855">
        <v>1</v>
      </c>
    </row>
    <row r="1856" spans="2:6" x14ac:dyDescent="0.3">
      <c r="B1856" t="s">
        <v>1135</v>
      </c>
      <c r="D1856">
        <v>173</v>
      </c>
      <c r="E1856">
        <v>24520</v>
      </c>
      <c r="F1856">
        <v>1</v>
      </c>
    </row>
    <row r="1857" spans="2:6" x14ac:dyDescent="0.3">
      <c r="B1857" t="s">
        <v>1136</v>
      </c>
      <c r="D1857">
        <v>173</v>
      </c>
      <c r="E1857">
        <v>24728</v>
      </c>
      <c r="F1857">
        <v>1</v>
      </c>
    </row>
    <row r="1858" spans="2:6" x14ac:dyDescent="0.3">
      <c r="B1858" t="s">
        <v>1137</v>
      </c>
      <c r="D1858">
        <v>181</v>
      </c>
      <c r="E1858">
        <v>40496</v>
      </c>
      <c r="F1858">
        <v>1</v>
      </c>
    </row>
    <row r="1859" spans="2:6" x14ac:dyDescent="0.3">
      <c r="B1859" t="s">
        <v>1138</v>
      </c>
      <c r="D1859">
        <v>183</v>
      </c>
      <c r="E1859">
        <v>59984</v>
      </c>
      <c r="F1859">
        <v>1</v>
      </c>
    </row>
    <row r="1860" spans="2:6" x14ac:dyDescent="0.3">
      <c r="B1860" t="s">
        <v>1139</v>
      </c>
      <c r="D1860">
        <v>189</v>
      </c>
      <c r="E1860">
        <v>52480</v>
      </c>
      <c r="F1860">
        <v>1</v>
      </c>
    </row>
    <row r="1861" spans="2:6" x14ac:dyDescent="0.3">
      <c r="B1861" t="s">
        <v>1140</v>
      </c>
      <c r="D1861">
        <v>185</v>
      </c>
      <c r="E1861">
        <v>44864</v>
      </c>
      <c r="F1861">
        <v>1</v>
      </c>
    </row>
    <row r="1862" spans="2:6" x14ac:dyDescent="0.3">
      <c r="B1862" t="s">
        <v>1141</v>
      </c>
      <c r="D1862">
        <v>183</v>
      </c>
      <c r="E1862">
        <v>41504</v>
      </c>
      <c r="F1862">
        <v>1</v>
      </c>
    </row>
    <row r="1863" spans="2:6" x14ac:dyDescent="0.3">
      <c r="B1863" t="s">
        <v>1142</v>
      </c>
      <c r="D1863">
        <v>186</v>
      </c>
      <c r="E1863">
        <v>61008</v>
      </c>
      <c r="F1863">
        <v>1</v>
      </c>
    </row>
    <row r="1864" spans="2:6" x14ac:dyDescent="0.3">
      <c r="B1864" t="s">
        <v>1143</v>
      </c>
      <c r="D1864">
        <v>188</v>
      </c>
      <c r="E1864">
        <v>61328</v>
      </c>
      <c r="F1864">
        <v>1</v>
      </c>
    </row>
    <row r="1865" spans="2:6" x14ac:dyDescent="0.3">
      <c r="B1865" t="s">
        <v>1144</v>
      </c>
      <c r="D1865">
        <v>194</v>
      </c>
      <c r="E1865">
        <v>23008</v>
      </c>
      <c r="F1865">
        <v>1</v>
      </c>
    </row>
    <row r="1866" spans="2:6" x14ac:dyDescent="0.3">
      <c r="B1866" t="s">
        <v>1145</v>
      </c>
      <c r="D1866">
        <v>197</v>
      </c>
      <c r="E1866">
        <v>20608</v>
      </c>
      <c r="F1866">
        <v>1</v>
      </c>
    </row>
    <row r="1867" spans="2:6" x14ac:dyDescent="0.3">
      <c r="B1867" t="s">
        <v>1146</v>
      </c>
      <c r="D1867">
        <v>197</v>
      </c>
      <c r="E1867">
        <v>34112</v>
      </c>
      <c r="F1867">
        <v>1</v>
      </c>
    </row>
    <row r="1868" spans="2:6" x14ac:dyDescent="0.3">
      <c r="B1868" t="s">
        <v>1031</v>
      </c>
      <c r="D1868">
        <v>200</v>
      </c>
      <c r="E1868">
        <v>45312</v>
      </c>
      <c r="F1868">
        <v>1</v>
      </c>
    </row>
    <row r="1869" spans="2:6" x14ac:dyDescent="0.3">
      <c r="B1869" t="s">
        <v>1032</v>
      </c>
      <c r="D1869">
        <v>205</v>
      </c>
      <c r="E1869">
        <v>21120</v>
      </c>
      <c r="F1869">
        <v>1</v>
      </c>
    </row>
    <row r="1870" spans="2:6" x14ac:dyDescent="0.3">
      <c r="B1870" t="s">
        <v>1033</v>
      </c>
      <c r="D1870">
        <v>205</v>
      </c>
      <c r="E1870">
        <v>10112</v>
      </c>
      <c r="F1870">
        <v>1</v>
      </c>
    </row>
    <row r="1871" spans="2:6" x14ac:dyDescent="0.3">
      <c r="B1871" t="s">
        <v>1034</v>
      </c>
      <c r="D1871">
        <v>205</v>
      </c>
      <c r="E1871">
        <v>13888</v>
      </c>
      <c r="F1871">
        <v>1</v>
      </c>
    </row>
    <row r="1872" spans="2:6" x14ac:dyDescent="0.3">
      <c r="B1872" t="s">
        <v>1035</v>
      </c>
      <c r="D1872">
        <v>205</v>
      </c>
      <c r="E1872">
        <v>48000</v>
      </c>
      <c r="F1872">
        <v>1</v>
      </c>
    </row>
    <row r="1873" spans="2:6" x14ac:dyDescent="0.3">
      <c r="B1873" t="s">
        <v>1036</v>
      </c>
      <c r="D1873">
        <v>210</v>
      </c>
      <c r="E1873">
        <v>3648</v>
      </c>
      <c r="F1873">
        <v>1</v>
      </c>
    </row>
    <row r="1874" spans="2:6" x14ac:dyDescent="0.3">
      <c r="B1874" t="s">
        <v>1037</v>
      </c>
      <c r="D1874">
        <v>210</v>
      </c>
      <c r="E1874">
        <v>18496</v>
      </c>
      <c r="F1874">
        <v>1</v>
      </c>
    </row>
    <row r="1875" spans="2:6" x14ac:dyDescent="0.3">
      <c r="B1875" t="s">
        <v>1038</v>
      </c>
      <c r="D1875">
        <v>208</v>
      </c>
      <c r="E1875">
        <v>52928</v>
      </c>
      <c r="F1875">
        <v>1</v>
      </c>
    </row>
    <row r="1876" spans="2:6" x14ac:dyDescent="0.3">
      <c r="B1876" t="s">
        <v>1039</v>
      </c>
      <c r="D1876">
        <v>150</v>
      </c>
      <c r="E1876">
        <v>384</v>
      </c>
      <c r="F1876">
        <v>1</v>
      </c>
    </row>
    <row r="1877" spans="2:6" x14ac:dyDescent="0.3">
      <c r="B1877" t="s">
        <v>1040</v>
      </c>
      <c r="D1877">
        <v>180</v>
      </c>
      <c r="E1877">
        <v>29088</v>
      </c>
      <c r="F1877">
        <v>1</v>
      </c>
    </row>
    <row r="1878" spans="2:6" x14ac:dyDescent="0.3">
      <c r="B1878" t="s">
        <v>1041</v>
      </c>
      <c r="D1878">
        <v>226</v>
      </c>
      <c r="E1878">
        <v>42496</v>
      </c>
      <c r="F1878">
        <v>1</v>
      </c>
    </row>
    <row r="1879" spans="2:6" x14ac:dyDescent="0.3">
      <c r="B1879" t="s">
        <v>1042</v>
      </c>
      <c r="D1879">
        <v>226</v>
      </c>
      <c r="E1879">
        <v>21120</v>
      </c>
      <c r="F1879">
        <v>1</v>
      </c>
    </row>
    <row r="1880" spans="2:6" x14ac:dyDescent="0.3">
      <c r="B1880" t="s">
        <v>1043</v>
      </c>
      <c r="D1880">
        <v>225</v>
      </c>
      <c r="E1880">
        <v>256</v>
      </c>
      <c r="F1880">
        <v>1</v>
      </c>
    </row>
    <row r="1881" spans="2:6" x14ac:dyDescent="0.3">
      <c r="B1881" t="s">
        <v>1044</v>
      </c>
      <c r="D1881">
        <v>224</v>
      </c>
      <c r="E1881">
        <v>48128</v>
      </c>
      <c r="F1881">
        <v>1</v>
      </c>
    </row>
    <row r="1882" spans="2:6" x14ac:dyDescent="0.3">
      <c r="B1882" t="s">
        <v>1045</v>
      </c>
      <c r="D1882">
        <v>223</v>
      </c>
      <c r="E1882">
        <v>32000</v>
      </c>
      <c r="F1882">
        <v>1</v>
      </c>
    </row>
    <row r="1883" spans="2:6" x14ac:dyDescent="0.3">
      <c r="B1883" t="s">
        <v>1046</v>
      </c>
      <c r="D1883">
        <v>223</v>
      </c>
      <c r="E1883">
        <v>19712</v>
      </c>
      <c r="F1883">
        <v>1</v>
      </c>
    </row>
    <row r="1884" spans="2:6" x14ac:dyDescent="0.3">
      <c r="B1884" t="s">
        <v>1047</v>
      </c>
      <c r="D1884">
        <v>223</v>
      </c>
      <c r="E1884">
        <v>17152</v>
      </c>
      <c r="F1884">
        <v>1</v>
      </c>
    </row>
    <row r="1885" spans="2:6" x14ac:dyDescent="0.3">
      <c r="B1885" t="s">
        <v>1048</v>
      </c>
      <c r="D1885">
        <v>222</v>
      </c>
      <c r="E1885">
        <v>12160</v>
      </c>
      <c r="F1885">
        <v>1</v>
      </c>
    </row>
    <row r="1886" spans="2:6" x14ac:dyDescent="0.3">
      <c r="B1886" t="s">
        <v>1049</v>
      </c>
      <c r="D1886">
        <v>222</v>
      </c>
      <c r="E1886">
        <v>9088</v>
      </c>
      <c r="F1886">
        <v>1</v>
      </c>
    </row>
    <row r="1887" spans="2:6" x14ac:dyDescent="0.3">
      <c r="B1887" t="s">
        <v>1050</v>
      </c>
      <c r="D1887">
        <v>222</v>
      </c>
      <c r="E1887">
        <v>4224</v>
      </c>
      <c r="F1887">
        <v>1</v>
      </c>
    </row>
    <row r="1888" spans="2:6" x14ac:dyDescent="0.3">
      <c r="B1888" t="s">
        <v>1051</v>
      </c>
      <c r="D1888">
        <v>222</v>
      </c>
      <c r="E1888">
        <v>63744</v>
      </c>
      <c r="F1888">
        <v>1</v>
      </c>
    </row>
    <row r="1889" spans="2:6" x14ac:dyDescent="0.3">
      <c r="B1889" t="s">
        <v>1052</v>
      </c>
      <c r="D1889">
        <v>221</v>
      </c>
      <c r="E1889">
        <v>54528</v>
      </c>
      <c r="F1889">
        <v>1</v>
      </c>
    </row>
    <row r="1890" spans="2:6" x14ac:dyDescent="0.3">
      <c r="B1890" t="s">
        <v>1053</v>
      </c>
      <c r="D1890">
        <v>220</v>
      </c>
      <c r="E1890">
        <v>35328</v>
      </c>
      <c r="F1890">
        <v>1</v>
      </c>
    </row>
    <row r="1891" spans="2:6" x14ac:dyDescent="0.3">
      <c r="B1891" t="s">
        <v>1054</v>
      </c>
      <c r="D1891">
        <v>220</v>
      </c>
      <c r="E1891">
        <v>22912</v>
      </c>
      <c r="F1891">
        <v>1</v>
      </c>
    </row>
    <row r="1892" spans="2:6" x14ac:dyDescent="0.3">
      <c r="B1892" t="s">
        <v>1055</v>
      </c>
      <c r="D1892">
        <v>218</v>
      </c>
      <c r="E1892">
        <v>56768</v>
      </c>
      <c r="F1892">
        <v>1</v>
      </c>
    </row>
    <row r="1893" spans="2:6" x14ac:dyDescent="0.3">
      <c r="B1893" t="s">
        <v>1056</v>
      </c>
      <c r="D1893">
        <v>215</v>
      </c>
      <c r="E1893">
        <v>29888</v>
      </c>
      <c r="F1893">
        <v>1</v>
      </c>
    </row>
    <row r="1894" spans="2:6" x14ac:dyDescent="0.3">
      <c r="B1894" t="s">
        <v>1057</v>
      </c>
      <c r="D1894">
        <v>216</v>
      </c>
      <c r="E1894">
        <v>31232</v>
      </c>
      <c r="F1894">
        <v>1</v>
      </c>
    </row>
    <row r="1895" spans="2:6" x14ac:dyDescent="0.3">
      <c r="B1895" t="s">
        <v>1058</v>
      </c>
      <c r="D1895">
        <v>216</v>
      </c>
      <c r="E1895">
        <v>35200</v>
      </c>
      <c r="F1895">
        <v>1</v>
      </c>
    </row>
    <row r="1896" spans="2:6" x14ac:dyDescent="0.3">
      <c r="B1896" t="s">
        <v>1058</v>
      </c>
      <c r="D1896">
        <v>216</v>
      </c>
      <c r="E1896">
        <v>35200</v>
      </c>
      <c r="F1896">
        <v>1</v>
      </c>
    </row>
    <row r="1897" spans="2:6" x14ac:dyDescent="0.3">
      <c r="B1897" t="s">
        <v>1059</v>
      </c>
      <c r="D1897">
        <v>216</v>
      </c>
      <c r="E1897">
        <v>32576</v>
      </c>
      <c r="F1897">
        <v>1</v>
      </c>
    </row>
    <row r="1898" spans="2:6" x14ac:dyDescent="0.3">
      <c r="B1898" t="s">
        <v>1060</v>
      </c>
      <c r="D1898">
        <v>213</v>
      </c>
      <c r="E1898">
        <v>6400</v>
      </c>
      <c r="F1898">
        <v>1</v>
      </c>
    </row>
    <row r="1899" spans="2:6" x14ac:dyDescent="0.3">
      <c r="B1899" t="s">
        <v>1061</v>
      </c>
      <c r="D1899">
        <v>211</v>
      </c>
      <c r="E1899">
        <v>40896</v>
      </c>
      <c r="F1899">
        <v>1</v>
      </c>
    </row>
    <row r="1900" spans="2:6" x14ac:dyDescent="0.3">
      <c r="B1900" t="s">
        <v>1062</v>
      </c>
      <c r="D1900">
        <v>208</v>
      </c>
      <c r="E1900">
        <v>20800</v>
      </c>
      <c r="F1900">
        <v>1</v>
      </c>
    </row>
    <row r="1901" spans="2:6" x14ac:dyDescent="0.3">
      <c r="B1901" t="s">
        <v>1063</v>
      </c>
      <c r="D1901">
        <v>219</v>
      </c>
      <c r="E1901">
        <v>39040</v>
      </c>
      <c r="F1901">
        <v>1</v>
      </c>
    </row>
    <row r="1902" spans="2:6" x14ac:dyDescent="0.3">
      <c r="B1902" t="s">
        <v>1064</v>
      </c>
      <c r="D1902">
        <v>225</v>
      </c>
      <c r="E1902">
        <v>21504</v>
      </c>
      <c r="F1902">
        <v>1</v>
      </c>
    </row>
    <row r="1903" spans="2:6" x14ac:dyDescent="0.3">
      <c r="B1903" t="s">
        <v>1065</v>
      </c>
      <c r="D1903">
        <v>223</v>
      </c>
      <c r="E1903">
        <v>43648</v>
      </c>
      <c r="F1903">
        <v>1</v>
      </c>
    </row>
    <row r="1904" spans="2:6" x14ac:dyDescent="0.3">
      <c r="B1904" t="s">
        <v>1066</v>
      </c>
      <c r="D1904">
        <v>226</v>
      </c>
      <c r="E1904">
        <v>60032</v>
      </c>
      <c r="F1904">
        <v>1</v>
      </c>
    </row>
    <row r="1905" spans="2:6" x14ac:dyDescent="0.3">
      <c r="B1905" t="s">
        <v>1067</v>
      </c>
      <c r="D1905">
        <v>226</v>
      </c>
      <c r="E1905">
        <v>44672</v>
      </c>
      <c r="F1905">
        <v>1</v>
      </c>
    </row>
    <row r="1906" spans="2:6" x14ac:dyDescent="0.3">
      <c r="B1906" t="s">
        <v>1068</v>
      </c>
      <c r="D1906">
        <v>238</v>
      </c>
      <c r="E1906">
        <v>35072</v>
      </c>
      <c r="F1906">
        <v>1</v>
      </c>
    </row>
    <row r="1907" spans="2:6" x14ac:dyDescent="0.3">
      <c r="B1907" t="s">
        <v>1069</v>
      </c>
      <c r="D1907">
        <v>232</v>
      </c>
      <c r="E1907">
        <v>35328</v>
      </c>
      <c r="F1907">
        <v>1</v>
      </c>
    </row>
    <row r="1908" spans="2:6" x14ac:dyDescent="0.3">
      <c r="B1908" t="s">
        <v>1070</v>
      </c>
      <c r="D1908">
        <v>230</v>
      </c>
      <c r="E1908">
        <v>24192</v>
      </c>
      <c r="F1908">
        <v>1</v>
      </c>
    </row>
    <row r="1909" spans="2:6" x14ac:dyDescent="0.3">
      <c r="B1909" t="s">
        <v>1071</v>
      </c>
      <c r="D1909">
        <v>212</v>
      </c>
      <c r="E1909">
        <v>24192</v>
      </c>
      <c r="F1909">
        <v>1</v>
      </c>
    </row>
    <row r="1910" spans="2:6" x14ac:dyDescent="0.3">
      <c r="B1910" t="s">
        <v>1072</v>
      </c>
      <c r="D1910">
        <v>212</v>
      </c>
      <c r="E1910">
        <v>50176</v>
      </c>
      <c r="F1910">
        <v>1</v>
      </c>
    </row>
    <row r="1911" spans="2:6" x14ac:dyDescent="0.3">
      <c r="B1911" t="s">
        <v>1073</v>
      </c>
      <c r="D1911">
        <v>245</v>
      </c>
      <c r="E1911">
        <v>46080</v>
      </c>
      <c r="F1911">
        <v>1</v>
      </c>
    </row>
    <row r="1912" spans="2:6" x14ac:dyDescent="0.3">
      <c r="B1912" t="s">
        <v>1074</v>
      </c>
      <c r="D1912">
        <v>243</v>
      </c>
      <c r="E1912">
        <v>41984</v>
      </c>
      <c r="F1912">
        <v>1</v>
      </c>
    </row>
    <row r="1913" spans="2:6" x14ac:dyDescent="0.3">
      <c r="B1913" t="s">
        <v>1075</v>
      </c>
      <c r="D1913">
        <v>243</v>
      </c>
      <c r="E1913">
        <v>16896</v>
      </c>
      <c r="F1913">
        <v>1</v>
      </c>
    </row>
    <row r="1914" spans="2:6" x14ac:dyDescent="0.3">
      <c r="B1914" t="s">
        <v>1075</v>
      </c>
      <c r="D1914">
        <v>243</v>
      </c>
      <c r="E1914">
        <v>16896</v>
      </c>
      <c r="F1914">
        <v>1</v>
      </c>
    </row>
    <row r="1915" spans="2:6" x14ac:dyDescent="0.3">
      <c r="B1915" t="s">
        <v>1076</v>
      </c>
      <c r="D1915">
        <v>243</v>
      </c>
      <c r="E1915">
        <v>58368</v>
      </c>
      <c r="F1915">
        <v>1</v>
      </c>
    </row>
    <row r="1916" spans="2:6" x14ac:dyDescent="0.3">
      <c r="B1916" t="s">
        <v>1147</v>
      </c>
      <c r="D1916">
        <v>243</v>
      </c>
      <c r="E1916">
        <v>56064</v>
      </c>
      <c r="F1916">
        <v>1</v>
      </c>
    </row>
    <row r="1917" spans="2:6" x14ac:dyDescent="0.3">
      <c r="B1917" t="s">
        <v>1148</v>
      </c>
      <c r="D1917">
        <v>244</v>
      </c>
      <c r="E1917">
        <v>20736</v>
      </c>
      <c r="F1917">
        <v>1</v>
      </c>
    </row>
    <row r="1918" spans="2:6" x14ac:dyDescent="0.3">
      <c r="B1918" t="s">
        <v>1149</v>
      </c>
      <c r="D1918">
        <v>243</v>
      </c>
      <c r="E1918">
        <v>58880</v>
      </c>
      <c r="F1918">
        <v>1</v>
      </c>
    </row>
    <row r="1919" spans="2:6" x14ac:dyDescent="0.3">
      <c r="B1919" t="s">
        <v>1150</v>
      </c>
      <c r="D1919">
        <v>243</v>
      </c>
      <c r="E1919">
        <v>36096</v>
      </c>
      <c r="F1919">
        <v>1</v>
      </c>
    </row>
    <row r="1920" spans="2:6" x14ac:dyDescent="0.3">
      <c r="B1920" t="s">
        <v>1151</v>
      </c>
      <c r="D1920">
        <v>243</v>
      </c>
      <c r="E1920">
        <v>13824</v>
      </c>
      <c r="F1920">
        <v>1</v>
      </c>
    </row>
    <row r="1921" spans="2:6" x14ac:dyDescent="0.3">
      <c r="B1921" t="s">
        <v>1152</v>
      </c>
      <c r="D1921">
        <v>243</v>
      </c>
      <c r="E1921">
        <v>52992</v>
      </c>
      <c r="F1921">
        <v>1</v>
      </c>
    </row>
    <row r="1922" spans="2:6" x14ac:dyDescent="0.3">
      <c r="B1922" t="s">
        <v>1153</v>
      </c>
      <c r="D1922">
        <v>221</v>
      </c>
      <c r="E1922">
        <v>31488</v>
      </c>
      <c r="F1922">
        <v>1</v>
      </c>
    </row>
    <row r="1923" spans="2:6" x14ac:dyDescent="0.3">
      <c r="B1923" t="s">
        <v>1154</v>
      </c>
      <c r="D1923">
        <v>232</v>
      </c>
      <c r="E1923">
        <v>48512</v>
      </c>
      <c r="F1923">
        <v>1</v>
      </c>
    </row>
    <row r="1924" spans="2:6" x14ac:dyDescent="0.3">
      <c r="B1924" t="s">
        <v>1155</v>
      </c>
      <c r="D1924">
        <v>234</v>
      </c>
      <c r="E1924">
        <v>59392</v>
      </c>
      <c r="F1924">
        <v>1</v>
      </c>
    </row>
    <row r="1925" spans="2:6" x14ac:dyDescent="0.3">
      <c r="B1925" t="s">
        <v>1156</v>
      </c>
      <c r="D1925">
        <v>227</v>
      </c>
      <c r="E1925">
        <v>38016</v>
      </c>
      <c r="F1925">
        <v>1</v>
      </c>
    </row>
    <row r="1926" spans="2:6" x14ac:dyDescent="0.3">
      <c r="B1926" t="s">
        <v>1157</v>
      </c>
      <c r="D1926">
        <v>230</v>
      </c>
      <c r="E1926">
        <v>50304</v>
      </c>
      <c r="F1926">
        <v>1</v>
      </c>
    </row>
    <row r="1927" spans="2:6" x14ac:dyDescent="0.3">
      <c r="B1927" t="s">
        <v>1158</v>
      </c>
      <c r="D1927">
        <v>232</v>
      </c>
      <c r="E1927">
        <v>36352</v>
      </c>
      <c r="F1927">
        <v>1</v>
      </c>
    </row>
    <row r="1928" spans="2:6" x14ac:dyDescent="0.3">
      <c r="B1928" t="s">
        <v>1159</v>
      </c>
      <c r="D1928">
        <v>227</v>
      </c>
      <c r="E1928">
        <v>59648</v>
      </c>
      <c r="F1928">
        <v>1</v>
      </c>
    </row>
    <row r="1929" spans="2:6" x14ac:dyDescent="0.3">
      <c r="B1929" t="s">
        <v>1160</v>
      </c>
      <c r="D1929">
        <v>224</v>
      </c>
      <c r="E1929">
        <v>16384</v>
      </c>
      <c r="F1929">
        <v>1</v>
      </c>
    </row>
    <row r="1930" spans="2:6" x14ac:dyDescent="0.3">
      <c r="B1930" t="s">
        <v>1161</v>
      </c>
      <c r="D1930">
        <v>224</v>
      </c>
      <c r="E1930">
        <v>48640</v>
      </c>
      <c r="F1930">
        <v>1</v>
      </c>
    </row>
    <row r="1931" spans="2:6" x14ac:dyDescent="0.3">
      <c r="B1931" t="s">
        <v>1162</v>
      </c>
      <c r="D1931">
        <v>223</v>
      </c>
      <c r="E1931">
        <v>12800</v>
      </c>
      <c r="F1931">
        <v>1</v>
      </c>
    </row>
    <row r="1932" spans="2:6" x14ac:dyDescent="0.3">
      <c r="B1932" t="s">
        <v>1163</v>
      </c>
      <c r="D1932">
        <v>219</v>
      </c>
      <c r="E1932">
        <v>41216</v>
      </c>
      <c r="F1932">
        <v>1</v>
      </c>
    </row>
    <row r="1933" spans="2:6" x14ac:dyDescent="0.3">
      <c r="B1933" t="s">
        <v>1164</v>
      </c>
      <c r="D1933">
        <v>228</v>
      </c>
      <c r="E1933">
        <v>30720</v>
      </c>
      <c r="F1933">
        <v>1</v>
      </c>
    </row>
    <row r="1934" spans="2:6" x14ac:dyDescent="0.3">
      <c r="B1934" t="s">
        <v>1165</v>
      </c>
      <c r="D1934">
        <v>220</v>
      </c>
      <c r="E1934">
        <v>16256</v>
      </c>
      <c r="F1934">
        <v>1</v>
      </c>
    </row>
    <row r="1935" spans="2:6" x14ac:dyDescent="0.3">
      <c r="B1935" t="s">
        <v>808</v>
      </c>
      <c r="D1935">
        <v>226</v>
      </c>
      <c r="E1935">
        <v>21632</v>
      </c>
      <c r="F1935">
        <v>1</v>
      </c>
    </row>
    <row r="1936" spans="2:6" x14ac:dyDescent="0.3">
      <c r="B1936" t="s">
        <v>1166</v>
      </c>
      <c r="D1936">
        <v>225</v>
      </c>
      <c r="E1936">
        <v>40832</v>
      </c>
      <c r="F1936">
        <v>1</v>
      </c>
    </row>
    <row r="1937" spans="2:6" x14ac:dyDescent="0.3">
      <c r="B1937" t="s">
        <v>1167</v>
      </c>
      <c r="D1937">
        <v>227</v>
      </c>
      <c r="E1937">
        <v>43264</v>
      </c>
      <c r="F1937">
        <v>1</v>
      </c>
    </row>
    <row r="1938" spans="2:6" x14ac:dyDescent="0.3">
      <c r="B1938" t="s">
        <v>1168</v>
      </c>
      <c r="D1938">
        <v>214</v>
      </c>
      <c r="E1938">
        <v>22976</v>
      </c>
      <c r="F1938">
        <v>1</v>
      </c>
    </row>
    <row r="1939" spans="2:6" x14ac:dyDescent="0.3">
      <c r="B1939" t="s">
        <v>1169</v>
      </c>
      <c r="D1939">
        <v>218</v>
      </c>
      <c r="E1939">
        <v>14208</v>
      </c>
      <c r="F1939">
        <v>1</v>
      </c>
    </row>
    <row r="1940" spans="2:6" x14ac:dyDescent="0.3">
      <c r="B1940" t="s">
        <v>1170</v>
      </c>
      <c r="D1940">
        <v>216</v>
      </c>
      <c r="E1940">
        <v>2432</v>
      </c>
      <c r="F1940">
        <v>1</v>
      </c>
    </row>
    <row r="1941" spans="2:6" x14ac:dyDescent="0.3">
      <c r="B1941" t="s">
        <v>1171</v>
      </c>
      <c r="D1941">
        <v>216</v>
      </c>
      <c r="E1941">
        <v>55616</v>
      </c>
      <c r="F1941">
        <v>1</v>
      </c>
    </row>
    <row r="1942" spans="2:6" x14ac:dyDescent="0.3">
      <c r="B1942" t="s">
        <v>1172</v>
      </c>
      <c r="D1942">
        <v>217</v>
      </c>
      <c r="E1942">
        <v>4608</v>
      </c>
      <c r="F1942">
        <v>1</v>
      </c>
    </row>
    <row r="1943" spans="2:6" x14ac:dyDescent="0.3">
      <c r="B1943" t="s">
        <v>1173</v>
      </c>
      <c r="D1943">
        <v>215</v>
      </c>
      <c r="E1943">
        <v>39744</v>
      </c>
      <c r="F1943">
        <v>1</v>
      </c>
    </row>
    <row r="1944" spans="2:6" x14ac:dyDescent="0.3">
      <c r="B1944" t="s">
        <v>1174</v>
      </c>
      <c r="D1944">
        <v>215</v>
      </c>
      <c r="E1944">
        <v>61184</v>
      </c>
      <c r="F1944">
        <v>1</v>
      </c>
    </row>
    <row r="1945" spans="2:6" x14ac:dyDescent="0.3">
      <c r="B1945" t="s">
        <v>1175</v>
      </c>
      <c r="D1945">
        <v>221</v>
      </c>
      <c r="E1945">
        <v>14720</v>
      </c>
      <c r="F1945">
        <v>1</v>
      </c>
    </row>
    <row r="1946" spans="2:6" x14ac:dyDescent="0.3">
      <c r="B1946" t="s">
        <v>1176</v>
      </c>
      <c r="D1946">
        <v>227</v>
      </c>
      <c r="E1946">
        <v>30976</v>
      </c>
      <c r="F1946">
        <v>1</v>
      </c>
    </row>
    <row r="1947" spans="2:6" x14ac:dyDescent="0.3">
      <c r="B1947" t="s">
        <v>1177</v>
      </c>
      <c r="D1947">
        <v>234</v>
      </c>
      <c r="E1947">
        <v>37888</v>
      </c>
      <c r="F1947">
        <v>1</v>
      </c>
    </row>
    <row r="1948" spans="2:6" x14ac:dyDescent="0.3">
      <c r="B1948" t="s">
        <v>1178</v>
      </c>
      <c r="D1948">
        <v>234</v>
      </c>
      <c r="E1948">
        <v>8960</v>
      </c>
      <c r="F1948">
        <v>1</v>
      </c>
    </row>
    <row r="1949" spans="2:6" x14ac:dyDescent="0.3">
      <c r="B1949" t="s">
        <v>1179</v>
      </c>
      <c r="D1949">
        <v>234</v>
      </c>
      <c r="E1949">
        <v>42240</v>
      </c>
      <c r="F1949">
        <v>1</v>
      </c>
    </row>
    <row r="1950" spans="2:6" x14ac:dyDescent="0.3">
      <c r="B1950" t="s">
        <v>1180</v>
      </c>
      <c r="D1950">
        <v>234</v>
      </c>
      <c r="E1950">
        <v>17152</v>
      </c>
      <c r="F1950">
        <v>1</v>
      </c>
    </row>
    <row r="1951" spans="2:6" x14ac:dyDescent="0.3">
      <c r="B1951" t="s">
        <v>1181</v>
      </c>
      <c r="D1951">
        <v>232</v>
      </c>
      <c r="E1951">
        <v>6400</v>
      </c>
      <c r="F1951">
        <v>1</v>
      </c>
    </row>
    <row r="1952" spans="2:6" x14ac:dyDescent="0.3">
      <c r="B1952" t="s">
        <v>1182</v>
      </c>
      <c r="D1952">
        <v>229</v>
      </c>
      <c r="E1952">
        <v>7680</v>
      </c>
      <c r="F1952">
        <v>1</v>
      </c>
    </row>
    <row r="1953" spans="2:6" x14ac:dyDescent="0.3">
      <c r="B1953" t="s">
        <v>1183</v>
      </c>
      <c r="D1953">
        <v>227</v>
      </c>
      <c r="E1953">
        <v>9472</v>
      </c>
      <c r="F1953">
        <v>1</v>
      </c>
    </row>
    <row r="1954" spans="2:6" x14ac:dyDescent="0.3">
      <c r="B1954" t="s">
        <v>1184</v>
      </c>
      <c r="D1954">
        <v>225</v>
      </c>
      <c r="E1954">
        <v>20096</v>
      </c>
      <c r="F1954">
        <v>1</v>
      </c>
    </row>
    <row r="1955" spans="2:6" x14ac:dyDescent="0.3">
      <c r="B1955" t="s">
        <v>1185</v>
      </c>
      <c r="D1955">
        <v>226</v>
      </c>
      <c r="E1955">
        <v>1792</v>
      </c>
      <c r="F1955">
        <v>1</v>
      </c>
    </row>
    <row r="1956" spans="2:6" x14ac:dyDescent="0.3">
      <c r="B1956" t="s">
        <v>1186</v>
      </c>
      <c r="D1956">
        <v>229</v>
      </c>
      <c r="E1956">
        <v>43520</v>
      </c>
      <c r="F1956">
        <v>1</v>
      </c>
    </row>
    <row r="1957" spans="2:6" x14ac:dyDescent="0.3">
      <c r="B1957" t="s">
        <v>1187</v>
      </c>
      <c r="D1957">
        <v>231</v>
      </c>
      <c r="E1957">
        <v>51456</v>
      </c>
      <c r="F1957">
        <v>1</v>
      </c>
    </row>
    <row r="1958" spans="2:6" x14ac:dyDescent="0.3">
      <c r="B1958" t="s">
        <v>1188</v>
      </c>
      <c r="D1958">
        <v>237</v>
      </c>
      <c r="E1958">
        <v>32768</v>
      </c>
      <c r="F1958">
        <v>1</v>
      </c>
    </row>
    <row r="1959" spans="2:6" x14ac:dyDescent="0.3">
      <c r="B1959" t="s">
        <v>1189</v>
      </c>
      <c r="D1959">
        <v>237</v>
      </c>
      <c r="E1959">
        <v>1792</v>
      </c>
      <c r="F1959">
        <v>1</v>
      </c>
    </row>
    <row r="1960" spans="2:6" x14ac:dyDescent="0.3">
      <c r="B1960" t="s">
        <v>1190</v>
      </c>
      <c r="D1960">
        <v>236</v>
      </c>
      <c r="E1960">
        <v>2560</v>
      </c>
      <c r="F1960">
        <v>1</v>
      </c>
    </row>
    <row r="1961" spans="2:6" x14ac:dyDescent="0.3">
      <c r="B1961" t="s">
        <v>1191</v>
      </c>
      <c r="D1961">
        <v>239</v>
      </c>
      <c r="E1961">
        <v>15872</v>
      </c>
      <c r="F1961">
        <v>1</v>
      </c>
    </row>
    <row r="1962" spans="2:6" x14ac:dyDescent="0.3">
      <c r="B1962" t="s">
        <v>1192</v>
      </c>
      <c r="D1962">
        <v>231</v>
      </c>
      <c r="E1962">
        <v>19456</v>
      </c>
      <c r="F1962">
        <v>1</v>
      </c>
    </row>
    <row r="1963" spans="2:6" x14ac:dyDescent="0.3">
      <c r="B1963" t="s">
        <v>1193</v>
      </c>
      <c r="D1963">
        <v>220</v>
      </c>
      <c r="E1963">
        <v>50432</v>
      </c>
      <c r="F1963">
        <v>1</v>
      </c>
    </row>
    <row r="1964" spans="2:6" x14ac:dyDescent="0.3">
      <c r="B1964" t="s">
        <v>1194</v>
      </c>
      <c r="D1964">
        <v>219</v>
      </c>
      <c r="E1964">
        <v>26496</v>
      </c>
      <c r="F1964">
        <v>1</v>
      </c>
    </row>
    <row r="1965" spans="2:6" x14ac:dyDescent="0.3">
      <c r="B1965" t="s">
        <v>1195</v>
      </c>
      <c r="D1965">
        <v>216</v>
      </c>
      <c r="E1965">
        <v>13952</v>
      </c>
      <c r="F1965">
        <v>1</v>
      </c>
    </row>
    <row r="1966" spans="2:6" x14ac:dyDescent="0.3">
      <c r="B1966" t="s">
        <v>1196</v>
      </c>
      <c r="D1966">
        <v>219</v>
      </c>
      <c r="E1966">
        <v>3712</v>
      </c>
      <c r="F1966">
        <v>1</v>
      </c>
    </row>
    <row r="1967" spans="2:6" x14ac:dyDescent="0.3">
      <c r="B1967" t="s">
        <v>1197</v>
      </c>
      <c r="D1967">
        <v>219</v>
      </c>
      <c r="E1967">
        <v>51840</v>
      </c>
      <c r="F1967">
        <v>1</v>
      </c>
    </row>
    <row r="1968" spans="2:6" x14ac:dyDescent="0.3">
      <c r="B1968" t="s">
        <v>1198</v>
      </c>
      <c r="D1968">
        <v>225</v>
      </c>
      <c r="E1968">
        <v>41088</v>
      </c>
      <c r="F1968">
        <v>1</v>
      </c>
    </row>
    <row r="1969" spans="2:6" x14ac:dyDescent="0.3">
      <c r="B1969" t="s">
        <v>1199</v>
      </c>
      <c r="D1969">
        <v>226</v>
      </c>
      <c r="E1969">
        <v>15360</v>
      </c>
      <c r="F1969">
        <v>1</v>
      </c>
    </row>
    <row r="1970" spans="2:6" x14ac:dyDescent="0.3">
      <c r="B1970" t="s">
        <v>1200</v>
      </c>
      <c r="D1970">
        <v>224</v>
      </c>
      <c r="E1970">
        <v>32256</v>
      </c>
      <c r="F1970">
        <v>1</v>
      </c>
    </row>
    <row r="1971" spans="2:6" x14ac:dyDescent="0.3">
      <c r="B1971" t="s">
        <v>1201</v>
      </c>
      <c r="D1971">
        <v>222</v>
      </c>
      <c r="E1971">
        <v>42240</v>
      </c>
      <c r="F1971">
        <v>1</v>
      </c>
    </row>
    <row r="1972" spans="2:6" x14ac:dyDescent="0.3">
      <c r="B1972" t="s">
        <v>1202</v>
      </c>
      <c r="D1972">
        <v>217</v>
      </c>
      <c r="E1972">
        <v>25216</v>
      </c>
      <c r="F1972">
        <v>1</v>
      </c>
    </row>
    <row r="1973" spans="2:6" x14ac:dyDescent="0.3">
      <c r="B1973" t="s">
        <v>1203</v>
      </c>
      <c r="D1973">
        <v>214</v>
      </c>
      <c r="E1973">
        <v>40128</v>
      </c>
      <c r="F1973">
        <v>1</v>
      </c>
    </row>
    <row r="1974" spans="2:6" x14ac:dyDescent="0.3">
      <c r="B1974" t="s">
        <v>1204</v>
      </c>
      <c r="D1974">
        <v>214</v>
      </c>
      <c r="E1974">
        <v>46720</v>
      </c>
      <c r="F1974">
        <v>1</v>
      </c>
    </row>
    <row r="1975" spans="2:6" x14ac:dyDescent="0.3">
      <c r="B1975" t="s">
        <v>1205</v>
      </c>
      <c r="D1975">
        <v>214</v>
      </c>
      <c r="E1975">
        <v>60608</v>
      </c>
      <c r="F1975">
        <v>1</v>
      </c>
    </row>
    <row r="1976" spans="2:6" x14ac:dyDescent="0.3">
      <c r="B1976" t="s">
        <v>1206</v>
      </c>
      <c r="D1976">
        <v>206</v>
      </c>
      <c r="E1976">
        <v>46336</v>
      </c>
      <c r="F1976">
        <v>1</v>
      </c>
    </row>
    <row r="1977" spans="2:6" x14ac:dyDescent="0.3">
      <c r="B1977" t="s">
        <v>1207</v>
      </c>
      <c r="D1977">
        <v>207</v>
      </c>
      <c r="E1977">
        <v>4864</v>
      </c>
      <c r="F1977">
        <v>1</v>
      </c>
    </row>
    <row r="1978" spans="2:6" x14ac:dyDescent="0.3">
      <c r="B1978" t="s">
        <v>1208</v>
      </c>
      <c r="D1978">
        <v>215</v>
      </c>
      <c r="E1978">
        <v>3456</v>
      </c>
      <c r="F1978">
        <v>1</v>
      </c>
    </row>
    <row r="1979" spans="2:6" x14ac:dyDescent="0.3">
      <c r="B1979" t="s">
        <v>1209</v>
      </c>
      <c r="D1979">
        <v>211</v>
      </c>
      <c r="E1979">
        <v>43520</v>
      </c>
      <c r="F1979">
        <v>1</v>
      </c>
    </row>
    <row r="1980" spans="2:6" x14ac:dyDescent="0.3">
      <c r="B1980" t="s">
        <v>1210</v>
      </c>
      <c r="D1980">
        <v>209</v>
      </c>
      <c r="E1980">
        <v>9600</v>
      </c>
      <c r="F1980">
        <v>1</v>
      </c>
    </row>
    <row r="1981" spans="2:6" x14ac:dyDescent="0.3">
      <c r="B1981" t="s">
        <v>1211</v>
      </c>
      <c r="D1981">
        <v>220</v>
      </c>
      <c r="E1981">
        <v>53760</v>
      </c>
      <c r="F1981">
        <v>1</v>
      </c>
    </row>
    <row r="1982" spans="2:6" x14ac:dyDescent="0.3">
      <c r="B1982" t="s">
        <v>1212</v>
      </c>
      <c r="D1982">
        <v>215</v>
      </c>
      <c r="E1982">
        <v>58944</v>
      </c>
      <c r="F1982">
        <v>1</v>
      </c>
    </row>
    <row r="1983" spans="2:6" x14ac:dyDescent="0.3">
      <c r="B1983" t="s">
        <v>1213</v>
      </c>
      <c r="D1983">
        <v>208</v>
      </c>
      <c r="E1983">
        <v>48064</v>
      </c>
      <c r="F1983">
        <v>1</v>
      </c>
    </row>
    <row r="1984" spans="2:6" x14ac:dyDescent="0.3">
      <c r="B1984" t="s">
        <v>1214</v>
      </c>
      <c r="D1984">
        <v>208</v>
      </c>
      <c r="E1984">
        <v>38976</v>
      </c>
      <c r="F1984">
        <v>1</v>
      </c>
    </row>
    <row r="1985" spans="2:6" x14ac:dyDescent="0.3">
      <c r="B1985" t="s">
        <v>1215</v>
      </c>
      <c r="D1985">
        <v>209</v>
      </c>
      <c r="E1985">
        <v>39680</v>
      </c>
      <c r="F1985">
        <v>1</v>
      </c>
    </row>
    <row r="1986" spans="2:6" x14ac:dyDescent="0.3">
      <c r="B1986" t="s">
        <v>1216</v>
      </c>
      <c r="D1986">
        <v>209</v>
      </c>
      <c r="E1986">
        <v>38848</v>
      </c>
      <c r="F1986">
        <v>1</v>
      </c>
    </row>
    <row r="1987" spans="2:6" x14ac:dyDescent="0.3">
      <c r="B1987" t="s">
        <v>1217</v>
      </c>
      <c r="D1987">
        <v>210</v>
      </c>
      <c r="E1987">
        <v>49536</v>
      </c>
      <c r="F1987">
        <v>1</v>
      </c>
    </row>
    <row r="1988" spans="2:6" x14ac:dyDescent="0.3">
      <c r="B1988" t="s">
        <v>1218</v>
      </c>
      <c r="D1988">
        <v>211</v>
      </c>
      <c r="E1988">
        <v>15808</v>
      </c>
      <c r="F1988">
        <v>1</v>
      </c>
    </row>
    <row r="1989" spans="2:6" x14ac:dyDescent="0.3">
      <c r="B1989" t="s">
        <v>1219</v>
      </c>
      <c r="D1989">
        <v>209</v>
      </c>
      <c r="E1989">
        <v>44800</v>
      </c>
      <c r="F1989">
        <v>1</v>
      </c>
    </row>
    <row r="1990" spans="2:6" x14ac:dyDescent="0.3">
      <c r="B1990" t="s">
        <v>1220</v>
      </c>
      <c r="D1990">
        <v>219</v>
      </c>
      <c r="E1990">
        <v>49920</v>
      </c>
      <c r="F1990">
        <v>1</v>
      </c>
    </row>
    <row r="1991" spans="2:6" x14ac:dyDescent="0.3">
      <c r="B1991" t="s">
        <v>1221</v>
      </c>
      <c r="D1991">
        <v>213</v>
      </c>
      <c r="E1991">
        <v>7168</v>
      </c>
      <c r="F1991">
        <v>1</v>
      </c>
    </row>
    <row r="1992" spans="2:6" x14ac:dyDescent="0.3">
      <c r="B1992" t="s">
        <v>1222</v>
      </c>
      <c r="D1992">
        <v>213</v>
      </c>
      <c r="E1992">
        <v>51520</v>
      </c>
      <c r="F1992">
        <v>1</v>
      </c>
    </row>
    <row r="1993" spans="2:6" x14ac:dyDescent="0.3">
      <c r="B1993" t="s">
        <v>1223</v>
      </c>
      <c r="D1993">
        <v>212</v>
      </c>
      <c r="E1993">
        <v>29248</v>
      </c>
      <c r="F1993">
        <v>1</v>
      </c>
    </row>
    <row r="1994" spans="2:6" x14ac:dyDescent="0.3">
      <c r="B1994" t="s">
        <v>1224</v>
      </c>
      <c r="D1994">
        <v>209</v>
      </c>
      <c r="E1994">
        <v>54528</v>
      </c>
      <c r="F1994">
        <v>1</v>
      </c>
    </row>
    <row r="1995" spans="2:6" x14ac:dyDescent="0.3">
      <c r="B1995" t="s">
        <v>1225</v>
      </c>
      <c r="D1995">
        <v>209</v>
      </c>
      <c r="E1995">
        <v>26304</v>
      </c>
      <c r="F1995">
        <v>1</v>
      </c>
    </row>
    <row r="1996" spans="2:6" x14ac:dyDescent="0.3">
      <c r="B1996" t="s">
        <v>1226</v>
      </c>
      <c r="D1996">
        <v>200</v>
      </c>
      <c r="E1996">
        <v>47712</v>
      </c>
      <c r="F1996">
        <v>1</v>
      </c>
    </row>
    <row r="1997" spans="2:6" x14ac:dyDescent="0.3">
      <c r="B1997" t="s">
        <v>1227</v>
      </c>
      <c r="D1997">
        <v>197</v>
      </c>
      <c r="E1997">
        <v>48352</v>
      </c>
      <c r="F1997">
        <v>1</v>
      </c>
    </row>
    <row r="1998" spans="2:6" x14ac:dyDescent="0.3">
      <c r="B1998" t="s">
        <v>1228</v>
      </c>
      <c r="D1998">
        <v>201</v>
      </c>
      <c r="E1998">
        <v>41568</v>
      </c>
      <c r="F1998">
        <v>1</v>
      </c>
    </row>
    <row r="1999" spans="2:6" x14ac:dyDescent="0.3">
      <c r="B1999" t="s">
        <v>1229</v>
      </c>
      <c r="D1999">
        <v>196</v>
      </c>
      <c r="E1999">
        <v>44480</v>
      </c>
      <c r="F1999">
        <v>1</v>
      </c>
    </row>
    <row r="2000" spans="2:6" x14ac:dyDescent="0.3">
      <c r="B2000" t="s">
        <v>1230</v>
      </c>
      <c r="D2000">
        <v>195</v>
      </c>
      <c r="E2000">
        <v>19232</v>
      </c>
      <c r="F2000">
        <v>1</v>
      </c>
    </row>
    <row r="2001" spans="2:6" x14ac:dyDescent="0.3">
      <c r="B2001" t="s">
        <v>1231</v>
      </c>
      <c r="D2001">
        <v>195</v>
      </c>
      <c r="E2001">
        <v>10304</v>
      </c>
      <c r="F2001">
        <v>1</v>
      </c>
    </row>
    <row r="2002" spans="2:6" x14ac:dyDescent="0.3">
      <c r="B2002" t="s">
        <v>1232</v>
      </c>
      <c r="D2002">
        <v>191</v>
      </c>
      <c r="E2002">
        <v>57264</v>
      </c>
      <c r="F2002">
        <v>1</v>
      </c>
    </row>
    <row r="2003" spans="2:6" x14ac:dyDescent="0.3">
      <c r="B2003" t="s">
        <v>1233</v>
      </c>
      <c r="D2003">
        <v>196</v>
      </c>
      <c r="E2003">
        <v>14784</v>
      </c>
      <c r="F2003">
        <v>1</v>
      </c>
    </row>
    <row r="2004" spans="2:6" x14ac:dyDescent="0.3">
      <c r="B2004" t="s">
        <v>1234</v>
      </c>
      <c r="D2004">
        <v>192</v>
      </c>
      <c r="E2004">
        <v>64128</v>
      </c>
      <c r="F2004">
        <v>1</v>
      </c>
    </row>
    <row r="2005" spans="2:6" x14ac:dyDescent="0.3">
      <c r="B2005" t="s">
        <v>1235</v>
      </c>
      <c r="D2005">
        <v>196</v>
      </c>
      <c r="E2005">
        <v>11936</v>
      </c>
      <c r="F2005">
        <v>1</v>
      </c>
    </row>
    <row r="2006" spans="2:6" x14ac:dyDescent="0.3">
      <c r="B2006" t="s">
        <v>1236</v>
      </c>
      <c r="D2006">
        <v>189</v>
      </c>
      <c r="E2006">
        <v>53904</v>
      </c>
      <c r="F2006">
        <v>1</v>
      </c>
    </row>
    <row r="2007" spans="2:6" x14ac:dyDescent="0.3">
      <c r="B2007" t="s">
        <v>1237</v>
      </c>
      <c r="D2007">
        <v>189</v>
      </c>
      <c r="E2007">
        <v>60352</v>
      </c>
      <c r="F2007">
        <v>0</v>
      </c>
    </row>
    <row r="2008" spans="2:6" x14ac:dyDescent="0.3">
      <c r="B2008" t="s">
        <v>1238</v>
      </c>
      <c r="D2008">
        <v>189</v>
      </c>
      <c r="E2008">
        <v>59904</v>
      </c>
      <c r="F2008">
        <v>0</v>
      </c>
    </row>
    <row r="2009" spans="2:6" x14ac:dyDescent="0.3">
      <c r="B2009" t="s">
        <v>1239</v>
      </c>
      <c r="D2009">
        <v>171</v>
      </c>
      <c r="E2009">
        <v>59904</v>
      </c>
      <c r="F2009">
        <v>1</v>
      </c>
    </row>
    <row r="2010" spans="2:6" x14ac:dyDescent="0.3">
      <c r="B2010" t="s">
        <v>1240</v>
      </c>
      <c r="D2010">
        <v>167</v>
      </c>
      <c r="E2010">
        <v>15476</v>
      </c>
      <c r="F2010">
        <v>1</v>
      </c>
    </row>
    <row r="2011" spans="2:6" x14ac:dyDescent="0.3">
      <c r="B2011" t="s">
        <v>1241</v>
      </c>
      <c r="D2011">
        <v>164</v>
      </c>
      <c r="E2011">
        <v>12940</v>
      </c>
      <c r="F2011">
        <v>1</v>
      </c>
    </row>
    <row r="2012" spans="2:6" x14ac:dyDescent="0.3">
      <c r="B2012" t="s">
        <v>1242</v>
      </c>
      <c r="D2012">
        <v>160</v>
      </c>
      <c r="E2012">
        <v>10284</v>
      </c>
      <c r="F2012">
        <v>1</v>
      </c>
    </row>
    <row r="2013" spans="2:6" x14ac:dyDescent="0.3">
      <c r="B2013" t="s">
        <v>1243</v>
      </c>
      <c r="D2013">
        <v>157</v>
      </c>
      <c r="E2013">
        <v>8532</v>
      </c>
      <c r="F2013">
        <v>1</v>
      </c>
    </row>
    <row r="2014" spans="2:6" x14ac:dyDescent="0.3">
      <c r="B2014" t="s">
        <v>1244</v>
      </c>
      <c r="D2014">
        <v>150</v>
      </c>
      <c r="E2014">
        <v>6038</v>
      </c>
      <c r="F2014">
        <v>1</v>
      </c>
    </row>
    <row r="2015" spans="2:6" x14ac:dyDescent="0.3">
      <c r="B2015" t="s">
        <v>1245</v>
      </c>
      <c r="D2015">
        <v>143</v>
      </c>
      <c r="E2015">
        <v>4025</v>
      </c>
      <c r="F2015">
        <v>1</v>
      </c>
    </row>
    <row r="2016" spans="2:6" x14ac:dyDescent="0.3">
      <c r="B2016" t="s">
        <v>1246</v>
      </c>
      <c r="D2016">
        <v>135</v>
      </c>
      <c r="E2016">
        <v>2708</v>
      </c>
      <c r="F2016">
        <v>1</v>
      </c>
    </row>
    <row r="2017" spans="2:6" x14ac:dyDescent="0.3">
      <c r="B2017" t="s">
        <v>1247</v>
      </c>
      <c r="D2017">
        <v>125</v>
      </c>
      <c r="E2017">
        <v>1457</v>
      </c>
      <c r="F2017">
        <v>1</v>
      </c>
    </row>
    <row r="2018" spans="2:6" x14ac:dyDescent="0.3">
      <c r="B2018" t="s">
        <v>1248</v>
      </c>
      <c r="D2018">
        <v>112</v>
      </c>
      <c r="E2018">
        <v>687</v>
      </c>
      <c r="F2018">
        <v>1</v>
      </c>
    </row>
    <row r="2019" spans="2:6" x14ac:dyDescent="0.3">
      <c r="B2019" t="s">
        <v>1249</v>
      </c>
      <c r="D2019">
        <v>97</v>
      </c>
      <c r="E2019">
        <v>279</v>
      </c>
      <c r="F2019">
        <v>1</v>
      </c>
    </row>
    <row r="2020" spans="2:6" x14ac:dyDescent="0.3">
      <c r="B2020" t="s">
        <v>1250</v>
      </c>
      <c r="D2020">
        <v>80</v>
      </c>
      <c r="E2020">
        <v>107</v>
      </c>
      <c r="F2020">
        <v>1</v>
      </c>
    </row>
    <row r="2021" spans="2:6" x14ac:dyDescent="0.3">
      <c r="B2021" t="s">
        <v>1251</v>
      </c>
      <c r="D2021">
        <v>52</v>
      </c>
      <c r="E2021">
        <v>58</v>
      </c>
      <c r="F2021">
        <v>1</v>
      </c>
    </row>
    <row r="2022" spans="2:6" x14ac:dyDescent="0.3">
      <c r="B2022" t="s">
        <v>1252</v>
      </c>
      <c r="D2022">
        <v>26</v>
      </c>
      <c r="E2022">
        <v>30</v>
      </c>
      <c r="F2022">
        <v>1</v>
      </c>
    </row>
    <row r="2023" spans="2:6" x14ac:dyDescent="0.3">
      <c r="B2023" t="s">
        <v>1253</v>
      </c>
      <c r="D2023">
        <v>11</v>
      </c>
      <c r="E2023">
        <v>13</v>
      </c>
      <c r="F2023">
        <v>1</v>
      </c>
    </row>
    <row r="2024" spans="2:6" x14ac:dyDescent="0.3">
      <c r="B2024" t="s">
        <v>1254</v>
      </c>
      <c r="D2024">
        <v>6</v>
      </c>
      <c r="E2024">
        <v>5</v>
      </c>
      <c r="F2024">
        <v>1</v>
      </c>
    </row>
    <row r="2025" spans="2:6" x14ac:dyDescent="0.3">
      <c r="B2025" t="s">
        <v>1255</v>
      </c>
      <c r="D2025">
        <v>3</v>
      </c>
      <c r="E2025">
        <v>2</v>
      </c>
      <c r="F2025">
        <v>1</v>
      </c>
    </row>
    <row r="2026" spans="2:6" x14ac:dyDescent="0.3">
      <c r="B2026" t="s">
        <v>681</v>
      </c>
      <c r="D2026">
        <v>1</v>
      </c>
      <c r="E2026">
        <v>1</v>
      </c>
      <c r="F2026">
        <v>1</v>
      </c>
    </row>
    <row r="2027" spans="2:6" x14ac:dyDescent="0.3">
      <c r="B2027" t="s">
        <v>676</v>
      </c>
      <c r="D2027">
        <v>1</v>
      </c>
      <c r="E2027">
        <v>0</v>
      </c>
      <c r="F2027">
        <v>1</v>
      </c>
    </row>
    <row r="2028" spans="2:6" x14ac:dyDescent="0.3">
      <c r="B2028" t="s">
        <v>42</v>
      </c>
      <c r="D2028">
        <v>0</v>
      </c>
      <c r="E2028">
        <v>0</v>
      </c>
      <c r="F2028">
        <v>1</v>
      </c>
    </row>
    <row r="2029" spans="2:6" x14ac:dyDescent="0.3">
      <c r="B2029" t="s">
        <v>42</v>
      </c>
      <c r="D2029">
        <v>0</v>
      </c>
      <c r="E2029">
        <v>0</v>
      </c>
      <c r="F2029">
        <v>1</v>
      </c>
    </row>
    <row r="2030" spans="2:6" x14ac:dyDescent="0.3">
      <c r="B2030" t="s">
        <v>42</v>
      </c>
      <c r="D2030">
        <v>0</v>
      </c>
      <c r="E2030">
        <v>0</v>
      </c>
      <c r="F2030">
        <v>1</v>
      </c>
    </row>
    <row r="2031" spans="2:6" x14ac:dyDescent="0.3">
      <c r="B2031" t="s">
        <v>42</v>
      </c>
      <c r="D2031">
        <v>0</v>
      </c>
      <c r="E2031">
        <v>0</v>
      </c>
      <c r="F2031">
        <v>1</v>
      </c>
    </row>
    <row r="2032" spans="2:6" x14ac:dyDescent="0.3">
      <c r="B2032" t="s">
        <v>42</v>
      </c>
      <c r="D2032">
        <v>0</v>
      </c>
      <c r="E2032">
        <v>0</v>
      </c>
      <c r="F2032">
        <v>1</v>
      </c>
    </row>
    <row r="2033" spans="2:6" x14ac:dyDescent="0.3">
      <c r="B2033" t="s">
        <v>42</v>
      </c>
      <c r="D2033">
        <v>0</v>
      </c>
      <c r="E2033">
        <v>0</v>
      </c>
      <c r="F2033">
        <v>1</v>
      </c>
    </row>
    <row r="2034" spans="2:6" x14ac:dyDescent="0.3">
      <c r="B2034" t="s">
        <v>42</v>
      </c>
      <c r="D2034">
        <v>0</v>
      </c>
      <c r="E2034">
        <v>0</v>
      </c>
      <c r="F2034">
        <v>1</v>
      </c>
    </row>
    <row r="2035" spans="2:6" x14ac:dyDescent="0.3">
      <c r="B2035" t="s">
        <v>42</v>
      </c>
      <c r="D2035">
        <v>0</v>
      </c>
      <c r="E2035">
        <v>0</v>
      </c>
      <c r="F2035">
        <v>1</v>
      </c>
    </row>
    <row r="2036" spans="2:6" x14ac:dyDescent="0.3">
      <c r="B2036" t="s">
        <v>42</v>
      </c>
      <c r="D2036">
        <v>0</v>
      </c>
      <c r="E2036">
        <v>0</v>
      </c>
      <c r="F2036">
        <v>1</v>
      </c>
    </row>
    <row r="2037" spans="2:6" x14ac:dyDescent="0.3">
      <c r="B2037" t="s">
        <v>42</v>
      </c>
      <c r="D2037">
        <v>0</v>
      </c>
      <c r="E2037">
        <v>0</v>
      </c>
      <c r="F2037">
        <v>1</v>
      </c>
    </row>
    <row r="2038" spans="2:6" x14ac:dyDescent="0.3">
      <c r="B2038" t="s">
        <v>42</v>
      </c>
      <c r="D2038">
        <v>0</v>
      </c>
      <c r="E2038">
        <v>0</v>
      </c>
      <c r="F2038">
        <v>1</v>
      </c>
    </row>
    <row r="2039" spans="2:6" x14ac:dyDescent="0.3">
      <c r="B2039" t="s">
        <v>42</v>
      </c>
      <c r="D2039">
        <v>0</v>
      </c>
      <c r="E2039">
        <v>0</v>
      </c>
      <c r="F2039">
        <v>1</v>
      </c>
    </row>
    <row r="2040" spans="2:6" x14ac:dyDescent="0.3">
      <c r="B2040" t="s">
        <v>42</v>
      </c>
      <c r="D2040">
        <v>0</v>
      </c>
      <c r="E2040">
        <v>0</v>
      </c>
      <c r="F2040">
        <v>1</v>
      </c>
    </row>
    <row r="2041" spans="2:6" x14ac:dyDescent="0.3">
      <c r="B2041" t="s">
        <v>42</v>
      </c>
      <c r="D2041">
        <v>0</v>
      </c>
      <c r="E2041">
        <v>0</v>
      </c>
      <c r="F2041">
        <v>1</v>
      </c>
    </row>
    <row r="2042" spans="2:6" x14ac:dyDescent="0.3">
      <c r="B2042" t="s">
        <v>42</v>
      </c>
      <c r="D2042">
        <v>0</v>
      </c>
      <c r="E2042">
        <v>0</v>
      </c>
      <c r="F2042">
        <v>1</v>
      </c>
    </row>
    <row r="2043" spans="2:6" x14ac:dyDescent="0.3">
      <c r="B2043" t="s">
        <v>42</v>
      </c>
      <c r="D2043">
        <v>0</v>
      </c>
      <c r="E2043">
        <v>0</v>
      </c>
      <c r="F2043">
        <v>1</v>
      </c>
    </row>
    <row r="2044" spans="2:6" x14ac:dyDescent="0.3">
      <c r="B2044" t="s">
        <v>42</v>
      </c>
      <c r="D2044">
        <v>0</v>
      </c>
      <c r="E2044">
        <v>0</v>
      </c>
      <c r="F2044">
        <v>1</v>
      </c>
    </row>
    <row r="2045" spans="2:6" x14ac:dyDescent="0.3">
      <c r="B2045" t="s">
        <v>42</v>
      </c>
      <c r="D2045">
        <v>0</v>
      </c>
      <c r="E2045">
        <v>0</v>
      </c>
      <c r="F2045">
        <v>1</v>
      </c>
    </row>
    <row r="2046" spans="2:6" x14ac:dyDescent="0.3">
      <c r="B2046" t="s">
        <v>42</v>
      </c>
      <c r="D2046">
        <v>0</v>
      </c>
      <c r="E2046">
        <v>0</v>
      </c>
      <c r="F2046">
        <v>1</v>
      </c>
    </row>
    <row r="2047" spans="2:6" x14ac:dyDescent="0.3">
      <c r="B2047" t="s">
        <v>42</v>
      </c>
      <c r="D2047">
        <v>0</v>
      </c>
      <c r="E2047">
        <v>0</v>
      </c>
      <c r="F2047">
        <v>1</v>
      </c>
    </row>
    <row r="2048" spans="2:6" x14ac:dyDescent="0.3">
      <c r="B2048" t="s">
        <v>42</v>
      </c>
      <c r="D2048">
        <v>0</v>
      </c>
      <c r="E2048">
        <v>0</v>
      </c>
      <c r="F2048">
        <v>1</v>
      </c>
    </row>
    <row r="2049" spans="2:6" x14ac:dyDescent="0.3">
      <c r="B2049" t="s">
        <v>42</v>
      </c>
      <c r="D2049">
        <v>0</v>
      </c>
      <c r="E2049">
        <v>0</v>
      </c>
      <c r="F2049">
        <v>1</v>
      </c>
    </row>
    <row r="2050" spans="2:6" x14ac:dyDescent="0.3">
      <c r="B2050" t="s">
        <v>42</v>
      </c>
      <c r="D2050">
        <v>0</v>
      </c>
      <c r="E2050">
        <v>0</v>
      </c>
      <c r="F2050">
        <v>1</v>
      </c>
    </row>
    <row r="2051" spans="2:6" x14ac:dyDescent="0.3">
      <c r="B2051" t="s">
        <v>42</v>
      </c>
      <c r="D2051">
        <v>0</v>
      </c>
      <c r="E2051">
        <v>0</v>
      </c>
      <c r="F2051">
        <v>1</v>
      </c>
    </row>
    <row r="2052" spans="2:6" x14ac:dyDescent="0.3">
      <c r="B2052" t="s">
        <v>42</v>
      </c>
      <c r="D2052">
        <v>0</v>
      </c>
      <c r="E2052">
        <v>0</v>
      </c>
      <c r="F2052">
        <v>1</v>
      </c>
    </row>
    <row r="2053" spans="2:6" x14ac:dyDescent="0.3">
      <c r="B2053" t="s">
        <v>42</v>
      </c>
      <c r="D2053">
        <v>0</v>
      </c>
      <c r="E2053">
        <v>0</v>
      </c>
      <c r="F2053">
        <v>1</v>
      </c>
    </row>
    <row r="2054" spans="2:6" x14ac:dyDescent="0.3">
      <c r="B2054" t="s">
        <v>42</v>
      </c>
      <c r="D2054">
        <v>0</v>
      </c>
      <c r="E2054">
        <v>0</v>
      </c>
      <c r="F2054">
        <v>1</v>
      </c>
    </row>
    <row r="2055" spans="2:6" x14ac:dyDescent="0.3">
      <c r="B2055" t="s">
        <v>42</v>
      </c>
      <c r="D2055">
        <v>0</v>
      </c>
      <c r="E2055">
        <v>0</v>
      </c>
      <c r="F2055">
        <v>1</v>
      </c>
    </row>
    <row r="2056" spans="2:6" x14ac:dyDescent="0.3">
      <c r="B2056" t="s">
        <v>42</v>
      </c>
      <c r="D2056">
        <v>0</v>
      </c>
      <c r="E2056">
        <v>0</v>
      </c>
      <c r="F2056">
        <v>1</v>
      </c>
    </row>
    <row r="2057" spans="2:6" x14ac:dyDescent="0.3">
      <c r="B2057" t="s">
        <v>42</v>
      </c>
      <c r="D2057">
        <v>0</v>
      </c>
      <c r="E2057">
        <v>0</v>
      </c>
      <c r="F2057">
        <v>1</v>
      </c>
    </row>
    <row r="2058" spans="2:6" x14ac:dyDescent="0.3">
      <c r="B2058" t="s">
        <v>42</v>
      </c>
      <c r="D2058">
        <v>0</v>
      </c>
      <c r="E2058">
        <v>0</v>
      </c>
      <c r="F2058">
        <v>1</v>
      </c>
    </row>
    <row r="2059" spans="2:6" x14ac:dyDescent="0.3">
      <c r="B2059" t="s">
        <v>42</v>
      </c>
      <c r="D2059">
        <v>0</v>
      </c>
      <c r="E2059">
        <v>0</v>
      </c>
      <c r="F2059">
        <v>1</v>
      </c>
    </row>
    <row r="2060" spans="2:6" x14ac:dyDescent="0.3">
      <c r="B2060" t="s">
        <v>42</v>
      </c>
      <c r="D2060">
        <v>0</v>
      </c>
      <c r="E2060">
        <v>0</v>
      </c>
      <c r="F2060">
        <v>1</v>
      </c>
    </row>
    <row r="2061" spans="2:6" x14ac:dyDescent="0.3">
      <c r="B2061" t="s">
        <v>42</v>
      </c>
      <c r="D2061">
        <v>0</v>
      </c>
      <c r="E2061">
        <v>0</v>
      </c>
      <c r="F2061">
        <v>1</v>
      </c>
    </row>
    <row r="2062" spans="2:6" x14ac:dyDescent="0.3">
      <c r="B2062" t="s">
        <v>42</v>
      </c>
      <c r="D2062">
        <v>0</v>
      </c>
      <c r="E2062">
        <v>0</v>
      </c>
      <c r="F2062">
        <v>1</v>
      </c>
    </row>
    <row r="2063" spans="2:6" x14ac:dyDescent="0.3">
      <c r="B2063" t="s">
        <v>42</v>
      </c>
      <c r="D2063">
        <v>0</v>
      </c>
      <c r="E2063">
        <v>0</v>
      </c>
      <c r="F2063">
        <v>1</v>
      </c>
    </row>
    <row r="2064" spans="2:6" x14ac:dyDescent="0.3">
      <c r="B2064" t="s">
        <v>42</v>
      </c>
      <c r="D2064">
        <v>0</v>
      </c>
      <c r="E2064">
        <v>0</v>
      </c>
      <c r="F2064">
        <v>1</v>
      </c>
    </row>
    <row r="2065" spans="2:6" x14ac:dyDescent="0.3">
      <c r="B2065" t="s">
        <v>42</v>
      </c>
      <c r="D2065">
        <v>0</v>
      </c>
      <c r="E2065">
        <v>0</v>
      </c>
      <c r="F2065">
        <v>1</v>
      </c>
    </row>
    <row r="2066" spans="2:6" x14ac:dyDescent="0.3">
      <c r="B2066" t="s">
        <v>42</v>
      </c>
      <c r="D2066">
        <v>0</v>
      </c>
      <c r="E2066">
        <v>0</v>
      </c>
      <c r="F2066">
        <v>1</v>
      </c>
    </row>
    <row r="2067" spans="2:6" x14ac:dyDescent="0.3">
      <c r="B2067" t="s">
        <v>42</v>
      </c>
      <c r="D2067">
        <v>0</v>
      </c>
      <c r="E2067">
        <v>0</v>
      </c>
      <c r="F2067">
        <v>1</v>
      </c>
    </row>
    <row r="2068" spans="2:6" x14ac:dyDescent="0.3">
      <c r="B2068" t="s">
        <v>42</v>
      </c>
      <c r="D2068">
        <v>0</v>
      </c>
      <c r="E2068">
        <v>0</v>
      </c>
      <c r="F2068">
        <v>1</v>
      </c>
    </row>
    <row r="2069" spans="2:6" x14ac:dyDescent="0.3">
      <c r="B2069" t="s">
        <v>42</v>
      </c>
      <c r="D2069">
        <v>0</v>
      </c>
      <c r="E2069">
        <v>0</v>
      </c>
      <c r="F2069">
        <v>1</v>
      </c>
    </row>
    <row r="2070" spans="2:6" x14ac:dyDescent="0.3">
      <c r="B2070" t="s">
        <v>42</v>
      </c>
      <c r="D2070">
        <v>0</v>
      </c>
      <c r="E2070">
        <v>0</v>
      </c>
      <c r="F2070">
        <v>1</v>
      </c>
    </row>
    <row r="2071" spans="2:6" x14ac:dyDescent="0.3">
      <c r="B2071" t="s">
        <v>42</v>
      </c>
      <c r="D2071">
        <v>0</v>
      </c>
      <c r="E2071">
        <v>0</v>
      </c>
      <c r="F2071">
        <v>1</v>
      </c>
    </row>
    <row r="2072" spans="2:6" x14ac:dyDescent="0.3">
      <c r="B2072" t="s">
        <v>42</v>
      </c>
      <c r="D2072">
        <v>0</v>
      </c>
      <c r="E2072">
        <v>0</v>
      </c>
      <c r="F2072">
        <v>1</v>
      </c>
    </row>
    <row r="2073" spans="2:6" x14ac:dyDescent="0.3">
      <c r="B2073" t="s">
        <v>42</v>
      </c>
      <c r="D2073">
        <v>0</v>
      </c>
      <c r="E2073">
        <v>0</v>
      </c>
      <c r="F2073">
        <v>1</v>
      </c>
    </row>
    <row r="2074" spans="2:6" x14ac:dyDescent="0.3">
      <c r="B2074" t="s">
        <v>42</v>
      </c>
      <c r="D2074">
        <v>0</v>
      </c>
      <c r="E2074">
        <v>0</v>
      </c>
      <c r="F2074">
        <v>1</v>
      </c>
    </row>
    <row r="2075" spans="2:6" x14ac:dyDescent="0.3">
      <c r="B2075" t="s">
        <v>42</v>
      </c>
      <c r="D2075">
        <v>0</v>
      </c>
      <c r="E2075">
        <v>0</v>
      </c>
      <c r="F2075">
        <v>1</v>
      </c>
    </row>
    <row r="2076" spans="2:6" x14ac:dyDescent="0.3">
      <c r="B2076" t="s">
        <v>42</v>
      </c>
      <c r="D2076">
        <v>0</v>
      </c>
      <c r="E2076">
        <v>0</v>
      </c>
      <c r="F2076">
        <v>1</v>
      </c>
    </row>
    <row r="2077" spans="2:6" x14ac:dyDescent="0.3">
      <c r="B2077" t="s">
        <v>42</v>
      </c>
      <c r="D2077">
        <v>0</v>
      </c>
      <c r="E2077">
        <v>0</v>
      </c>
      <c r="F2077">
        <v>1</v>
      </c>
    </row>
    <row r="2078" spans="2:6" x14ac:dyDescent="0.3">
      <c r="B2078" t="s">
        <v>42</v>
      </c>
      <c r="D2078">
        <v>0</v>
      </c>
      <c r="E2078">
        <v>0</v>
      </c>
      <c r="F2078">
        <v>1</v>
      </c>
    </row>
    <row r="2079" spans="2:6" x14ac:dyDescent="0.3">
      <c r="B2079" t="s">
        <v>42</v>
      </c>
      <c r="D2079">
        <v>0</v>
      </c>
      <c r="E2079">
        <v>0</v>
      </c>
      <c r="F2079">
        <v>1</v>
      </c>
    </row>
    <row r="2080" spans="2:6" x14ac:dyDescent="0.3">
      <c r="B2080" t="s">
        <v>42</v>
      </c>
      <c r="D2080">
        <v>0</v>
      </c>
      <c r="E2080">
        <v>0</v>
      </c>
      <c r="F2080">
        <v>1</v>
      </c>
    </row>
    <row r="2081" spans="2:6" x14ac:dyDescent="0.3">
      <c r="B2081" t="s">
        <v>42</v>
      </c>
      <c r="D2081">
        <v>0</v>
      </c>
      <c r="E2081">
        <v>0</v>
      </c>
      <c r="F2081">
        <v>1</v>
      </c>
    </row>
    <row r="2082" spans="2:6" x14ac:dyDescent="0.3">
      <c r="B2082" t="s">
        <v>42</v>
      </c>
      <c r="D2082">
        <v>0</v>
      </c>
      <c r="E2082">
        <v>0</v>
      </c>
      <c r="F2082">
        <v>1</v>
      </c>
    </row>
    <row r="2083" spans="2:6" x14ac:dyDescent="0.3">
      <c r="B2083" t="s">
        <v>42</v>
      </c>
      <c r="D2083">
        <v>0</v>
      </c>
      <c r="E2083">
        <v>0</v>
      </c>
      <c r="F2083">
        <v>1</v>
      </c>
    </row>
    <row r="2084" spans="2:6" x14ac:dyDescent="0.3">
      <c r="B2084" t="s">
        <v>42</v>
      </c>
      <c r="D2084">
        <v>0</v>
      </c>
      <c r="E2084">
        <v>0</v>
      </c>
      <c r="F2084">
        <v>1</v>
      </c>
    </row>
    <row r="2085" spans="2:6" x14ac:dyDescent="0.3">
      <c r="B2085" t="s">
        <v>42</v>
      </c>
      <c r="D2085">
        <v>0</v>
      </c>
      <c r="E2085">
        <v>0</v>
      </c>
      <c r="F2085">
        <v>1</v>
      </c>
    </row>
    <row r="2086" spans="2:6" x14ac:dyDescent="0.3">
      <c r="B2086" t="s">
        <v>42</v>
      </c>
      <c r="D2086">
        <v>0</v>
      </c>
      <c r="E2086">
        <v>0</v>
      </c>
      <c r="F2086">
        <v>1</v>
      </c>
    </row>
    <row r="2087" spans="2:6" x14ac:dyDescent="0.3">
      <c r="B2087" t="s">
        <v>42</v>
      </c>
      <c r="D2087">
        <v>0</v>
      </c>
      <c r="E2087">
        <v>0</v>
      </c>
      <c r="F2087">
        <v>1</v>
      </c>
    </row>
    <row r="2088" spans="2:6" x14ac:dyDescent="0.3">
      <c r="B2088" t="s">
        <v>42</v>
      </c>
      <c r="D2088">
        <v>0</v>
      </c>
      <c r="E2088">
        <v>0</v>
      </c>
      <c r="F2088">
        <v>1</v>
      </c>
    </row>
    <row r="2089" spans="2:6" x14ac:dyDescent="0.3">
      <c r="B2089" t="s">
        <v>42</v>
      </c>
      <c r="D2089">
        <v>0</v>
      </c>
      <c r="E2089">
        <v>0</v>
      </c>
      <c r="F2089">
        <v>1</v>
      </c>
    </row>
    <row r="2090" spans="2:6" x14ac:dyDescent="0.3">
      <c r="B2090" t="s">
        <v>42</v>
      </c>
      <c r="D2090">
        <v>0</v>
      </c>
      <c r="E2090">
        <v>0</v>
      </c>
      <c r="F2090">
        <v>1</v>
      </c>
    </row>
    <row r="2091" spans="2:6" x14ac:dyDescent="0.3">
      <c r="B2091" t="s">
        <v>42</v>
      </c>
      <c r="D2091">
        <v>0</v>
      </c>
      <c r="E2091">
        <v>0</v>
      </c>
      <c r="F2091">
        <v>1</v>
      </c>
    </row>
    <row r="2092" spans="2:6" x14ac:dyDescent="0.3">
      <c r="B2092" t="s">
        <v>42</v>
      </c>
      <c r="D2092">
        <v>0</v>
      </c>
      <c r="E2092">
        <v>0</v>
      </c>
      <c r="F2092">
        <v>1</v>
      </c>
    </row>
    <row r="2093" spans="2:6" x14ac:dyDescent="0.3">
      <c r="B2093" t="s">
        <v>42</v>
      </c>
      <c r="D2093">
        <v>0</v>
      </c>
      <c r="E2093">
        <v>0</v>
      </c>
      <c r="F2093">
        <v>1</v>
      </c>
    </row>
    <row r="2094" spans="2:6" x14ac:dyDescent="0.3">
      <c r="B2094" t="s">
        <v>42</v>
      </c>
      <c r="D2094">
        <v>0</v>
      </c>
      <c r="E2094">
        <v>0</v>
      </c>
      <c r="F2094">
        <v>1</v>
      </c>
    </row>
    <row r="2095" spans="2:6" x14ac:dyDescent="0.3">
      <c r="B2095" t="s">
        <v>42</v>
      </c>
      <c r="D2095">
        <v>0</v>
      </c>
      <c r="E2095">
        <v>0</v>
      </c>
      <c r="F2095">
        <v>1</v>
      </c>
    </row>
    <row r="2096" spans="2:6" x14ac:dyDescent="0.3">
      <c r="B2096" t="s">
        <v>42</v>
      </c>
      <c r="D2096">
        <v>0</v>
      </c>
      <c r="E2096">
        <v>0</v>
      </c>
      <c r="F2096">
        <v>1</v>
      </c>
    </row>
    <row r="2097" spans="2:6" x14ac:dyDescent="0.3">
      <c r="B2097" t="s">
        <v>676</v>
      </c>
      <c r="D2097">
        <v>1</v>
      </c>
      <c r="E2097">
        <v>0</v>
      </c>
      <c r="F2097">
        <v>1</v>
      </c>
    </row>
    <row r="2098" spans="2:6" x14ac:dyDescent="0.3">
      <c r="B2098" t="s">
        <v>209</v>
      </c>
      <c r="D2098">
        <v>3</v>
      </c>
      <c r="E2098">
        <v>1</v>
      </c>
      <c r="F2098">
        <v>1</v>
      </c>
    </row>
    <row r="2099" spans="2:6" x14ac:dyDescent="0.3">
      <c r="B2099" t="s">
        <v>1256</v>
      </c>
      <c r="D2099">
        <v>5</v>
      </c>
      <c r="E2099">
        <v>5</v>
      </c>
      <c r="F2099">
        <v>1</v>
      </c>
    </row>
    <row r="2100" spans="2:6" x14ac:dyDescent="0.3">
      <c r="B2100" t="s">
        <v>1257</v>
      </c>
      <c r="D2100">
        <v>5</v>
      </c>
      <c r="E2100">
        <v>13</v>
      </c>
      <c r="F2100">
        <v>1</v>
      </c>
    </row>
    <row r="2101" spans="2:6" x14ac:dyDescent="0.3">
      <c r="B2101" t="s">
        <v>1258</v>
      </c>
      <c r="D2101">
        <v>15</v>
      </c>
      <c r="E2101">
        <v>19</v>
      </c>
      <c r="F2101">
        <v>1</v>
      </c>
    </row>
    <row r="2102" spans="2:6" x14ac:dyDescent="0.3">
      <c r="B2102" t="s">
        <v>1259</v>
      </c>
      <c r="D2102">
        <v>32</v>
      </c>
      <c r="E2102">
        <v>48</v>
      </c>
      <c r="F2102">
        <v>1</v>
      </c>
    </row>
    <row r="2103" spans="2:6" x14ac:dyDescent="0.3">
      <c r="B2103" t="s">
        <v>1260</v>
      </c>
      <c r="D2103">
        <v>77</v>
      </c>
      <c r="E2103">
        <v>148</v>
      </c>
      <c r="F2103">
        <v>1</v>
      </c>
    </row>
    <row r="2104" spans="2:6" x14ac:dyDescent="0.3">
      <c r="B2104" t="s">
        <v>1261</v>
      </c>
      <c r="D2104">
        <v>94</v>
      </c>
      <c r="E2104">
        <v>348</v>
      </c>
      <c r="F2104">
        <v>1</v>
      </c>
    </row>
    <row r="2105" spans="2:6" x14ac:dyDescent="0.3">
      <c r="B2105" t="s">
        <v>1262</v>
      </c>
      <c r="D2105">
        <v>109</v>
      </c>
      <c r="E2105">
        <v>638</v>
      </c>
      <c r="F2105">
        <v>1</v>
      </c>
    </row>
    <row r="2106" spans="2:6" x14ac:dyDescent="0.3">
      <c r="B2106" t="s">
        <v>1263</v>
      </c>
      <c r="D2106">
        <v>124</v>
      </c>
      <c r="E2106">
        <v>1544</v>
      </c>
      <c r="F2106">
        <v>1</v>
      </c>
    </row>
    <row r="2107" spans="2:6" x14ac:dyDescent="0.3">
      <c r="B2107" t="s">
        <v>1264</v>
      </c>
      <c r="D2107">
        <v>134</v>
      </c>
      <c r="E2107">
        <v>2209</v>
      </c>
      <c r="F2107">
        <v>1</v>
      </c>
    </row>
    <row r="2108" spans="2:6" x14ac:dyDescent="0.3">
      <c r="B2108" t="s">
        <v>1265</v>
      </c>
      <c r="D2108">
        <v>139</v>
      </c>
      <c r="E2108">
        <v>3178</v>
      </c>
      <c r="F2108">
        <v>1</v>
      </c>
    </row>
    <row r="2109" spans="2:6" x14ac:dyDescent="0.3">
      <c r="B2109" t="s">
        <v>1266</v>
      </c>
      <c r="D2109">
        <v>149</v>
      </c>
      <c r="E2109">
        <v>5718</v>
      </c>
      <c r="F2109">
        <v>1</v>
      </c>
    </row>
    <row r="2110" spans="2:6" x14ac:dyDescent="0.3">
      <c r="B2110" t="s">
        <v>1267</v>
      </c>
      <c r="D2110">
        <v>149</v>
      </c>
      <c r="E2110">
        <v>6432</v>
      </c>
      <c r="F2110">
        <v>1</v>
      </c>
    </row>
    <row r="2111" spans="2:6" x14ac:dyDescent="0.3">
      <c r="B2111" t="s">
        <v>1268</v>
      </c>
      <c r="D2111">
        <v>153</v>
      </c>
      <c r="E2111">
        <v>6968</v>
      </c>
      <c r="F2111">
        <v>1</v>
      </c>
    </row>
    <row r="2112" spans="2:6" x14ac:dyDescent="0.3">
      <c r="B2112" t="s">
        <v>1269</v>
      </c>
      <c r="D2112">
        <v>160</v>
      </c>
      <c r="E2112">
        <v>27648</v>
      </c>
      <c r="F2112">
        <v>1</v>
      </c>
    </row>
    <row r="2113" spans="2:6" x14ac:dyDescent="0.3">
      <c r="B2113" t="s">
        <v>1270</v>
      </c>
      <c r="D2113">
        <v>172</v>
      </c>
      <c r="E2113">
        <v>21800</v>
      </c>
      <c r="F2113">
        <v>1</v>
      </c>
    </row>
    <row r="2114" spans="2:6" x14ac:dyDescent="0.3">
      <c r="B2114" t="s">
        <v>1271</v>
      </c>
      <c r="D2114">
        <v>175</v>
      </c>
      <c r="E2114">
        <v>18792</v>
      </c>
      <c r="F2114">
        <v>1</v>
      </c>
    </row>
    <row r="2115" spans="2:6" x14ac:dyDescent="0.3">
      <c r="B2115" t="s">
        <v>1272</v>
      </c>
      <c r="D2115">
        <v>170</v>
      </c>
      <c r="E2115">
        <v>16696</v>
      </c>
      <c r="F2115">
        <v>1</v>
      </c>
    </row>
    <row r="2116" spans="2:6" x14ac:dyDescent="0.3">
      <c r="B2116" t="s">
        <v>1273</v>
      </c>
      <c r="D2116">
        <v>179</v>
      </c>
      <c r="E2116">
        <v>30288</v>
      </c>
      <c r="F2116">
        <v>1</v>
      </c>
    </row>
    <row r="2117" spans="2:6" x14ac:dyDescent="0.3">
      <c r="B2117" t="s">
        <v>1274</v>
      </c>
      <c r="D2117">
        <v>177</v>
      </c>
      <c r="E2117">
        <v>37696</v>
      </c>
      <c r="F2117">
        <v>1</v>
      </c>
    </row>
    <row r="2118" spans="2:6" x14ac:dyDescent="0.3">
      <c r="B2118" t="s">
        <v>1275</v>
      </c>
      <c r="D2118">
        <v>184</v>
      </c>
      <c r="E2118">
        <v>53216</v>
      </c>
      <c r="F2118">
        <v>1</v>
      </c>
    </row>
    <row r="2119" spans="2:6" x14ac:dyDescent="0.3">
      <c r="B2119" t="s">
        <v>1276</v>
      </c>
      <c r="D2119">
        <v>187</v>
      </c>
      <c r="E2119">
        <v>49280</v>
      </c>
      <c r="F2119">
        <v>1</v>
      </c>
    </row>
    <row r="2120" spans="2:6" x14ac:dyDescent="0.3">
      <c r="B2120" t="s">
        <v>1277</v>
      </c>
      <c r="D2120">
        <v>191</v>
      </c>
      <c r="E2120">
        <v>60880</v>
      </c>
      <c r="F2120">
        <v>1</v>
      </c>
    </row>
    <row r="2121" spans="2:6" x14ac:dyDescent="0.3">
      <c r="B2121" t="s">
        <v>1278</v>
      </c>
      <c r="D2121">
        <v>189</v>
      </c>
      <c r="E2121">
        <v>55328</v>
      </c>
      <c r="F2121">
        <v>1</v>
      </c>
    </row>
    <row r="2122" spans="2:6" x14ac:dyDescent="0.3">
      <c r="B2122" t="s">
        <v>1279</v>
      </c>
      <c r="D2122">
        <v>195</v>
      </c>
      <c r="E2122">
        <v>14304</v>
      </c>
      <c r="F2122">
        <v>1</v>
      </c>
    </row>
    <row r="2123" spans="2:6" x14ac:dyDescent="0.3">
      <c r="B2123" t="s">
        <v>1280</v>
      </c>
      <c r="D2123">
        <v>195</v>
      </c>
      <c r="E2123">
        <v>44992</v>
      </c>
      <c r="F2123">
        <v>1</v>
      </c>
    </row>
    <row r="2124" spans="2:6" x14ac:dyDescent="0.3">
      <c r="B2124" t="s">
        <v>1281</v>
      </c>
      <c r="D2124">
        <v>200</v>
      </c>
      <c r="E2124">
        <v>26400</v>
      </c>
      <c r="F2124">
        <v>1</v>
      </c>
    </row>
    <row r="2125" spans="2:6" x14ac:dyDescent="0.3">
      <c r="B2125" t="s">
        <v>1282</v>
      </c>
      <c r="D2125">
        <v>199</v>
      </c>
      <c r="E2125">
        <v>37856</v>
      </c>
      <c r="F2125">
        <v>1</v>
      </c>
    </row>
    <row r="2126" spans="2:6" x14ac:dyDescent="0.3">
      <c r="B2126" t="s">
        <v>1283</v>
      </c>
      <c r="D2126">
        <v>199</v>
      </c>
      <c r="E2126">
        <v>60512</v>
      </c>
      <c r="F2126">
        <v>1</v>
      </c>
    </row>
    <row r="2127" spans="2:6" x14ac:dyDescent="0.3">
      <c r="B2127" t="s">
        <v>1284</v>
      </c>
      <c r="D2127">
        <v>202</v>
      </c>
      <c r="E2127">
        <v>47712</v>
      </c>
      <c r="F2127">
        <v>1</v>
      </c>
    </row>
    <row r="2128" spans="2:6" x14ac:dyDescent="0.3">
      <c r="B2128" t="s">
        <v>1285</v>
      </c>
      <c r="D2128">
        <v>202</v>
      </c>
      <c r="E2128">
        <v>65088</v>
      </c>
      <c r="F2128">
        <v>1</v>
      </c>
    </row>
    <row r="2129" spans="2:6" x14ac:dyDescent="0.3">
      <c r="B2129" t="s">
        <v>1286</v>
      </c>
      <c r="D2129">
        <v>199</v>
      </c>
      <c r="E2129">
        <v>52000</v>
      </c>
      <c r="F2129">
        <v>1</v>
      </c>
    </row>
    <row r="2130" spans="2:6" x14ac:dyDescent="0.3">
      <c r="B2130" t="s">
        <v>1287</v>
      </c>
      <c r="D2130">
        <v>204</v>
      </c>
      <c r="E2130">
        <v>18432</v>
      </c>
      <c r="F2130">
        <v>1</v>
      </c>
    </row>
    <row r="2131" spans="2:6" x14ac:dyDescent="0.3">
      <c r="B2131" t="s">
        <v>1288</v>
      </c>
      <c r="D2131">
        <v>200</v>
      </c>
      <c r="E2131">
        <v>46208</v>
      </c>
      <c r="F2131">
        <v>1</v>
      </c>
    </row>
    <row r="2132" spans="2:6" x14ac:dyDescent="0.3">
      <c r="B2132" t="s">
        <v>1289</v>
      </c>
      <c r="D2132">
        <v>199</v>
      </c>
      <c r="E2132">
        <v>49504</v>
      </c>
      <c r="F2132">
        <v>1</v>
      </c>
    </row>
    <row r="2133" spans="2:6" x14ac:dyDescent="0.3">
      <c r="B2133" t="s">
        <v>1290</v>
      </c>
      <c r="D2133">
        <v>201</v>
      </c>
      <c r="E2133">
        <v>59648</v>
      </c>
      <c r="F2133">
        <v>1</v>
      </c>
    </row>
    <row r="2134" spans="2:6" x14ac:dyDescent="0.3">
      <c r="B2134" t="s">
        <v>1291</v>
      </c>
      <c r="D2134">
        <v>212</v>
      </c>
      <c r="E2134">
        <v>19072</v>
      </c>
      <c r="F2134">
        <v>1</v>
      </c>
    </row>
    <row r="2135" spans="2:6" x14ac:dyDescent="0.3">
      <c r="B2135" t="s">
        <v>1292</v>
      </c>
      <c r="D2135">
        <v>205</v>
      </c>
      <c r="E2135">
        <v>10880</v>
      </c>
      <c r="F2135">
        <v>1</v>
      </c>
    </row>
    <row r="2136" spans="2:6" x14ac:dyDescent="0.3">
      <c r="B2136" t="s">
        <v>1293</v>
      </c>
      <c r="D2136">
        <v>211</v>
      </c>
      <c r="E2136">
        <v>20736</v>
      </c>
      <c r="F2136">
        <v>1</v>
      </c>
    </row>
    <row r="2137" spans="2:6" x14ac:dyDescent="0.3">
      <c r="B2137" t="s">
        <v>1294</v>
      </c>
      <c r="D2137">
        <v>212</v>
      </c>
      <c r="E2137">
        <v>42624</v>
      </c>
      <c r="F2137">
        <v>1</v>
      </c>
    </row>
    <row r="2138" spans="2:6" x14ac:dyDescent="0.3">
      <c r="B2138" t="s">
        <v>1295</v>
      </c>
      <c r="D2138">
        <v>216</v>
      </c>
      <c r="E2138">
        <v>58560</v>
      </c>
      <c r="F2138">
        <v>1</v>
      </c>
    </row>
    <row r="2139" spans="2:6" x14ac:dyDescent="0.3">
      <c r="B2139" t="s">
        <v>1296</v>
      </c>
      <c r="D2139">
        <v>216</v>
      </c>
      <c r="E2139">
        <v>53248</v>
      </c>
      <c r="F2139">
        <v>1</v>
      </c>
    </row>
    <row r="2140" spans="2:6" x14ac:dyDescent="0.3">
      <c r="B2140" t="s">
        <v>1297</v>
      </c>
      <c r="D2140">
        <v>215</v>
      </c>
      <c r="E2140">
        <v>11520</v>
      </c>
      <c r="F2140">
        <v>1</v>
      </c>
    </row>
    <row r="2141" spans="2:6" x14ac:dyDescent="0.3">
      <c r="B2141" t="s">
        <v>1298</v>
      </c>
      <c r="D2141">
        <v>212</v>
      </c>
      <c r="E2141">
        <v>41408</v>
      </c>
      <c r="F2141">
        <v>1</v>
      </c>
    </row>
    <row r="2142" spans="2:6" x14ac:dyDescent="0.3">
      <c r="B2142" t="s">
        <v>1299</v>
      </c>
      <c r="D2142">
        <v>219</v>
      </c>
      <c r="E2142">
        <v>2432</v>
      </c>
      <c r="F2142">
        <v>1</v>
      </c>
    </row>
    <row r="2143" spans="2:6" x14ac:dyDescent="0.3">
      <c r="B2143" t="s">
        <v>1300</v>
      </c>
      <c r="D2143">
        <v>219</v>
      </c>
      <c r="E2143">
        <v>9088</v>
      </c>
      <c r="F2143">
        <v>1</v>
      </c>
    </row>
    <row r="2144" spans="2:6" x14ac:dyDescent="0.3">
      <c r="B2144" t="s">
        <v>1301</v>
      </c>
      <c r="D2144">
        <v>216</v>
      </c>
      <c r="E2144">
        <v>2560</v>
      </c>
      <c r="F2144">
        <v>1</v>
      </c>
    </row>
    <row r="2145" spans="2:6" x14ac:dyDescent="0.3">
      <c r="B2145" t="s">
        <v>1302</v>
      </c>
      <c r="D2145">
        <v>216</v>
      </c>
      <c r="E2145">
        <v>49536</v>
      </c>
      <c r="F2145">
        <v>1</v>
      </c>
    </row>
    <row r="2146" spans="2:6" x14ac:dyDescent="0.3">
      <c r="B2146" t="s">
        <v>1303</v>
      </c>
      <c r="D2146">
        <v>221</v>
      </c>
      <c r="E2146">
        <v>8064</v>
      </c>
      <c r="F2146">
        <v>1</v>
      </c>
    </row>
    <row r="2147" spans="2:6" x14ac:dyDescent="0.3">
      <c r="B2147" t="s">
        <v>1304</v>
      </c>
      <c r="D2147">
        <v>219</v>
      </c>
      <c r="E2147">
        <v>22144</v>
      </c>
      <c r="F2147">
        <v>1</v>
      </c>
    </row>
    <row r="2148" spans="2:6" x14ac:dyDescent="0.3">
      <c r="B2148" t="s">
        <v>1305</v>
      </c>
      <c r="D2148">
        <v>220</v>
      </c>
      <c r="E2148">
        <v>56320</v>
      </c>
      <c r="F2148">
        <v>1</v>
      </c>
    </row>
    <row r="2149" spans="2:6" x14ac:dyDescent="0.3">
      <c r="B2149" t="s">
        <v>1306</v>
      </c>
      <c r="D2149">
        <v>220</v>
      </c>
      <c r="E2149">
        <v>60416</v>
      </c>
      <c r="F2149">
        <v>1</v>
      </c>
    </row>
    <row r="2150" spans="2:6" x14ac:dyDescent="0.3">
      <c r="B2150" t="s">
        <v>1307</v>
      </c>
      <c r="D2150">
        <v>225</v>
      </c>
      <c r="E2150">
        <v>23552</v>
      </c>
      <c r="F2150">
        <v>1</v>
      </c>
    </row>
    <row r="2151" spans="2:6" x14ac:dyDescent="0.3">
      <c r="B2151" t="s">
        <v>1308</v>
      </c>
      <c r="D2151">
        <v>223</v>
      </c>
      <c r="E2151">
        <v>56960</v>
      </c>
      <c r="F2151">
        <v>1</v>
      </c>
    </row>
    <row r="2152" spans="2:6" x14ac:dyDescent="0.3">
      <c r="B2152" t="s">
        <v>1309</v>
      </c>
      <c r="D2152">
        <v>223</v>
      </c>
      <c r="E2152">
        <v>38400</v>
      </c>
      <c r="F2152">
        <v>1</v>
      </c>
    </row>
    <row r="2153" spans="2:6" x14ac:dyDescent="0.3">
      <c r="B2153" t="s">
        <v>1310</v>
      </c>
      <c r="D2153">
        <v>219</v>
      </c>
      <c r="E2153">
        <v>59008</v>
      </c>
      <c r="F2153">
        <v>1</v>
      </c>
    </row>
    <row r="2154" spans="2:6" x14ac:dyDescent="0.3">
      <c r="B2154" t="s">
        <v>1311</v>
      </c>
      <c r="D2154">
        <v>226</v>
      </c>
      <c r="E2154">
        <v>6400</v>
      </c>
      <c r="F2154">
        <v>1</v>
      </c>
    </row>
    <row r="2155" spans="2:6" x14ac:dyDescent="0.3">
      <c r="B2155" t="s">
        <v>1312</v>
      </c>
      <c r="D2155">
        <v>222</v>
      </c>
      <c r="E2155">
        <v>20992</v>
      </c>
      <c r="F2155">
        <v>1</v>
      </c>
    </row>
    <row r="2156" spans="2:6" x14ac:dyDescent="0.3">
      <c r="B2156" t="s">
        <v>813</v>
      </c>
      <c r="D2156">
        <v>220</v>
      </c>
      <c r="E2156">
        <v>56576</v>
      </c>
      <c r="F2156">
        <v>1</v>
      </c>
    </row>
    <row r="2157" spans="2:6" x14ac:dyDescent="0.3">
      <c r="B2157" t="s">
        <v>1313</v>
      </c>
      <c r="D2157">
        <v>222</v>
      </c>
      <c r="E2157">
        <v>45568</v>
      </c>
      <c r="F2157">
        <v>1</v>
      </c>
    </row>
    <row r="2158" spans="2:6" x14ac:dyDescent="0.3">
      <c r="B2158" t="s">
        <v>1314</v>
      </c>
      <c r="D2158">
        <v>222</v>
      </c>
      <c r="E2158">
        <v>18432</v>
      </c>
      <c r="F2158">
        <v>1</v>
      </c>
    </row>
    <row r="2159" spans="2:6" x14ac:dyDescent="0.3">
      <c r="B2159" t="s">
        <v>1315</v>
      </c>
      <c r="D2159">
        <v>224</v>
      </c>
      <c r="E2159">
        <v>18944</v>
      </c>
      <c r="F2159">
        <v>1</v>
      </c>
    </row>
    <row r="2160" spans="2:6" x14ac:dyDescent="0.3">
      <c r="B2160" t="s">
        <v>1316</v>
      </c>
      <c r="D2160">
        <v>226</v>
      </c>
      <c r="E2160">
        <v>62848</v>
      </c>
      <c r="F2160">
        <v>1</v>
      </c>
    </row>
    <row r="2161" spans="2:6" x14ac:dyDescent="0.3">
      <c r="B2161" t="s">
        <v>1317</v>
      </c>
      <c r="D2161">
        <v>225</v>
      </c>
      <c r="E2161">
        <v>35840</v>
      </c>
      <c r="F2161">
        <v>1</v>
      </c>
    </row>
    <row r="2162" spans="2:6" x14ac:dyDescent="0.3">
      <c r="B2162" t="s">
        <v>1318</v>
      </c>
      <c r="D2162">
        <v>225</v>
      </c>
      <c r="E2162">
        <v>15360</v>
      </c>
      <c r="F2162">
        <v>1</v>
      </c>
    </row>
    <row r="2163" spans="2:6" x14ac:dyDescent="0.3">
      <c r="B2163" t="s">
        <v>1319</v>
      </c>
      <c r="D2163">
        <v>225</v>
      </c>
      <c r="E2163">
        <v>37760</v>
      </c>
      <c r="F2163">
        <v>1</v>
      </c>
    </row>
    <row r="2164" spans="2:6" x14ac:dyDescent="0.3">
      <c r="B2164" t="s">
        <v>1320</v>
      </c>
      <c r="D2164">
        <v>223</v>
      </c>
      <c r="E2164">
        <v>31360</v>
      </c>
      <c r="F2164">
        <v>1</v>
      </c>
    </row>
    <row r="2165" spans="2:6" x14ac:dyDescent="0.3">
      <c r="B2165" t="s">
        <v>1321</v>
      </c>
      <c r="D2165">
        <v>222</v>
      </c>
      <c r="E2165">
        <v>36096</v>
      </c>
      <c r="F2165">
        <v>1</v>
      </c>
    </row>
    <row r="2166" spans="2:6" x14ac:dyDescent="0.3">
      <c r="B2166" t="s">
        <v>1322</v>
      </c>
      <c r="D2166">
        <v>223</v>
      </c>
      <c r="E2166">
        <v>20864</v>
      </c>
      <c r="F2166">
        <v>1</v>
      </c>
    </row>
    <row r="2167" spans="2:6" x14ac:dyDescent="0.3">
      <c r="B2167" t="s">
        <v>1323</v>
      </c>
      <c r="D2167">
        <v>221</v>
      </c>
      <c r="E2167">
        <v>64256</v>
      </c>
      <c r="F2167">
        <v>1</v>
      </c>
    </row>
    <row r="2168" spans="2:6" x14ac:dyDescent="0.3">
      <c r="B2168" t="s">
        <v>1324</v>
      </c>
      <c r="D2168">
        <v>219</v>
      </c>
      <c r="E2168">
        <v>50944</v>
      </c>
      <c r="F2168">
        <v>1</v>
      </c>
    </row>
    <row r="2169" spans="2:6" x14ac:dyDescent="0.3">
      <c r="B2169" t="s">
        <v>1325</v>
      </c>
      <c r="D2169">
        <v>215</v>
      </c>
      <c r="E2169">
        <v>44608</v>
      </c>
      <c r="F2169">
        <v>1</v>
      </c>
    </row>
    <row r="2170" spans="2:6" x14ac:dyDescent="0.3">
      <c r="B2170" t="s">
        <v>1326</v>
      </c>
      <c r="D2170">
        <v>215</v>
      </c>
      <c r="E2170">
        <v>42816</v>
      </c>
      <c r="F2170">
        <v>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Analyze">
          <controlPr defaultSize="0" autoLine="0" r:id="rId5">
            <anchor moveWithCells="1">
              <from>
                <xdr:col>6</xdr:col>
                <xdr:colOff>22860</xdr:colOff>
                <xdr:row>0</xdr:row>
                <xdr:rowOff>76200</xdr:rowOff>
              </from>
              <to>
                <xdr:col>7</xdr:col>
                <xdr:colOff>182880</xdr:colOff>
                <xdr:row>2</xdr:row>
                <xdr:rowOff>137160</xdr:rowOff>
              </to>
            </anchor>
          </controlPr>
        </control>
      </mc:Choice>
      <mc:Fallback>
        <control shapeId="3073" r:id="rId4" name="Analyz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51F41-E5AD-4293-9113-53F9678CAAB1}">
  <sheetPr codeName="Tabelle4"/>
  <dimension ref="B2:O260"/>
  <sheetViews>
    <sheetView workbookViewId="0">
      <selection activeCell="N5" sqref="N5:N12"/>
    </sheetView>
  </sheetViews>
  <sheetFormatPr baseColWidth="10" defaultRowHeight="14.4" x14ac:dyDescent="0.3"/>
  <cols>
    <col min="1" max="1" width="7" customWidth="1"/>
    <col min="2" max="2" width="9.88671875" style="6" customWidth="1"/>
    <col min="3" max="3" width="9.88671875" style="13" customWidth="1"/>
    <col min="4" max="5" width="9.88671875" style="6" customWidth="1"/>
    <col min="6" max="6" width="9.88671875" customWidth="1"/>
    <col min="7" max="7" width="9.88671875" style="6" customWidth="1"/>
    <col min="9" max="11" width="11.5546875" style="1" customWidth="1"/>
    <col min="12" max="12" width="11.5546875" style="19"/>
    <col min="13" max="14" width="11.5546875" customWidth="1"/>
  </cols>
  <sheetData>
    <row r="2" spans="2:14" ht="28.8" x14ac:dyDescent="0.3">
      <c r="B2" s="29" t="s">
        <v>8</v>
      </c>
      <c r="C2" s="30" t="s">
        <v>9</v>
      </c>
      <c r="D2" s="23" t="s">
        <v>1084</v>
      </c>
      <c r="E2" s="23" t="s">
        <v>1091</v>
      </c>
      <c r="F2" s="21" t="s">
        <v>1077</v>
      </c>
      <c r="G2" s="23" t="s">
        <v>1083</v>
      </c>
      <c r="H2" s="24"/>
      <c r="I2" s="25" t="s">
        <v>1077</v>
      </c>
      <c r="J2" s="26" t="s">
        <v>1078</v>
      </c>
      <c r="K2" s="26"/>
      <c r="L2" s="27" t="s">
        <v>1081</v>
      </c>
      <c r="M2" s="25" t="s">
        <v>1082</v>
      </c>
    </row>
    <row r="3" spans="2:14" x14ac:dyDescent="0.3">
      <c r="J3" s="1" t="s">
        <v>1079</v>
      </c>
      <c r="K3" s="1" t="s">
        <v>1080</v>
      </c>
    </row>
    <row r="4" spans="2:14" x14ac:dyDescent="0.3">
      <c r="B4" s="6">
        <v>0</v>
      </c>
      <c r="C4" s="13">
        <f>Overview!F4</f>
        <v>0</v>
      </c>
      <c r="D4" s="6">
        <f>Overview!E4</f>
        <v>0.01</v>
      </c>
      <c r="E4" s="6">
        <f>C4*100</f>
        <v>0</v>
      </c>
      <c r="F4" s="14">
        <v>1</v>
      </c>
      <c r="G4" s="6">
        <f>ROUND(E4/VLOOKUP(F4,$I$5:$M$16,4),0)</f>
        <v>0</v>
      </c>
    </row>
    <row r="5" spans="2:14" x14ac:dyDescent="0.3">
      <c r="B5" s="6">
        <v>1</v>
      </c>
      <c r="C5" s="13">
        <f>Overview!F5</f>
        <v>0.01</v>
      </c>
      <c r="D5" s="6">
        <f>Overview!E5</f>
        <v>0.01</v>
      </c>
      <c r="E5" s="6">
        <f t="shared" ref="E5:E68" si="0">C5*100</f>
        <v>1</v>
      </c>
      <c r="F5" s="14">
        <v>1</v>
      </c>
      <c r="G5" s="6">
        <f t="shared" ref="G5:G68" si="1">ROUND(E5/VLOOKUP(F5,$I$5:$M$16,4),0)</f>
        <v>1</v>
      </c>
      <c r="I5" s="1">
        <v>1</v>
      </c>
      <c r="J5" s="19">
        <f>E4</f>
        <v>0</v>
      </c>
      <c r="K5" s="19">
        <f>E100</f>
        <v>252.00000000000014</v>
      </c>
      <c r="L5" s="19">
        <v>1</v>
      </c>
      <c r="M5" s="1">
        <v>97</v>
      </c>
      <c r="N5" t="s">
        <v>1327</v>
      </c>
    </row>
    <row r="6" spans="2:14" x14ac:dyDescent="0.3">
      <c r="B6" s="6">
        <v>2</v>
      </c>
      <c r="C6" s="13">
        <f>Overview!F6</f>
        <v>0.02</v>
      </c>
      <c r="D6" s="6">
        <f>Overview!E6</f>
        <v>0.01</v>
      </c>
      <c r="E6" s="6">
        <f t="shared" si="0"/>
        <v>2</v>
      </c>
      <c r="F6" s="14">
        <v>1</v>
      </c>
      <c r="G6" s="6">
        <f t="shared" si="1"/>
        <v>2</v>
      </c>
      <c r="I6" s="1">
        <v>2</v>
      </c>
      <c r="J6" s="1">
        <f>E101</f>
        <v>272.00000000000017</v>
      </c>
      <c r="K6" s="1">
        <f>E139</f>
        <v>2597.0000000000005</v>
      </c>
      <c r="L6" s="19">
        <v>10</v>
      </c>
      <c r="M6" s="1">
        <v>38</v>
      </c>
      <c r="N6" t="s">
        <v>1330</v>
      </c>
    </row>
    <row r="7" spans="2:14" x14ac:dyDescent="0.3">
      <c r="B7" s="6">
        <v>3</v>
      </c>
      <c r="C7" s="13">
        <f>Overview!F7</f>
        <v>0.03</v>
      </c>
      <c r="D7" s="6">
        <f>Overview!E7</f>
        <v>0.01</v>
      </c>
      <c r="E7" s="6">
        <f t="shared" si="0"/>
        <v>3</v>
      </c>
      <c r="F7" s="14">
        <v>1</v>
      </c>
      <c r="G7" s="6">
        <f t="shared" si="1"/>
        <v>3</v>
      </c>
      <c r="I7" s="1">
        <v>3</v>
      </c>
      <c r="J7" s="1">
        <f>E140</f>
        <v>2757.0000000000005</v>
      </c>
      <c r="K7" s="1">
        <f>E187</f>
        <v>22765.000000000007</v>
      </c>
      <c r="L7" s="19">
        <v>100</v>
      </c>
      <c r="M7" s="1">
        <v>52</v>
      </c>
      <c r="N7" t="s">
        <v>1331</v>
      </c>
    </row>
    <row r="8" spans="2:14" x14ac:dyDescent="0.3">
      <c r="B8" s="6">
        <v>4</v>
      </c>
      <c r="C8" s="13">
        <f>Overview!F8</f>
        <v>0.04</v>
      </c>
      <c r="D8" s="6">
        <f>Overview!E8</f>
        <v>0.01</v>
      </c>
      <c r="E8" s="6">
        <f t="shared" si="0"/>
        <v>4</v>
      </c>
      <c r="F8" s="14">
        <v>1</v>
      </c>
      <c r="G8" s="6">
        <f t="shared" si="1"/>
        <v>4</v>
      </c>
      <c r="I8" s="1">
        <v>4</v>
      </c>
      <c r="J8" s="1">
        <f>E188</f>
        <v>23485.000000000004</v>
      </c>
      <c r="K8" s="1">
        <f>E245</f>
        <v>186550</v>
      </c>
      <c r="L8" s="19">
        <v>1000</v>
      </c>
      <c r="M8" s="1">
        <v>56</v>
      </c>
      <c r="N8" t="s">
        <v>1332</v>
      </c>
    </row>
    <row r="9" spans="2:14" x14ac:dyDescent="0.3">
      <c r="B9" s="6">
        <v>5</v>
      </c>
      <c r="C9" s="13">
        <f>Overview!F9</f>
        <v>0.05</v>
      </c>
      <c r="D9" s="6">
        <f>Overview!E9</f>
        <v>0.01</v>
      </c>
      <c r="E9" s="6">
        <f t="shared" si="0"/>
        <v>5</v>
      </c>
      <c r="F9" s="14">
        <v>1</v>
      </c>
      <c r="G9" s="6">
        <f t="shared" si="1"/>
        <v>5</v>
      </c>
      <c r="I9" s="1">
        <v>5</v>
      </c>
      <c r="J9" s="1">
        <f>E247</f>
        <v>276550</v>
      </c>
      <c r="K9" s="1">
        <f>E256</f>
        <v>2496550</v>
      </c>
      <c r="L9" s="20">
        <v>10000</v>
      </c>
      <c r="M9" s="1">
        <v>10</v>
      </c>
      <c r="N9" t="s">
        <v>1328</v>
      </c>
    </row>
    <row r="10" spans="2:14" x14ac:dyDescent="0.3">
      <c r="B10" s="6">
        <v>6</v>
      </c>
      <c r="C10" s="13">
        <f>Overview!F10</f>
        <v>6.0000000000000005E-2</v>
      </c>
      <c r="D10" s="6">
        <f>Overview!E10</f>
        <v>0.01</v>
      </c>
      <c r="E10" s="6">
        <f t="shared" si="0"/>
        <v>6.0000000000000009</v>
      </c>
      <c r="F10" s="14">
        <v>1</v>
      </c>
      <c r="G10" s="6">
        <f t="shared" si="1"/>
        <v>6</v>
      </c>
      <c r="I10" s="1">
        <v>6</v>
      </c>
      <c r="J10" s="1">
        <f>E257</f>
        <v>3696550</v>
      </c>
      <c r="K10" s="1">
        <f>E259</f>
        <v>8296550</v>
      </c>
      <c r="L10" s="20">
        <v>100000</v>
      </c>
      <c r="M10" s="1">
        <v>3</v>
      </c>
      <c r="N10" t="s">
        <v>1329</v>
      </c>
    </row>
    <row r="11" spans="2:14" x14ac:dyDescent="0.3">
      <c r="B11" s="6">
        <v>7</v>
      </c>
      <c r="C11" s="13">
        <f>Overview!F11</f>
        <v>7.0000000000000007E-2</v>
      </c>
      <c r="D11" s="6">
        <f>Overview!E11</f>
        <v>0.01</v>
      </c>
      <c r="E11" s="6">
        <f t="shared" si="0"/>
        <v>7.0000000000000009</v>
      </c>
      <c r="F11" s="14">
        <v>1</v>
      </c>
      <c r="G11" s="6">
        <f t="shared" si="1"/>
        <v>7</v>
      </c>
    </row>
    <row r="12" spans="2:14" x14ac:dyDescent="0.3">
      <c r="B12" s="6">
        <v>8</v>
      </c>
      <c r="C12" s="13">
        <f>Overview!F12</f>
        <v>0.08</v>
      </c>
      <c r="D12" s="6">
        <f>Overview!E12</f>
        <v>0.01</v>
      </c>
      <c r="E12" s="6">
        <f t="shared" si="0"/>
        <v>8</v>
      </c>
      <c r="F12" s="14">
        <v>1</v>
      </c>
      <c r="G12" s="6">
        <f t="shared" si="1"/>
        <v>8</v>
      </c>
      <c r="M12" s="1">
        <f>SUM(M5:M10)</f>
        <v>256</v>
      </c>
      <c r="N12" t="s">
        <v>1333</v>
      </c>
    </row>
    <row r="13" spans="2:14" x14ac:dyDescent="0.3">
      <c r="B13" s="6">
        <v>9</v>
      </c>
      <c r="C13" s="13">
        <f>Overview!F13</f>
        <v>0.09</v>
      </c>
      <c r="D13" s="6">
        <f>Overview!E13</f>
        <v>0.01</v>
      </c>
      <c r="E13" s="6">
        <f t="shared" si="0"/>
        <v>9</v>
      </c>
      <c r="F13" s="14">
        <v>1</v>
      </c>
      <c r="G13" s="6">
        <f t="shared" si="1"/>
        <v>9</v>
      </c>
    </row>
    <row r="14" spans="2:14" x14ac:dyDescent="0.3">
      <c r="B14" s="6">
        <v>10</v>
      </c>
      <c r="C14" s="13">
        <f>Overview!F14</f>
        <v>9.9999999999999992E-2</v>
      </c>
      <c r="D14" s="6">
        <f>Overview!E14</f>
        <v>0.01</v>
      </c>
      <c r="E14" s="6">
        <f t="shared" si="0"/>
        <v>10</v>
      </c>
      <c r="F14" s="14">
        <v>1</v>
      </c>
      <c r="G14" s="6">
        <f t="shared" si="1"/>
        <v>10</v>
      </c>
    </row>
    <row r="15" spans="2:14" x14ac:dyDescent="0.3">
      <c r="B15" s="6">
        <v>11</v>
      </c>
      <c r="C15" s="13">
        <f>Overview!F15</f>
        <v>0.10999999999999999</v>
      </c>
      <c r="D15" s="6">
        <f>Overview!E15</f>
        <v>0.01</v>
      </c>
      <c r="E15" s="6">
        <f t="shared" si="0"/>
        <v>10.999999999999998</v>
      </c>
      <c r="F15" s="14">
        <v>1</v>
      </c>
      <c r="G15" s="6">
        <f t="shared" si="1"/>
        <v>11</v>
      </c>
    </row>
    <row r="16" spans="2:14" x14ac:dyDescent="0.3">
      <c r="B16" s="6">
        <v>12</v>
      </c>
      <c r="C16" s="13">
        <f>Overview!F16</f>
        <v>0.11999999999999998</v>
      </c>
      <c r="D16" s="6">
        <f>Overview!E16</f>
        <v>0.01</v>
      </c>
      <c r="E16" s="6">
        <f t="shared" si="0"/>
        <v>11.999999999999998</v>
      </c>
      <c r="F16" s="14">
        <v>1</v>
      </c>
      <c r="G16" s="6">
        <f t="shared" si="1"/>
        <v>12</v>
      </c>
    </row>
    <row r="17" spans="2:7" x14ac:dyDescent="0.3">
      <c r="B17" s="6">
        <v>13</v>
      </c>
      <c r="C17" s="13">
        <f>Overview!F17</f>
        <v>0.12999999999999998</v>
      </c>
      <c r="D17" s="6">
        <f>Overview!E17</f>
        <v>0.01</v>
      </c>
      <c r="E17" s="6">
        <f t="shared" si="0"/>
        <v>12.999999999999998</v>
      </c>
      <c r="F17" s="14">
        <v>1</v>
      </c>
      <c r="G17" s="6">
        <f t="shared" si="1"/>
        <v>13</v>
      </c>
    </row>
    <row r="18" spans="2:7" x14ac:dyDescent="0.3">
      <c r="B18" s="6">
        <v>14</v>
      </c>
      <c r="C18" s="13">
        <f>Overview!F18</f>
        <v>0.13999999999999999</v>
      </c>
      <c r="D18" s="6">
        <f>Overview!E18</f>
        <v>0.01</v>
      </c>
      <c r="E18" s="6">
        <f t="shared" si="0"/>
        <v>13.999999999999998</v>
      </c>
      <c r="F18" s="14">
        <v>1</v>
      </c>
      <c r="G18" s="6">
        <f t="shared" si="1"/>
        <v>14</v>
      </c>
    </row>
    <row r="19" spans="2:7" x14ac:dyDescent="0.3">
      <c r="B19" s="6">
        <v>15</v>
      </c>
      <c r="C19" s="13">
        <f>Overview!F19</f>
        <v>0.15</v>
      </c>
      <c r="D19" s="6">
        <f>Overview!E19</f>
        <v>0.01</v>
      </c>
      <c r="E19" s="6">
        <f t="shared" si="0"/>
        <v>15</v>
      </c>
      <c r="F19" s="14">
        <v>1</v>
      </c>
      <c r="G19" s="6">
        <f t="shared" si="1"/>
        <v>15</v>
      </c>
    </row>
    <row r="20" spans="2:7" x14ac:dyDescent="0.3">
      <c r="B20" s="6">
        <v>16</v>
      </c>
      <c r="C20" s="13">
        <f>Overview!F20</f>
        <v>0.16</v>
      </c>
      <c r="D20" s="6">
        <f>Overview!E20</f>
        <v>0.01</v>
      </c>
      <c r="E20" s="6">
        <f t="shared" si="0"/>
        <v>16</v>
      </c>
      <c r="F20" s="14">
        <v>1</v>
      </c>
      <c r="G20" s="6">
        <f t="shared" si="1"/>
        <v>16</v>
      </c>
    </row>
    <row r="21" spans="2:7" x14ac:dyDescent="0.3">
      <c r="B21" s="6">
        <v>17</v>
      </c>
      <c r="C21" s="13">
        <f>Overview!F21</f>
        <v>0.17</v>
      </c>
      <c r="D21" s="6">
        <f>Overview!E21</f>
        <v>0.01</v>
      </c>
      <c r="E21" s="6">
        <f t="shared" si="0"/>
        <v>17</v>
      </c>
      <c r="F21" s="14">
        <v>1</v>
      </c>
      <c r="G21" s="6">
        <f t="shared" si="1"/>
        <v>17</v>
      </c>
    </row>
    <row r="22" spans="2:7" x14ac:dyDescent="0.3">
      <c r="B22" s="6">
        <v>18</v>
      </c>
      <c r="C22" s="13">
        <f>Overview!F22</f>
        <v>0.18000000000000002</v>
      </c>
      <c r="D22" s="6">
        <f>Overview!E22</f>
        <v>0.01</v>
      </c>
      <c r="E22" s="6">
        <f t="shared" si="0"/>
        <v>18.000000000000004</v>
      </c>
      <c r="F22" s="14">
        <v>1</v>
      </c>
      <c r="G22" s="6">
        <f t="shared" si="1"/>
        <v>18</v>
      </c>
    </row>
    <row r="23" spans="2:7" x14ac:dyDescent="0.3">
      <c r="B23" s="6">
        <v>19</v>
      </c>
      <c r="C23" s="13">
        <f>Overview!F23</f>
        <v>0.19000000000000003</v>
      </c>
      <c r="D23" s="6">
        <f>Overview!E23</f>
        <v>0.01</v>
      </c>
      <c r="E23" s="6">
        <f t="shared" si="0"/>
        <v>19.000000000000004</v>
      </c>
      <c r="F23" s="14">
        <v>1</v>
      </c>
      <c r="G23" s="6">
        <f t="shared" si="1"/>
        <v>19</v>
      </c>
    </row>
    <row r="24" spans="2:7" x14ac:dyDescent="0.3">
      <c r="B24" s="6">
        <v>20</v>
      </c>
      <c r="C24" s="13">
        <f>Overview!F24</f>
        <v>0.20000000000000004</v>
      </c>
      <c r="D24" s="6">
        <f>Overview!E24</f>
        <v>0.01</v>
      </c>
      <c r="E24" s="6">
        <f t="shared" si="0"/>
        <v>20.000000000000004</v>
      </c>
      <c r="F24" s="14">
        <v>1</v>
      </c>
      <c r="G24" s="6">
        <f t="shared" si="1"/>
        <v>20</v>
      </c>
    </row>
    <row r="25" spans="2:7" x14ac:dyDescent="0.3">
      <c r="B25" s="6">
        <v>21</v>
      </c>
      <c r="C25" s="13">
        <f>Overview!F25</f>
        <v>0.21000000000000005</v>
      </c>
      <c r="D25" s="6">
        <f>Overview!E25</f>
        <v>0.01</v>
      </c>
      <c r="E25" s="6">
        <f t="shared" si="0"/>
        <v>21.000000000000004</v>
      </c>
      <c r="F25" s="14">
        <v>1</v>
      </c>
      <c r="G25" s="6">
        <f t="shared" si="1"/>
        <v>21</v>
      </c>
    </row>
    <row r="26" spans="2:7" x14ac:dyDescent="0.3">
      <c r="B26" s="6">
        <v>22</v>
      </c>
      <c r="C26" s="13">
        <f>Overview!F26</f>
        <v>0.22000000000000006</v>
      </c>
      <c r="D26" s="6">
        <f>Overview!E26</f>
        <v>0.01</v>
      </c>
      <c r="E26" s="6">
        <f t="shared" si="0"/>
        <v>22.000000000000007</v>
      </c>
      <c r="F26" s="14">
        <v>1</v>
      </c>
      <c r="G26" s="6">
        <f t="shared" si="1"/>
        <v>22</v>
      </c>
    </row>
    <row r="27" spans="2:7" x14ac:dyDescent="0.3">
      <c r="B27" s="6">
        <v>23</v>
      </c>
      <c r="C27" s="13">
        <f>Overview!F27</f>
        <v>0.23000000000000007</v>
      </c>
      <c r="D27" s="6">
        <f>Overview!E27</f>
        <v>0.01</v>
      </c>
      <c r="E27" s="6">
        <f t="shared" si="0"/>
        <v>23.000000000000007</v>
      </c>
      <c r="F27" s="14">
        <v>1</v>
      </c>
      <c r="G27" s="6">
        <f t="shared" si="1"/>
        <v>23</v>
      </c>
    </row>
    <row r="28" spans="2:7" x14ac:dyDescent="0.3">
      <c r="B28" s="6">
        <v>24</v>
      </c>
      <c r="C28" s="13">
        <f>Overview!F28</f>
        <v>0.24000000000000007</v>
      </c>
      <c r="D28" s="6">
        <f>Overview!E28</f>
        <v>0.01</v>
      </c>
      <c r="E28" s="6">
        <f t="shared" si="0"/>
        <v>24.000000000000007</v>
      </c>
      <c r="F28" s="14">
        <v>1</v>
      </c>
      <c r="G28" s="6">
        <f t="shared" si="1"/>
        <v>24</v>
      </c>
    </row>
    <row r="29" spans="2:7" x14ac:dyDescent="0.3">
      <c r="B29" s="6">
        <v>25</v>
      </c>
      <c r="C29" s="13">
        <f>Overview!F29</f>
        <v>0.25000000000000006</v>
      </c>
      <c r="D29" s="6">
        <f>Overview!E29</f>
        <v>0.01</v>
      </c>
      <c r="E29" s="6">
        <f t="shared" si="0"/>
        <v>25.000000000000007</v>
      </c>
      <c r="F29" s="14">
        <v>1</v>
      </c>
      <c r="G29" s="6">
        <f t="shared" si="1"/>
        <v>25</v>
      </c>
    </row>
    <row r="30" spans="2:7" x14ac:dyDescent="0.3">
      <c r="B30" s="6">
        <v>26</v>
      </c>
      <c r="C30" s="13">
        <f>Overview!F30</f>
        <v>0.26000000000000006</v>
      </c>
      <c r="D30" s="6">
        <f>Overview!E30</f>
        <v>0.01</v>
      </c>
      <c r="E30" s="6">
        <f t="shared" si="0"/>
        <v>26.000000000000007</v>
      </c>
      <c r="F30" s="14">
        <v>1</v>
      </c>
      <c r="G30" s="6">
        <f t="shared" si="1"/>
        <v>26</v>
      </c>
    </row>
    <row r="31" spans="2:7" x14ac:dyDescent="0.3">
      <c r="B31" s="6">
        <v>27</v>
      </c>
      <c r="C31" s="13">
        <f>Overview!F31</f>
        <v>0.27000000000000007</v>
      </c>
      <c r="D31" s="6">
        <f>Overview!E31</f>
        <v>0.01</v>
      </c>
      <c r="E31" s="6">
        <f t="shared" si="0"/>
        <v>27.000000000000007</v>
      </c>
      <c r="F31" s="14">
        <v>1</v>
      </c>
      <c r="G31" s="6">
        <f t="shared" si="1"/>
        <v>27</v>
      </c>
    </row>
    <row r="32" spans="2:7" x14ac:dyDescent="0.3">
      <c r="B32" s="6">
        <v>28</v>
      </c>
      <c r="C32" s="13">
        <f>Overview!F32</f>
        <v>0.28000000000000008</v>
      </c>
      <c r="D32" s="6">
        <f>Overview!E32</f>
        <v>0.01</v>
      </c>
      <c r="E32" s="6">
        <f t="shared" si="0"/>
        <v>28.000000000000007</v>
      </c>
      <c r="F32" s="14">
        <v>1</v>
      </c>
      <c r="G32" s="6">
        <f t="shared" si="1"/>
        <v>28</v>
      </c>
    </row>
    <row r="33" spans="2:7" x14ac:dyDescent="0.3">
      <c r="B33" s="6">
        <v>29</v>
      </c>
      <c r="C33" s="13">
        <f>Overview!F33</f>
        <v>0.29000000000000009</v>
      </c>
      <c r="D33" s="6">
        <f>Overview!E33</f>
        <v>0.01</v>
      </c>
      <c r="E33" s="6">
        <f t="shared" si="0"/>
        <v>29.000000000000011</v>
      </c>
      <c r="F33" s="14">
        <v>1</v>
      </c>
      <c r="G33" s="6">
        <f t="shared" si="1"/>
        <v>29</v>
      </c>
    </row>
    <row r="34" spans="2:7" x14ac:dyDescent="0.3">
      <c r="B34" s="6">
        <v>30</v>
      </c>
      <c r="C34" s="13">
        <f>Overview!F34</f>
        <v>0.3000000000000001</v>
      </c>
      <c r="D34" s="6">
        <f>Overview!E34</f>
        <v>0.01</v>
      </c>
      <c r="E34" s="6">
        <f t="shared" si="0"/>
        <v>30.000000000000011</v>
      </c>
      <c r="F34" s="14">
        <v>1</v>
      </c>
      <c r="G34" s="6">
        <f t="shared" si="1"/>
        <v>30</v>
      </c>
    </row>
    <row r="35" spans="2:7" x14ac:dyDescent="0.3">
      <c r="B35" s="6">
        <v>31</v>
      </c>
      <c r="C35" s="13">
        <f>Overview!F35</f>
        <v>0.31000000000000011</v>
      </c>
      <c r="D35" s="6">
        <f>Overview!E35</f>
        <v>0.01</v>
      </c>
      <c r="E35" s="6">
        <f t="shared" si="0"/>
        <v>31.000000000000011</v>
      </c>
      <c r="F35" s="14">
        <v>1</v>
      </c>
      <c r="G35" s="6">
        <f t="shared" si="1"/>
        <v>31</v>
      </c>
    </row>
    <row r="36" spans="2:7" x14ac:dyDescent="0.3">
      <c r="B36" s="6">
        <v>32</v>
      </c>
      <c r="C36" s="13">
        <f>Overview!F36</f>
        <v>0.32000000000000012</v>
      </c>
      <c r="D36" s="6">
        <f>Overview!E36</f>
        <v>0.01</v>
      </c>
      <c r="E36" s="6">
        <f t="shared" si="0"/>
        <v>32.000000000000014</v>
      </c>
      <c r="F36" s="14">
        <v>1</v>
      </c>
      <c r="G36" s="6">
        <f t="shared" si="1"/>
        <v>32</v>
      </c>
    </row>
    <row r="37" spans="2:7" x14ac:dyDescent="0.3">
      <c r="B37" s="6">
        <v>33</v>
      </c>
      <c r="C37" s="13">
        <f>Overview!F37</f>
        <v>0.33000000000000013</v>
      </c>
      <c r="D37" s="6">
        <f>Overview!E37</f>
        <v>0.01</v>
      </c>
      <c r="E37" s="6">
        <f t="shared" si="0"/>
        <v>33.000000000000014</v>
      </c>
      <c r="F37" s="14">
        <v>1</v>
      </c>
      <c r="G37" s="6">
        <f t="shared" si="1"/>
        <v>33</v>
      </c>
    </row>
    <row r="38" spans="2:7" x14ac:dyDescent="0.3">
      <c r="B38" s="6">
        <v>34</v>
      </c>
      <c r="C38" s="13">
        <f>Overview!F38</f>
        <v>0.34000000000000014</v>
      </c>
      <c r="D38" s="6">
        <f>Overview!E38</f>
        <v>0.01</v>
      </c>
      <c r="E38" s="6">
        <f t="shared" si="0"/>
        <v>34.000000000000014</v>
      </c>
      <c r="F38" s="14">
        <v>1</v>
      </c>
      <c r="G38" s="6">
        <f t="shared" si="1"/>
        <v>34</v>
      </c>
    </row>
    <row r="39" spans="2:7" x14ac:dyDescent="0.3">
      <c r="B39" s="6">
        <v>35</v>
      </c>
      <c r="C39" s="13">
        <f>Overview!F39</f>
        <v>0.35000000000000014</v>
      </c>
      <c r="D39" s="6">
        <f>Overview!E39</f>
        <v>0.01</v>
      </c>
      <c r="E39" s="6">
        <f t="shared" si="0"/>
        <v>35.000000000000014</v>
      </c>
      <c r="F39" s="14">
        <v>1</v>
      </c>
      <c r="G39" s="6">
        <f t="shared" si="1"/>
        <v>35</v>
      </c>
    </row>
    <row r="40" spans="2:7" x14ac:dyDescent="0.3">
      <c r="B40" s="6">
        <v>36</v>
      </c>
      <c r="C40" s="13">
        <f>Overview!F40</f>
        <v>0.36000000000000015</v>
      </c>
      <c r="D40" s="6">
        <f>Overview!E40</f>
        <v>0.01</v>
      </c>
      <c r="E40" s="6">
        <f t="shared" si="0"/>
        <v>36.000000000000014</v>
      </c>
      <c r="F40" s="14">
        <v>1</v>
      </c>
      <c r="G40" s="6">
        <f t="shared" si="1"/>
        <v>36</v>
      </c>
    </row>
    <row r="41" spans="2:7" x14ac:dyDescent="0.3">
      <c r="B41" s="6">
        <v>37</v>
      </c>
      <c r="C41" s="13">
        <f>Overview!F41</f>
        <v>0.37000000000000016</v>
      </c>
      <c r="D41" s="6">
        <f>Overview!E41</f>
        <v>0.01</v>
      </c>
      <c r="E41" s="6">
        <f t="shared" si="0"/>
        <v>37.000000000000014</v>
      </c>
      <c r="F41" s="14">
        <v>1</v>
      </c>
      <c r="G41" s="6">
        <f t="shared" si="1"/>
        <v>37</v>
      </c>
    </row>
    <row r="42" spans="2:7" x14ac:dyDescent="0.3">
      <c r="B42" s="6">
        <v>38</v>
      </c>
      <c r="C42" s="13">
        <f>Overview!F42</f>
        <v>0.38000000000000017</v>
      </c>
      <c r="D42" s="6">
        <f>Overview!E42</f>
        <v>0.01</v>
      </c>
      <c r="E42" s="6">
        <f t="shared" si="0"/>
        <v>38.000000000000014</v>
      </c>
      <c r="F42" s="14">
        <v>1</v>
      </c>
      <c r="G42" s="6">
        <f t="shared" si="1"/>
        <v>38</v>
      </c>
    </row>
    <row r="43" spans="2:7" x14ac:dyDescent="0.3">
      <c r="B43" s="6">
        <v>39</v>
      </c>
      <c r="C43" s="13">
        <f>Overview!F43</f>
        <v>0.39000000000000018</v>
      </c>
      <c r="D43" s="6">
        <f>Overview!E43</f>
        <v>0.01</v>
      </c>
      <c r="E43" s="6">
        <f t="shared" si="0"/>
        <v>39.000000000000021</v>
      </c>
      <c r="F43" s="14">
        <v>1</v>
      </c>
      <c r="G43" s="6">
        <f t="shared" si="1"/>
        <v>39</v>
      </c>
    </row>
    <row r="44" spans="2:7" x14ac:dyDescent="0.3">
      <c r="B44" s="6">
        <v>40</v>
      </c>
      <c r="C44" s="13">
        <f>Overview!F44</f>
        <v>0.40000000000000019</v>
      </c>
      <c r="D44" s="6">
        <f>Overview!E44</f>
        <v>0.01</v>
      </c>
      <c r="E44" s="6">
        <f t="shared" si="0"/>
        <v>40.000000000000021</v>
      </c>
      <c r="F44" s="14">
        <v>1</v>
      </c>
      <c r="G44" s="6">
        <f t="shared" si="1"/>
        <v>40</v>
      </c>
    </row>
    <row r="45" spans="2:7" x14ac:dyDescent="0.3">
      <c r="B45" s="6">
        <v>41</v>
      </c>
      <c r="C45" s="13">
        <f>Overview!F45</f>
        <v>0.4100000000000002</v>
      </c>
      <c r="D45" s="6">
        <f>Overview!E45</f>
        <v>0.01</v>
      </c>
      <c r="E45" s="6">
        <f t="shared" si="0"/>
        <v>41.000000000000021</v>
      </c>
      <c r="F45" s="14">
        <v>1</v>
      </c>
      <c r="G45" s="6">
        <f t="shared" si="1"/>
        <v>41</v>
      </c>
    </row>
    <row r="46" spans="2:7" x14ac:dyDescent="0.3">
      <c r="B46" s="6">
        <v>42</v>
      </c>
      <c r="C46" s="13">
        <f>Overview!F46</f>
        <v>0.42000000000000021</v>
      </c>
      <c r="D46" s="6">
        <f>Overview!E46</f>
        <v>0.01</v>
      </c>
      <c r="E46" s="6">
        <f t="shared" si="0"/>
        <v>42.000000000000021</v>
      </c>
      <c r="F46" s="14">
        <v>1</v>
      </c>
      <c r="G46" s="6">
        <f t="shared" si="1"/>
        <v>42</v>
      </c>
    </row>
    <row r="47" spans="2:7" x14ac:dyDescent="0.3">
      <c r="B47" s="6">
        <v>43</v>
      </c>
      <c r="C47" s="13">
        <f>Overview!F47</f>
        <v>0.43000000000000022</v>
      </c>
      <c r="D47" s="6">
        <f>Overview!E47</f>
        <v>0.01</v>
      </c>
      <c r="E47" s="6">
        <f t="shared" si="0"/>
        <v>43.000000000000021</v>
      </c>
      <c r="F47" s="14">
        <v>1</v>
      </c>
      <c r="G47" s="6">
        <f t="shared" si="1"/>
        <v>43</v>
      </c>
    </row>
    <row r="48" spans="2:7" x14ac:dyDescent="0.3">
      <c r="B48" s="6">
        <v>44</v>
      </c>
      <c r="C48" s="13">
        <f>Overview!F48</f>
        <v>0.44000000000000022</v>
      </c>
      <c r="D48" s="6">
        <f>Overview!E48</f>
        <v>0.01</v>
      </c>
      <c r="E48" s="6">
        <f t="shared" si="0"/>
        <v>44.000000000000021</v>
      </c>
      <c r="F48" s="14">
        <v>1</v>
      </c>
      <c r="G48" s="6">
        <f t="shared" si="1"/>
        <v>44</v>
      </c>
    </row>
    <row r="49" spans="2:7" x14ac:dyDescent="0.3">
      <c r="B49" s="6">
        <v>45</v>
      </c>
      <c r="C49" s="13">
        <f>Overview!F49</f>
        <v>0.45000000000000023</v>
      </c>
      <c r="D49" s="6">
        <f>Overview!E49</f>
        <v>0.01</v>
      </c>
      <c r="E49" s="6">
        <f t="shared" si="0"/>
        <v>45.000000000000021</v>
      </c>
      <c r="F49" s="14">
        <v>1</v>
      </c>
      <c r="G49" s="6">
        <f t="shared" si="1"/>
        <v>45</v>
      </c>
    </row>
    <row r="50" spans="2:7" x14ac:dyDescent="0.3">
      <c r="B50" s="6">
        <v>46</v>
      </c>
      <c r="C50" s="13">
        <f>Overview!F50</f>
        <v>0.46000000000000024</v>
      </c>
      <c r="D50" s="6">
        <f>Overview!E50</f>
        <v>0.01</v>
      </c>
      <c r="E50" s="6">
        <f t="shared" si="0"/>
        <v>46.000000000000021</v>
      </c>
      <c r="F50" s="14">
        <v>1</v>
      </c>
      <c r="G50" s="6">
        <f t="shared" si="1"/>
        <v>46</v>
      </c>
    </row>
    <row r="51" spans="2:7" x14ac:dyDescent="0.3">
      <c r="B51" s="6">
        <v>47</v>
      </c>
      <c r="C51" s="13">
        <f>Overview!F51</f>
        <v>0.47000000000000025</v>
      </c>
      <c r="D51" s="6">
        <f>Overview!E51</f>
        <v>0.01</v>
      </c>
      <c r="E51" s="6">
        <f t="shared" si="0"/>
        <v>47.000000000000028</v>
      </c>
      <c r="F51" s="14">
        <v>1</v>
      </c>
      <c r="G51" s="6">
        <f t="shared" si="1"/>
        <v>47</v>
      </c>
    </row>
    <row r="52" spans="2:7" x14ac:dyDescent="0.3">
      <c r="B52" s="6">
        <v>48</v>
      </c>
      <c r="C52" s="13">
        <f>Overview!F52</f>
        <v>0.48000000000000026</v>
      </c>
      <c r="D52" s="6">
        <f>Overview!E52</f>
        <v>0.01</v>
      </c>
      <c r="E52" s="6">
        <f t="shared" si="0"/>
        <v>48.000000000000028</v>
      </c>
      <c r="F52" s="14">
        <v>1</v>
      </c>
      <c r="G52" s="6">
        <f t="shared" si="1"/>
        <v>48</v>
      </c>
    </row>
    <row r="53" spans="2:7" x14ac:dyDescent="0.3">
      <c r="B53" s="6">
        <v>49</v>
      </c>
      <c r="C53" s="13">
        <f>Overview!F53</f>
        <v>0.49000000000000027</v>
      </c>
      <c r="D53" s="6">
        <f>Overview!E53</f>
        <v>0.01</v>
      </c>
      <c r="E53" s="6">
        <f t="shared" si="0"/>
        <v>49.000000000000028</v>
      </c>
      <c r="F53" s="14">
        <v>1</v>
      </c>
      <c r="G53" s="6">
        <f t="shared" si="1"/>
        <v>49</v>
      </c>
    </row>
    <row r="54" spans="2:7" x14ac:dyDescent="0.3">
      <c r="B54" s="6">
        <v>50</v>
      </c>
      <c r="C54" s="13">
        <f>Overview!F54</f>
        <v>0.50000000000000022</v>
      </c>
      <c r="D54" s="6">
        <f>Overview!E54</f>
        <v>0.01</v>
      </c>
      <c r="E54" s="6">
        <f t="shared" si="0"/>
        <v>50.000000000000021</v>
      </c>
      <c r="F54" s="14">
        <v>1</v>
      </c>
      <c r="G54" s="6">
        <f t="shared" si="1"/>
        <v>50</v>
      </c>
    </row>
    <row r="55" spans="2:7" x14ac:dyDescent="0.3">
      <c r="B55" s="6">
        <v>51</v>
      </c>
      <c r="C55" s="13">
        <f>Overview!F55</f>
        <v>0.51000000000000023</v>
      </c>
      <c r="D55" s="6">
        <f>Overview!E55</f>
        <v>0.01</v>
      </c>
      <c r="E55" s="6">
        <f t="shared" si="0"/>
        <v>51.000000000000021</v>
      </c>
      <c r="F55" s="14">
        <v>1</v>
      </c>
      <c r="G55" s="6">
        <f t="shared" si="1"/>
        <v>51</v>
      </c>
    </row>
    <row r="56" spans="2:7" x14ac:dyDescent="0.3">
      <c r="B56" s="6">
        <v>52</v>
      </c>
      <c r="C56" s="13">
        <f>Overview!F56</f>
        <v>0.52000000000000024</v>
      </c>
      <c r="D56" s="6">
        <f>Overview!E56</f>
        <v>0.01</v>
      </c>
      <c r="E56" s="6">
        <f t="shared" si="0"/>
        <v>52.000000000000021</v>
      </c>
      <c r="F56" s="14">
        <v>1</v>
      </c>
      <c r="G56" s="6">
        <f t="shared" si="1"/>
        <v>52</v>
      </c>
    </row>
    <row r="57" spans="2:7" x14ac:dyDescent="0.3">
      <c r="B57" s="6">
        <v>53</v>
      </c>
      <c r="C57" s="13">
        <f>Overview!F57</f>
        <v>0.53000000000000025</v>
      </c>
      <c r="D57" s="6">
        <f>Overview!E57</f>
        <v>0.01</v>
      </c>
      <c r="E57" s="6">
        <f t="shared" si="0"/>
        <v>53.000000000000028</v>
      </c>
      <c r="F57" s="14">
        <v>1</v>
      </c>
      <c r="G57" s="6">
        <f t="shared" si="1"/>
        <v>53</v>
      </c>
    </row>
    <row r="58" spans="2:7" x14ac:dyDescent="0.3">
      <c r="B58" s="6">
        <v>54</v>
      </c>
      <c r="C58" s="13">
        <f>Overview!F58</f>
        <v>0.54000000000000026</v>
      </c>
      <c r="D58" s="6">
        <f>Overview!E58</f>
        <v>0.01</v>
      </c>
      <c r="E58" s="6">
        <f t="shared" si="0"/>
        <v>54.000000000000028</v>
      </c>
      <c r="F58" s="14">
        <v>1</v>
      </c>
      <c r="G58" s="6">
        <f t="shared" si="1"/>
        <v>54</v>
      </c>
    </row>
    <row r="59" spans="2:7" x14ac:dyDescent="0.3">
      <c r="B59" s="6">
        <v>55</v>
      </c>
      <c r="C59" s="13">
        <f>Overview!F59</f>
        <v>0.55000000000000027</v>
      </c>
      <c r="D59" s="6">
        <f>Overview!E59</f>
        <v>0.01</v>
      </c>
      <c r="E59" s="6">
        <f t="shared" si="0"/>
        <v>55.000000000000028</v>
      </c>
      <c r="F59" s="14">
        <v>1</v>
      </c>
      <c r="G59" s="6">
        <f t="shared" si="1"/>
        <v>55</v>
      </c>
    </row>
    <row r="60" spans="2:7" x14ac:dyDescent="0.3">
      <c r="B60" s="6">
        <v>56</v>
      </c>
      <c r="C60" s="13">
        <f>Overview!F60</f>
        <v>0.56000000000000028</v>
      </c>
      <c r="D60" s="6">
        <f>Overview!E60</f>
        <v>0.01</v>
      </c>
      <c r="E60" s="6">
        <f t="shared" si="0"/>
        <v>56.000000000000028</v>
      </c>
      <c r="F60" s="14">
        <v>1</v>
      </c>
      <c r="G60" s="6">
        <f t="shared" si="1"/>
        <v>56</v>
      </c>
    </row>
    <row r="61" spans="2:7" x14ac:dyDescent="0.3">
      <c r="B61" s="6">
        <v>57</v>
      </c>
      <c r="C61" s="13">
        <f>Overview!F61</f>
        <v>0.57000000000000028</v>
      </c>
      <c r="D61" s="6">
        <f>Overview!E61</f>
        <v>0.01</v>
      </c>
      <c r="E61" s="6">
        <f t="shared" si="0"/>
        <v>57.000000000000028</v>
      </c>
      <c r="F61" s="14">
        <v>1</v>
      </c>
      <c r="G61" s="6">
        <f t="shared" si="1"/>
        <v>57</v>
      </c>
    </row>
    <row r="62" spans="2:7" x14ac:dyDescent="0.3">
      <c r="B62" s="6">
        <v>58</v>
      </c>
      <c r="C62" s="13">
        <f>Overview!F62</f>
        <v>0.58000000000000029</v>
      </c>
      <c r="D62" s="6">
        <f>Overview!E62</f>
        <v>0.01</v>
      </c>
      <c r="E62" s="6">
        <f t="shared" si="0"/>
        <v>58.000000000000028</v>
      </c>
      <c r="F62" s="14">
        <v>1</v>
      </c>
      <c r="G62" s="6">
        <f t="shared" si="1"/>
        <v>58</v>
      </c>
    </row>
    <row r="63" spans="2:7" x14ac:dyDescent="0.3">
      <c r="B63" s="6">
        <v>59</v>
      </c>
      <c r="C63" s="13">
        <f>Overview!F63</f>
        <v>0.5900000000000003</v>
      </c>
      <c r="D63" s="6">
        <f>Overview!E63</f>
        <v>0.01</v>
      </c>
      <c r="E63" s="6">
        <f t="shared" si="0"/>
        <v>59.000000000000028</v>
      </c>
      <c r="F63" s="14">
        <v>1</v>
      </c>
      <c r="G63" s="6">
        <f t="shared" si="1"/>
        <v>59</v>
      </c>
    </row>
    <row r="64" spans="2:7" x14ac:dyDescent="0.3">
      <c r="B64" s="6">
        <v>60</v>
      </c>
      <c r="C64" s="13">
        <f>Overview!F64</f>
        <v>0.60000000000000031</v>
      </c>
      <c r="D64" s="6">
        <f>Overview!E64</f>
        <v>0.01</v>
      </c>
      <c r="E64" s="6">
        <f t="shared" si="0"/>
        <v>60.000000000000028</v>
      </c>
      <c r="F64" s="14">
        <v>1</v>
      </c>
      <c r="G64" s="6">
        <f t="shared" si="1"/>
        <v>60</v>
      </c>
    </row>
    <row r="65" spans="2:7" x14ac:dyDescent="0.3">
      <c r="B65" s="6">
        <v>61</v>
      </c>
      <c r="C65" s="13">
        <f>Overview!F65</f>
        <v>0.61000000000000032</v>
      </c>
      <c r="D65" s="6">
        <f>Overview!E65</f>
        <v>0.01</v>
      </c>
      <c r="E65" s="6">
        <f t="shared" si="0"/>
        <v>61.000000000000028</v>
      </c>
      <c r="F65" s="14">
        <v>1</v>
      </c>
      <c r="G65" s="6">
        <f t="shared" si="1"/>
        <v>61</v>
      </c>
    </row>
    <row r="66" spans="2:7" x14ac:dyDescent="0.3">
      <c r="B66" s="6">
        <v>62</v>
      </c>
      <c r="C66" s="13">
        <f>Overview!F66</f>
        <v>0.62000000000000033</v>
      </c>
      <c r="D66" s="6">
        <f>Overview!E66</f>
        <v>0.01</v>
      </c>
      <c r="E66" s="6">
        <f t="shared" si="0"/>
        <v>62.000000000000036</v>
      </c>
      <c r="F66" s="14">
        <v>1</v>
      </c>
      <c r="G66" s="6">
        <f t="shared" si="1"/>
        <v>62</v>
      </c>
    </row>
    <row r="67" spans="2:7" x14ac:dyDescent="0.3">
      <c r="B67" s="6">
        <v>63</v>
      </c>
      <c r="C67" s="13">
        <f>Overview!F67</f>
        <v>0.63000000000000034</v>
      </c>
      <c r="D67" s="6">
        <f>Overview!E67</f>
        <v>0.01</v>
      </c>
      <c r="E67" s="6">
        <f t="shared" si="0"/>
        <v>63.000000000000036</v>
      </c>
      <c r="F67" s="14">
        <v>1</v>
      </c>
      <c r="G67" s="6">
        <f t="shared" si="1"/>
        <v>63</v>
      </c>
    </row>
    <row r="68" spans="2:7" x14ac:dyDescent="0.3">
      <c r="B68" s="6">
        <v>64</v>
      </c>
      <c r="C68" s="13">
        <f>Overview!F68</f>
        <v>0.65000000000000036</v>
      </c>
      <c r="D68" s="6">
        <f>Overview!E68</f>
        <v>0.02</v>
      </c>
      <c r="E68" s="6">
        <f t="shared" si="0"/>
        <v>65.000000000000028</v>
      </c>
      <c r="F68" s="14">
        <v>1</v>
      </c>
      <c r="G68" s="6">
        <f t="shared" si="1"/>
        <v>65</v>
      </c>
    </row>
    <row r="69" spans="2:7" x14ac:dyDescent="0.3">
      <c r="B69" s="6">
        <v>65</v>
      </c>
      <c r="C69" s="13">
        <f>Overview!F69</f>
        <v>0.67000000000000037</v>
      </c>
      <c r="D69" s="6">
        <f>Overview!E69</f>
        <v>0.02</v>
      </c>
      <c r="E69" s="6">
        <f t="shared" ref="E69:E132" si="2">C69*100</f>
        <v>67.000000000000043</v>
      </c>
      <c r="F69" s="14">
        <v>1</v>
      </c>
      <c r="G69" s="6">
        <f t="shared" ref="G69:G132" si="3">ROUND(E69/VLOOKUP(F69,$I$5:$M$16,4),0)</f>
        <v>67</v>
      </c>
    </row>
    <row r="70" spans="2:7" x14ac:dyDescent="0.3">
      <c r="B70" s="6">
        <v>66</v>
      </c>
      <c r="C70" s="13">
        <f>Overview!F70</f>
        <v>0.69000000000000039</v>
      </c>
      <c r="D70" s="6">
        <f>Overview!E70</f>
        <v>0.02</v>
      </c>
      <c r="E70" s="6">
        <f t="shared" si="2"/>
        <v>69.000000000000043</v>
      </c>
      <c r="F70" s="14">
        <v>1</v>
      </c>
      <c r="G70" s="6">
        <f t="shared" si="3"/>
        <v>69</v>
      </c>
    </row>
    <row r="71" spans="2:7" x14ac:dyDescent="0.3">
      <c r="B71" s="6">
        <v>67</v>
      </c>
      <c r="C71" s="13">
        <f>Overview!F71</f>
        <v>0.71000000000000041</v>
      </c>
      <c r="D71" s="6">
        <f>Overview!E71</f>
        <v>0.02</v>
      </c>
      <c r="E71" s="6">
        <f t="shared" si="2"/>
        <v>71.000000000000043</v>
      </c>
      <c r="F71" s="14">
        <v>1</v>
      </c>
      <c r="G71" s="6">
        <f t="shared" si="3"/>
        <v>71</v>
      </c>
    </row>
    <row r="72" spans="2:7" x14ac:dyDescent="0.3">
      <c r="B72" s="6">
        <v>68</v>
      </c>
      <c r="C72" s="13">
        <f>Overview!F72</f>
        <v>0.73000000000000043</v>
      </c>
      <c r="D72" s="6">
        <f>Overview!E72</f>
        <v>0.02</v>
      </c>
      <c r="E72" s="6">
        <f t="shared" si="2"/>
        <v>73.000000000000043</v>
      </c>
      <c r="F72" s="14">
        <v>1</v>
      </c>
      <c r="G72" s="6">
        <f t="shared" si="3"/>
        <v>73</v>
      </c>
    </row>
    <row r="73" spans="2:7" x14ac:dyDescent="0.3">
      <c r="B73" s="6">
        <v>69</v>
      </c>
      <c r="C73" s="13">
        <f>Overview!F73</f>
        <v>0.75000000000000044</v>
      </c>
      <c r="D73" s="6">
        <f>Overview!E73</f>
        <v>0.02</v>
      </c>
      <c r="E73" s="6">
        <f t="shared" si="2"/>
        <v>75.000000000000043</v>
      </c>
      <c r="F73" s="14">
        <v>1</v>
      </c>
      <c r="G73" s="6">
        <f t="shared" si="3"/>
        <v>75</v>
      </c>
    </row>
    <row r="74" spans="2:7" x14ac:dyDescent="0.3">
      <c r="B74" s="6">
        <v>70</v>
      </c>
      <c r="C74" s="13">
        <f>Overview!F74</f>
        <v>0.77000000000000046</v>
      </c>
      <c r="D74" s="6">
        <f>Overview!E74</f>
        <v>0.02</v>
      </c>
      <c r="E74" s="6">
        <f t="shared" si="2"/>
        <v>77.000000000000043</v>
      </c>
      <c r="F74" s="14">
        <v>1</v>
      </c>
      <c r="G74" s="6">
        <f t="shared" si="3"/>
        <v>77</v>
      </c>
    </row>
    <row r="75" spans="2:7" x14ac:dyDescent="0.3">
      <c r="B75" s="6">
        <v>71</v>
      </c>
      <c r="C75" s="13">
        <f>Overview!F75</f>
        <v>0.79000000000000048</v>
      </c>
      <c r="D75" s="6">
        <f>Overview!E75</f>
        <v>0.02</v>
      </c>
      <c r="E75" s="6">
        <f t="shared" si="2"/>
        <v>79.000000000000043</v>
      </c>
      <c r="F75" s="14">
        <v>1</v>
      </c>
      <c r="G75" s="6">
        <f t="shared" si="3"/>
        <v>79</v>
      </c>
    </row>
    <row r="76" spans="2:7" x14ac:dyDescent="0.3">
      <c r="B76" s="6">
        <v>72</v>
      </c>
      <c r="C76" s="13">
        <f>Overview!F76</f>
        <v>0.8100000000000005</v>
      </c>
      <c r="D76" s="6">
        <f>Overview!E76</f>
        <v>0.02</v>
      </c>
      <c r="E76" s="6">
        <f t="shared" si="2"/>
        <v>81.000000000000057</v>
      </c>
      <c r="F76" s="14">
        <v>1</v>
      </c>
      <c r="G76" s="6">
        <f t="shared" si="3"/>
        <v>81</v>
      </c>
    </row>
    <row r="77" spans="2:7" x14ac:dyDescent="0.3">
      <c r="B77" s="6">
        <v>73</v>
      </c>
      <c r="C77" s="13">
        <f>Overview!F77</f>
        <v>0.83000000000000052</v>
      </c>
      <c r="D77" s="6">
        <f>Overview!E77</f>
        <v>0.02</v>
      </c>
      <c r="E77" s="6">
        <f t="shared" si="2"/>
        <v>83.000000000000057</v>
      </c>
      <c r="F77" s="14">
        <v>1</v>
      </c>
      <c r="G77" s="6">
        <f t="shared" si="3"/>
        <v>83</v>
      </c>
    </row>
    <row r="78" spans="2:7" x14ac:dyDescent="0.3">
      <c r="B78" s="6">
        <v>74</v>
      </c>
      <c r="C78" s="13">
        <f>Overview!F78</f>
        <v>0.86000000000000054</v>
      </c>
      <c r="D78" s="6">
        <f>Overview!E78</f>
        <v>0.03</v>
      </c>
      <c r="E78" s="6">
        <f t="shared" si="2"/>
        <v>86.000000000000057</v>
      </c>
      <c r="F78" s="14">
        <v>1</v>
      </c>
      <c r="G78" s="6">
        <f t="shared" si="3"/>
        <v>86</v>
      </c>
    </row>
    <row r="79" spans="2:7" x14ac:dyDescent="0.3">
      <c r="B79" s="6">
        <v>75</v>
      </c>
      <c r="C79" s="13">
        <f>Overview!F79</f>
        <v>0.89000000000000057</v>
      </c>
      <c r="D79" s="6">
        <f>Overview!E79</f>
        <v>0.03</v>
      </c>
      <c r="E79" s="6">
        <f t="shared" si="2"/>
        <v>89.000000000000057</v>
      </c>
      <c r="F79" s="14">
        <v>1</v>
      </c>
      <c r="G79" s="6">
        <f t="shared" si="3"/>
        <v>89</v>
      </c>
    </row>
    <row r="80" spans="2:7" x14ac:dyDescent="0.3">
      <c r="B80" s="6">
        <v>76</v>
      </c>
      <c r="C80" s="13">
        <f>Overview!F80</f>
        <v>0.9200000000000006</v>
      </c>
      <c r="D80" s="6">
        <f>Overview!E80</f>
        <v>0.03</v>
      </c>
      <c r="E80" s="6">
        <f t="shared" si="2"/>
        <v>92.000000000000057</v>
      </c>
      <c r="F80" s="14">
        <v>1</v>
      </c>
      <c r="G80" s="6">
        <f t="shared" si="3"/>
        <v>92</v>
      </c>
    </row>
    <row r="81" spans="2:7" x14ac:dyDescent="0.3">
      <c r="B81" s="6">
        <v>77</v>
      </c>
      <c r="C81" s="13">
        <f>Overview!F81</f>
        <v>0.95000000000000062</v>
      </c>
      <c r="D81" s="6">
        <f>Overview!E81</f>
        <v>0.03</v>
      </c>
      <c r="E81" s="6">
        <f t="shared" si="2"/>
        <v>95.000000000000057</v>
      </c>
      <c r="F81" s="14">
        <v>1</v>
      </c>
      <c r="G81" s="6">
        <f t="shared" si="3"/>
        <v>95</v>
      </c>
    </row>
    <row r="82" spans="2:7" x14ac:dyDescent="0.3">
      <c r="B82" s="6">
        <v>78</v>
      </c>
      <c r="C82" s="13">
        <f>Overview!F82</f>
        <v>0.99000000000000066</v>
      </c>
      <c r="D82" s="6">
        <f>Overview!E82</f>
        <v>0.04</v>
      </c>
      <c r="E82" s="6">
        <f t="shared" si="2"/>
        <v>99.000000000000071</v>
      </c>
      <c r="F82" s="14">
        <v>1</v>
      </c>
      <c r="G82" s="6">
        <f t="shared" si="3"/>
        <v>99</v>
      </c>
    </row>
    <row r="83" spans="2:7" x14ac:dyDescent="0.3">
      <c r="B83" s="6">
        <v>79</v>
      </c>
      <c r="C83" s="13">
        <f>Overview!F83</f>
        <v>1.0300000000000007</v>
      </c>
      <c r="D83" s="6">
        <f>Overview!E83</f>
        <v>0.04</v>
      </c>
      <c r="E83" s="6">
        <f t="shared" si="2"/>
        <v>103.00000000000007</v>
      </c>
      <c r="F83" s="14">
        <v>1</v>
      </c>
      <c r="G83" s="6">
        <f t="shared" si="3"/>
        <v>103</v>
      </c>
    </row>
    <row r="84" spans="2:7" x14ac:dyDescent="0.3">
      <c r="B84" s="6">
        <v>80</v>
      </c>
      <c r="C84" s="13">
        <f>Overview!F84</f>
        <v>1.0700000000000007</v>
      </c>
      <c r="D84" s="6">
        <f>Overview!E84</f>
        <v>0.04</v>
      </c>
      <c r="E84" s="6">
        <f t="shared" si="2"/>
        <v>107.00000000000007</v>
      </c>
      <c r="F84" s="14">
        <v>1</v>
      </c>
      <c r="G84" s="6">
        <f t="shared" si="3"/>
        <v>107</v>
      </c>
    </row>
    <row r="85" spans="2:7" x14ac:dyDescent="0.3">
      <c r="B85" s="6">
        <v>81</v>
      </c>
      <c r="C85" s="13">
        <f>Overview!F85</f>
        <v>1.1200000000000008</v>
      </c>
      <c r="D85" s="6">
        <f>Overview!E85</f>
        <v>0.05</v>
      </c>
      <c r="E85" s="6">
        <f t="shared" si="2"/>
        <v>112.00000000000007</v>
      </c>
      <c r="F85" s="14">
        <v>1</v>
      </c>
      <c r="G85" s="6">
        <f t="shared" si="3"/>
        <v>112</v>
      </c>
    </row>
    <row r="86" spans="2:7" x14ac:dyDescent="0.3">
      <c r="B86" s="6">
        <v>82</v>
      </c>
      <c r="C86" s="13">
        <f>Overview!F86</f>
        <v>1.1700000000000008</v>
      </c>
      <c r="D86" s="6">
        <f>Overview!E86</f>
        <v>0.05</v>
      </c>
      <c r="E86" s="6">
        <f t="shared" si="2"/>
        <v>117.00000000000009</v>
      </c>
      <c r="F86" s="14">
        <v>1</v>
      </c>
      <c r="G86" s="6">
        <f t="shared" si="3"/>
        <v>117</v>
      </c>
    </row>
    <row r="87" spans="2:7" x14ac:dyDescent="0.3">
      <c r="B87" s="6">
        <v>83</v>
      </c>
      <c r="C87" s="13">
        <f>Overview!F87</f>
        <v>1.2300000000000009</v>
      </c>
      <c r="D87" s="6">
        <f>Overview!E87</f>
        <v>0.06</v>
      </c>
      <c r="E87" s="6">
        <f t="shared" si="2"/>
        <v>123.00000000000009</v>
      </c>
      <c r="F87" s="14">
        <v>1</v>
      </c>
      <c r="G87" s="6">
        <f t="shared" si="3"/>
        <v>123</v>
      </c>
    </row>
    <row r="88" spans="2:7" x14ac:dyDescent="0.3">
      <c r="B88" s="6">
        <v>84</v>
      </c>
      <c r="C88" s="13">
        <f>Overview!F88</f>
        <v>1.2900000000000009</v>
      </c>
      <c r="D88" s="6">
        <f>Overview!E88</f>
        <v>0.06</v>
      </c>
      <c r="E88" s="6">
        <f t="shared" si="2"/>
        <v>129.00000000000009</v>
      </c>
      <c r="F88" s="14">
        <v>1</v>
      </c>
      <c r="G88" s="6">
        <f t="shared" si="3"/>
        <v>129</v>
      </c>
    </row>
    <row r="89" spans="2:7" x14ac:dyDescent="0.3">
      <c r="B89" s="6">
        <v>85</v>
      </c>
      <c r="C89" s="13">
        <f>Overview!F89</f>
        <v>1.360000000000001</v>
      </c>
      <c r="D89" s="6">
        <f>Overview!E89</f>
        <v>7.0000000000000007E-2</v>
      </c>
      <c r="E89" s="6">
        <f t="shared" si="2"/>
        <v>136.00000000000009</v>
      </c>
      <c r="F89" s="14">
        <v>1</v>
      </c>
      <c r="G89" s="6">
        <f t="shared" si="3"/>
        <v>136</v>
      </c>
    </row>
    <row r="90" spans="2:7" x14ac:dyDescent="0.3">
      <c r="B90" s="6">
        <v>86</v>
      </c>
      <c r="C90" s="13">
        <f>Overview!F90</f>
        <v>1.430000000000001</v>
      </c>
      <c r="D90" s="6">
        <f>Overview!E90</f>
        <v>7.0000000000000007E-2</v>
      </c>
      <c r="E90" s="6">
        <f t="shared" si="2"/>
        <v>143.00000000000011</v>
      </c>
      <c r="F90" s="14">
        <v>1</v>
      </c>
      <c r="G90" s="6">
        <f t="shared" si="3"/>
        <v>143</v>
      </c>
    </row>
    <row r="91" spans="2:7" x14ac:dyDescent="0.3">
      <c r="B91" s="6">
        <v>87</v>
      </c>
      <c r="C91" s="13">
        <f>Overview!F91</f>
        <v>1.5100000000000011</v>
      </c>
      <c r="D91" s="6">
        <f>Overview!E91</f>
        <v>0.08</v>
      </c>
      <c r="E91" s="6">
        <f t="shared" si="2"/>
        <v>151.00000000000011</v>
      </c>
      <c r="F91" s="14">
        <v>1</v>
      </c>
      <c r="G91" s="6">
        <f t="shared" si="3"/>
        <v>151</v>
      </c>
    </row>
    <row r="92" spans="2:7" x14ac:dyDescent="0.3">
      <c r="B92" s="6">
        <v>88</v>
      </c>
      <c r="C92" s="13">
        <f>Overview!F92</f>
        <v>1.5900000000000012</v>
      </c>
      <c r="D92" s="6">
        <f>Overview!E92</f>
        <v>0.08</v>
      </c>
      <c r="E92" s="6">
        <f t="shared" si="2"/>
        <v>159.00000000000011</v>
      </c>
      <c r="F92" s="14">
        <v>1</v>
      </c>
      <c r="G92" s="6">
        <f t="shared" si="3"/>
        <v>159</v>
      </c>
    </row>
    <row r="93" spans="2:7" x14ac:dyDescent="0.3">
      <c r="B93" s="6">
        <v>89</v>
      </c>
      <c r="C93" s="13">
        <f>Overview!F93</f>
        <v>1.6800000000000013</v>
      </c>
      <c r="D93" s="6">
        <f>Overview!E93</f>
        <v>0.09</v>
      </c>
      <c r="E93" s="6">
        <f t="shared" si="2"/>
        <v>168.00000000000011</v>
      </c>
      <c r="F93" s="14">
        <v>1</v>
      </c>
      <c r="G93" s="6">
        <f t="shared" si="3"/>
        <v>168</v>
      </c>
    </row>
    <row r="94" spans="2:7" x14ac:dyDescent="0.3">
      <c r="B94" s="6">
        <v>90</v>
      </c>
      <c r="C94" s="13">
        <f>Overview!F94</f>
        <v>1.7700000000000014</v>
      </c>
      <c r="D94" s="6">
        <f>Overview!E94</f>
        <v>0.09</v>
      </c>
      <c r="E94" s="6">
        <f t="shared" si="2"/>
        <v>177.00000000000014</v>
      </c>
      <c r="F94" s="14">
        <v>1</v>
      </c>
      <c r="G94" s="6">
        <f t="shared" si="3"/>
        <v>177</v>
      </c>
    </row>
    <row r="95" spans="2:7" x14ac:dyDescent="0.3">
      <c r="B95" s="6">
        <v>91</v>
      </c>
      <c r="C95" s="13">
        <f>Overview!F95</f>
        <v>1.8700000000000014</v>
      </c>
      <c r="D95" s="6">
        <f>Overview!E95</f>
        <v>0.1</v>
      </c>
      <c r="E95" s="6">
        <f t="shared" si="2"/>
        <v>187.00000000000014</v>
      </c>
      <c r="F95" s="14">
        <v>1</v>
      </c>
      <c r="G95" s="6">
        <f t="shared" si="3"/>
        <v>187</v>
      </c>
    </row>
    <row r="96" spans="2:7" x14ac:dyDescent="0.3">
      <c r="B96" s="6">
        <v>92</v>
      </c>
      <c r="C96" s="13">
        <f>Overview!F96</f>
        <v>1.9700000000000015</v>
      </c>
      <c r="D96" s="6">
        <f>Overview!E96</f>
        <v>0.1</v>
      </c>
      <c r="E96" s="6">
        <f t="shared" si="2"/>
        <v>197.00000000000014</v>
      </c>
      <c r="F96" s="14">
        <v>1</v>
      </c>
      <c r="G96" s="6">
        <f t="shared" si="3"/>
        <v>197</v>
      </c>
    </row>
    <row r="97" spans="2:7" x14ac:dyDescent="0.3">
      <c r="B97" s="6">
        <v>93</v>
      </c>
      <c r="C97" s="13">
        <f>Overview!F97</f>
        <v>2.0700000000000016</v>
      </c>
      <c r="D97" s="6">
        <f>Overview!E97</f>
        <v>0.1</v>
      </c>
      <c r="E97" s="6">
        <f t="shared" si="2"/>
        <v>207.00000000000017</v>
      </c>
      <c r="F97" s="14">
        <v>1</v>
      </c>
      <c r="G97" s="6">
        <f t="shared" si="3"/>
        <v>207</v>
      </c>
    </row>
    <row r="98" spans="2:7" x14ac:dyDescent="0.3">
      <c r="B98" s="6">
        <v>94</v>
      </c>
      <c r="C98" s="13">
        <f>Overview!F98</f>
        <v>2.2200000000000015</v>
      </c>
      <c r="D98" s="6">
        <f>Overview!E98</f>
        <v>0.15</v>
      </c>
      <c r="E98" s="6">
        <f t="shared" si="2"/>
        <v>222.00000000000014</v>
      </c>
      <c r="F98" s="14">
        <v>1</v>
      </c>
      <c r="G98" s="6">
        <f t="shared" si="3"/>
        <v>222</v>
      </c>
    </row>
    <row r="99" spans="2:7" x14ac:dyDescent="0.3">
      <c r="B99" s="6">
        <v>95</v>
      </c>
      <c r="C99" s="13">
        <f>Overview!F99</f>
        <v>2.3700000000000014</v>
      </c>
      <c r="D99" s="6">
        <f>Overview!E99</f>
        <v>0.15</v>
      </c>
      <c r="E99" s="6">
        <f t="shared" si="2"/>
        <v>237.00000000000014</v>
      </c>
      <c r="F99" s="14">
        <v>1</v>
      </c>
      <c r="G99" s="6">
        <f t="shared" si="3"/>
        <v>237</v>
      </c>
    </row>
    <row r="100" spans="2:7" x14ac:dyDescent="0.3">
      <c r="B100" s="6">
        <v>96</v>
      </c>
      <c r="C100" s="13">
        <f>Overview!F100</f>
        <v>2.5200000000000014</v>
      </c>
      <c r="D100" s="6">
        <f>Overview!E100</f>
        <v>0.15</v>
      </c>
      <c r="E100" s="6">
        <f t="shared" si="2"/>
        <v>252.00000000000014</v>
      </c>
      <c r="F100" s="14">
        <v>1</v>
      </c>
      <c r="G100" s="6">
        <f t="shared" si="3"/>
        <v>252</v>
      </c>
    </row>
    <row r="101" spans="2:7" x14ac:dyDescent="0.3">
      <c r="B101" s="6">
        <v>97</v>
      </c>
      <c r="C101" s="31">
        <f>Overview!F101</f>
        <v>2.7200000000000015</v>
      </c>
      <c r="D101" s="6">
        <f>Overview!E101</f>
        <v>0.2</v>
      </c>
      <c r="E101" s="6">
        <f t="shared" si="2"/>
        <v>272.00000000000017</v>
      </c>
      <c r="F101" s="16">
        <v>2</v>
      </c>
      <c r="G101" s="6">
        <f t="shared" si="3"/>
        <v>27</v>
      </c>
    </row>
    <row r="102" spans="2:7" x14ac:dyDescent="0.3">
      <c r="B102" s="6">
        <v>98</v>
      </c>
      <c r="C102" s="31">
        <f>Overview!F102</f>
        <v>2.9200000000000017</v>
      </c>
      <c r="D102" s="6">
        <f>Overview!E102</f>
        <v>0.2</v>
      </c>
      <c r="E102" s="6">
        <f t="shared" si="2"/>
        <v>292.00000000000017</v>
      </c>
      <c r="F102" s="16">
        <v>2</v>
      </c>
      <c r="G102" s="6">
        <f t="shared" si="3"/>
        <v>29</v>
      </c>
    </row>
    <row r="103" spans="2:7" x14ac:dyDescent="0.3">
      <c r="B103" s="6">
        <v>99</v>
      </c>
      <c r="C103" s="31">
        <f>Overview!F103</f>
        <v>3.1200000000000019</v>
      </c>
      <c r="D103" s="6">
        <f>Overview!E103</f>
        <v>0.2</v>
      </c>
      <c r="E103" s="6">
        <f t="shared" si="2"/>
        <v>312.00000000000017</v>
      </c>
      <c r="F103" s="16">
        <v>2</v>
      </c>
      <c r="G103" s="6">
        <f t="shared" si="3"/>
        <v>31</v>
      </c>
    </row>
    <row r="104" spans="2:7" x14ac:dyDescent="0.3">
      <c r="B104" s="6">
        <v>100</v>
      </c>
      <c r="C104" s="31">
        <f>Overview!F104</f>
        <v>3.3400000000000021</v>
      </c>
      <c r="D104" s="6">
        <f>Overview!E104</f>
        <v>0.22</v>
      </c>
      <c r="E104" s="6">
        <f t="shared" si="2"/>
        <v>334.00000000000023</v>
      </c>
      <c r="F104" s="16">
        <v>2</v>
      </c>
      <c r="G104" s="6">
        <f t="shared" si="3"/>
        <v>33</v>
      </c>
    </row>
    <row r="105" spans="2:7" x14ac:dyDescent="0.3">
      <c r="B105" s="6">
        <v>101</v>
      </c>
      <c r="C105" s="31">
        <f>Overview!F105</f>
        <v>3.5800000000000018</v>
      </c>
      <c r="D105" s="6">
        <f>Overview!E105</f>
        <v>0.24</v>
      </c>
      <c r="E105" s="6">
        <f t="shared" si="2"/>
        <v>358.00000000000017</v>
      </c>
      <c r="F105" s="16">
        <v>2</v>
      </c>
      <c r="G105" s="6">
        <f t="shared" si="3"/>
        <v>36</v>
      </c>
    </row>
    <row r="106" spans="2:7" x14ac:dyDescent="0.3">
      <c r="B106" s="6">
        <v>102</v>
      </c>
      <c r="C106" s="31">
        <f>Overview!F106</f>
        <v>3.8400000000000016</v>
      </c>
      <c r="D106" s="6">
        <f>Overview!E106</f>
        <v>0.26</v>
      </c>
      <c r="E106" s="6">
        <f t="shared" si="2"/>
        <v>384.00000000000017</v>
      </c>
      <c r="F106" s="16">
        <v>2</v>
      </c>
      <c r="G106" s="6">
        <f t="shared" si="3"/>
        <v>38</v>
      </c>
    </row>
    <row r="107" spans="2:7" x14ac:dyDescent="0.3">
      <c r="B107" s="6">
        <v>103</v>
      </c>
      <c r="C107" s="31">
        <f>Overview!F107</f>
        <v>4.1200000000000019</v>
      </c>
      <c r="D107" s="6">
        <f>Overview!E107</f>
        <v>0.28000000000000003</v>
      </c>
      <c r="E107" s="6">
        <f t="shared" si="2"/>
        <v>412.00000000000017</v>
      </c>
      <c r="F107" s="16">
        <v>2</v>
      </c>
      <c r="G107" s="6">
        <f t="shared" si="3"/>
        <v>41</v>
      </c>
    </row>
    <row r="108" spans="2:7" x14ac:dyDescent="0.3">
      <c r="B108" s="6">
        <v>104</v>
      </c>
      <c r="C108" s="31">
        <f>Overview!F108</f>
        <v>4.4200000000000017</v>
      </c>
      <c r="D108" s="6">
        <f>Overview!E108</f>
        <v>0.3</v>
      </c>
      <c r="E108" s="6">
        <f t="shared" si="2"/>
        <v>442.00000000000017</v>
      </c>
      <c r="F108" s="16">
        <v>2</v>
      </c>
      <c r="G108" s="6">
        <f t="shared" si="3"/>
        <v>44</v>
      </c>
    </row>
    <row r="109" spans="2:7" x14ac:dyDescent="0.3">
      <c r="B109" s="6">
        <v>105</v>
      </c>
      <c r="C109" s="31">
        <f>Overview!F109</f>
        <v>4.740000000000002</v>
      </c>
      <c r="D109" s="6">
        <f>Overview!E109</f>
        <v>0.32</v>
      </c>
      <c r="E109" s="6">
        <f t="shared" si="2"/>
        <v>474.00000000000023</v>
      </c>
      <c r="F109" s="16">
        <v>2</v>
      </c>
      <c r="G109" s="6">
        <f t="shared" si="3"/>
        <v>47</v>
      </c>
    </row>
    <row r="110" spans="2:7" x14ac:dyDescent="0.3">
      <c r="B110" s="6">
        <v>106</v>
      </c>
      <c r="C110" s="31">
        <f>Overview!F110</f>
        <v>5.0800000000000018</v>
      </c>
      <c r="D110" s="6">
        <f>Overview!E110</f>
        <v>0.34</v>
      </c>
      <c r="E110" s="6">
        <f t="shared" si="2"/>
        <v>508.00000000000017</v>
      </c>
      <c r="F110" s="16">
        <v>2</v>
      </c>
      <c r="G110" s="6">
        <f t="shared" si="3"/>
        <v>51</v>
      </c>
    </row>
    <row r="111" spans="2:7" x14ac:dyDescent="0.3">
      <c r="B111" s="6">
        <v>107</v>
      </c>
      <c r="C111" s="31">
        <f>Overview!F111</f>
        <v>5.4400000000000022</v>
      </c>
      <c r="D111" s="6">
        <f>Overview!E111</f>
        <v>0.36</v>
      </c>
      <c r="E111" s="6">
        <f t="shared" si="2"/>
        <v>544.00000000000023</v>
      </c>
      <c r="F111" s="16">
        <v>2</v>
      </c>
      <c r="G111" s="6">
        <f t="shared" si="3"/>
        <v>54</v>
      </c>
    </row>
    <row r="112" spans="2:7" x14ac:dyDescent="0.3">
      <c r="B112" s="6">
        <v>108</v>
      </c>
      <c r="C112" s="31">
        <f>Overview!F112</f>
        <v>5.8200000000000021</v>
      </c>
      <c r="D112" s="6">
        <f>Overview!E112</f>
        <v>0.38</v>
      </c>
      <c r="E112" s="6">
        <f t="shared" si="2"/>
        <v>582.00000000000023</v>
      </c>
      <c r="F112" s="16">
        <v>2</v>
      </c>
      <c r="G112" s="6">
        <f t="shared" si="3"/>
        <v>58</v>
      </c>
    </row>
    <row r="113" spans="2:7" x14ac:dyDescent="0.3">
      <c r="B113" s="6">
        <v>109</v>
      </c>
      <c r="C113" s="31">
        <f>Overview!F113</f>
        <v>6.2200000000000024</v>
      </c>
      <c r="D113" s="6">
        <f>Overview!E113</f>
        <v>0.4</v>
      </c>
      <c r="E113" s="6">
        <f t="shared" si="2"/>
        <v>622.00000000000023</v>
      </c>
      <c r="F113" s="16">
        <v>2</v>
      </c>
      <c r="G113" s="6">
        <f t="shared" si="3"/>
        <v>62</v>
      </c>
    </row>
    <row r="114" spans="2:7" x14ac:dyDescent="0.3">
      <c r="B114" s="6">
        <v>110</v>
      </c>
      <c r="C114" s="31">
        <f>Overview!F114</f>
        <v>6.6400000000000023</v>
      </c>
      <c r="D114" s="6">
        <f>Overview!E114</f>
        <v>0.42</v>
      </c>
      <c r="E114" s="6">
        <f t="shared" si="2"/>
        <v>664.00000000000023</v>
      </c>
      <c r="F114" s="16">
        <v>2</v>
      </c>
      <c r="G114" s="6">
        <f t="shared" si="3"/>
        <v>66</v>
      </c>
    </row>
    <row r="115" spans="2:7" x14ac:dyDescent="0.3">
      <c r="B115" s="6">
        <v>111</v>
      </c>
      <c r="C115" s="31">
        <f>Overview!F115</f>
        <v>7.0800000000000027</v>
      </c>
      <c r="D115" s="6">
        <f>Overview!E115</f>
        <v>0.44</v>
      </c>
      <c r="E115" s="6">
        <f t="shared" si="2"/>
        <v>708.00000000000023</v>
      </c>
      <c r="F115" s="16">
        <v>2</v>
      </c>
      <c r="G115" s="6">
        <f t="shared" si="3"/>
        <v>71</v>
      </c>
    </row>
    <row r="116" spans="2:7" x14ac:dyDescent="0.3">
      <c r="B116" s="6">
        <v>112</v>
      </c>
      <c r="C116" s="31">
        <f>Overview!F116</f>
        <v>7.5400000000000027</v>
      </c>
      <c r="D116" s="6">
        <f>Overview!E116</f>
        <v>0.46</v>
      </c>
      <c r="E116" s="6">
        <f t="shared" si="2"/>
        <v>754.00000000000023</v>
      </c>
      <c r="F116" s="16">
        <v>2</v>
      </c>
      <c r="G116" s="6">
        <f t="shared" si="3"/>
        <v>75</v>
      </c>
    </row>
    <row r="117" spans="2:7" x14ac:dyDescent="0.3">
      <c r="B117" s="6">
        <v>113</v>
      </c>
      <c r="C117" s="31">
        <f>Overview!F117</f>
        <v>8.0200000000000031</v>
      </c>
      <c r="D117" s="6">
        <f>Overview!E117</f>
        <v>0.48</v>
      </c>
      <c r="E117" s="6">
        <f t="shared" si="2"/>
        <v>802.00000000000034</v>
      </c>
      <c r="F117" s="16">
        <v>2</v>
      </c>
      <c r="G117" s="6">
        <f t="shared" si="3"/>
        <v>80</v>
      </c>
    </row>
    <row r="118" spans="2:7" x14ac:dyDescent="0.3">
      <c r="B118" s="6">
        <v>114</v>
      </c>
      <c r="C118" s="31">
        <f>Overview!F118</f>
        <v>8.5200000000000031</v>
      </c>
      <c r="D118" s="6">
        <f>Overview!E118</f>
        <v>0.5</v>
      </c>
      <c r="E118" s="6">
        <f t="shared" si="2"/>
        <v>852.00000000000034</v>
      </c>
      <c r="F118" s="16">
        <v>2</v>
      </c>
      <c r="G118" s="6">
        <f t="shared" si="3"/>
        <v>85</v>
      </c>
    </row>
    <row r="119" spans="2:7" x14ac:dyDescent="0.3">
      <c r="B119" s="6">
        <v>115</v>
      </c>
      <c r="C119" s="31">
        <f>Overview!F119</f>
        <v>9.0400000000000027</v>
      </c>
      <c r="D119" s="6">
        <f>Overview!E119</f>
        <v>0.52</v>
      </c>
      <c r="E119" s="6">
        <f t="shared" si="2"/>
        <v>904.00000000000023</v>
      </c>
      <c r="F119" s="16">
        <v>2</v>
      </c>
      <c r="G119" s="6">
        <f t="shared" si="3"/>
        <v>90</v>
      </c>
    </row>
    <row r="120" spans="2:7" x14ac:dyDescent="0.3">
      <c r="B120" s="6">
        <v>116</v>
      </c>
      <c r="C120" s="31">
        <f>Overview!F120</f>
        <v>9.5800000000000018</v>
      </c>
      <c r="D120" s="6">
        <f>Overview!E120</f>
        <v>0.54</v>
      </c>
      <c r="E120" s="6">
        <f t="shared" si="2"/>
        <v>958.00000000000023</v>
      </c>
      <c r="F120" s="16">
        <v>2</v>
      </c>
      <c r="G120" s="6">
        <f t="shared" si="3"/>
        <v>96</v>
      </c>
    </row>
    <row r="121" spans="2:7" x14ac:dyDescent="0.3">
      <c r="B121" s="6">
        <v>117</v>
      </c>
      <c r="C121" s="31">
        <f>Overview!F121</f>
        <v>10.140000000000002</v>
      </c>
      <c r="D121" s="6">
        <f>Overview!E121</f>
        <v>0.56000000000000005</v>
      </c>
      <c r="E121" s="6">
        <f t="shared" si="2"/>
        <v>1014.0000000000002</v>
      </c>
      <c r="F121" s="16">
        <v>2</v>
      </c>
      <c r="G121" s="6">
        <f t="shared" si="3"/>
        <v>101</v>
      </c>
    </row>
    <row r="122" spans="2:7" x14ac:dyDescent="0.3">
      <c r="B122" s="6">
        <v>118</v>
      </c>
      <c r="C122" s="31">
        <f>Overview!F122</f>
        <v>10.720000000000002</v>
      </c>
      <c r="D122" s="6">
        <f>Overview!E122</f>
        <v>0.57999999999999996</v>
      </c>
      <c r="E122" s="6">
        <f t="shared" si="2"/>
        <v>1072.0000000000002</v>
      </c>
      <c r="F122" s="16">
        <v>2</v>
      </c>
      <c r="G122" s="6">
        <f t="shared" si="3"/>
        <v>107</v>
      </c>
    </row>
    <row r="123" spans="2:7" x14ac:dyDescent="0.3">
      <c r="B123" s="6">
        <v>119</v>
      </c>
      <c r="C123" s="31">
        <f>Overview!F123</f>
        <v>11.320000000000002</v>
      </c>
      <c r="D123" s="6">
        <f>Overview!E123</f>
        <v>0.6</v>
      </c>
      <c r="E123" s="6">
        <f t="shared" si="2"/>
        <v>1132.0000000000002</v>
      </c>
      <c r="F123" s="16">
        <v>2</v>
      </c>
      <c r="G123" s="6">
        <f t="shared" si="3"/>
        <v>113</v>
      </c>
    </row>
    <row r="124" spans="2:7" x14ac:dyDescent="0.3">
      <c r="B124" s="6">
        <v>120</v>
      </c>
      <c r="C124" s="31">
        <f>Overview!F124</f>
        <v>11.940000000000001</v>
      </c>
      <c r="D124" s="6">
        <f>Overview!E124</f>
        <v>0.62</v>
      </c>
      <c r="E124" s="6">
        <f t="shared" si="2"/>
        <v>1194.0000000000002</v>
      </c>
      <c r="F124" s="16">
        <v>2</v>
      </c>
      <c r="G124" s="6">
        <f t="shared" si="3"/>
        <v>119</v>
      </c>
    </row>
    <row r="125" spans="2:7" x14ac:dyDescent="0.3">
      <c r="B125" s="6">
        <v>121</v>
      </c>
      <c r="C125" s="31">
        <f>Overview!F125</f>
        <v>12.580000000000002</v>
      </c>
      <c r="D125" s="6">
        <f>Overview!E125</f>
        <v>0.64</v>
      </c>
      <c r="E125" s="6">
        <f t="shared" si="2"/>
        <v>1258.0000000000002</v>
      </c>
      <c r="F125" s="16">
        <v>2</v>
      </c>
      <c r="G125" s="6">
        <f t="shared" si="3"/>
        <v>126</v>
      </c>
    </row>
    <row r="126" spans="2:7" x14ac:dyDescent="0.3">
      <c r="B126" s="6">
        <v>122</v>
      </c>
      <c r="C126" s="31">
        <f>Overview!F126</f>
        <v>13.240000000000002</v>
      </c>
      <c r="D126" s="6">
        <f>Overview!E126</f>
        <v>0.66</v>
      </c>
      <c r="E126" s="6">
        <f t="shared" si="2"/>
        <v>1324.0000000000002</v>
      </c>
      <c r="F126" s="16">
        <v>2</v>
      </c>
      <c r="G126" s="6">
        <f t="shared" si="3"/>
        <v>132</v>
      </c>
    </row>
    <row r="127" spans="2:7" x14ac:dyDescent="0.3">
      <c r="B127" s="6">
        <v>123</v>
      </c>
      <c r="C127" s="31">
        <f>Overview!F127</f>
        <v>13.920000000000002</v>
      </c>
      <c r="D127" s="6">
        <f>Overview!E127</f>
        <v>0.68</v>
      </c>
      <c r="E127" s="6">
        <f t="shared" si="2"/>
        <v>1392.0000000000002</v>
      </c>
      <c r="F127" s="16">
        <v>2</v>
      </c>
      <c r="G127" s="6">
        <f t="shared" si="3"/>
        <v>139</v>
      </c>
    </row>
    <row r="128" spans="2:7" x14ac:dyDescent="0.3">
      <c r="B128" s="6">
        <v>124</v>
      </c>
      <c r="C128" s="31">
        <f>Overview!F128</f>
        <v>14.620000000000001</v>
      </c>
      <c r="D128" s="6">
        <f>Overview!E128</f>
        <v>0.7</v>
      </c>
      <c r="E128" s="6">
        <f t="shared" si="2"/>
        <v>1462</v>
      </c>
      <c r="F128" s="16">
        <v>2</v>
      </c>
      <c r="G128" s="6">
        <f t="shared" si="3"/>
        <v>146</v>
      </c>
    </row>
    <row r="129" spans="2:7" x14ac:dyDescent="0.3">
      <c r="B129" s="6">
        <v>125</v>
      </c>
      <c r="C129" s="31">
        <f>Overview!F129</f>
        <v>15.340000000000002</v>
      </c>
      <c r="D129" s="6">
        <f>Overview!E129</f>
        <v>0.72</v>
      </c>
      <c r="E129" s="6">
        <f t="shared" si="2"/>
        <v>1534.0000000000002</v>
      </c>
      <c r="F129" s="16">
        <v>2</v>
      </c>
      <c r="G129" s="6">
        <f t="shared" si="3"/>
        <v>153</v>
      </c>
    </row>
    <row r="130" spans="2:7" x14ac:dyDescent="0.3">
      <c r="B130" s="6">
        <v>126</v>
      </c>
      <c r="C130" s="31">
        <f>Overview!F130</f>
        <v>16.090000000000003</v>
      </c>
      <c r="D130" s="6">
        <f>Overview!E130</f>
        <v>0.75</v>
      </c>
      <c r="E130" s="6">
        <f t="shared" si="2"/>
        <v>1609.0000000000005</v>
      </c>
      <c r="F130" s="16">
        <v>2</v>
      </c>
      <c r="G130" s="6">
        <f t="shared" si="3"/>
        <v>161</v>
      </c>
    </row>
    <row r="131" spans="2:7" x14ac:dyDescent="0.3">
      <c r="B131" s="6">
        <v>127</v>
      </c>
      <c r="C131" s="31">
        <f>Overview!F131</f>
        <v>16.870000000000005</v>
      </c>
      <c r="D131" s="6">
        <f>Overview!E131</f>
        <v>0.78</v>
      </c>
      <c r="E131" s="6">
        <f t="shared" si="2"/>
        <v>1687.0000000000005</v>
      </c>
      <c r="F131" s="16">
        <v>2</v>
      </c>
      <c r="G131" s="6">
        <f t="shared" si="3"/>
        <v>169</v>
      </c>
    </row>
    <row r="132" spans="2:7" x14ac:dyDescent="0.3">
      <c r="B132" s="6">
        <v>128</v>
      </c>
      <c r="C132" s="31">
        <f>Overview!F132</f>
        <v>17.680000000000003</v>
      </c>
      <c r="D132" s="6">
        <f>Overview!E132</f>
        <v>0.81</v>
      </c>
      <c r="E132" s="6">
        <f t="shared" si="2"/>
        <v>1768.0000000000002</v>
      </c>
      <c r="F132" s="16">
        <v>2</v>
      </c>
      <c r="G132" s="6">
        <f t="shared" si="3"/>
        <v>177</v>
      </c>
    </row>
    <row r="133" spans="2:7" x14ac:dyDescent="0.3">
      <c r="B133" s="6">
        <v>129</v>
      </c>
      <c r="C133" s="31">
        <f>Overview!F133</f>
        <v>18.520000000000003</v>
      </c>
      <c r="D133" s="6">
        <f>Overview!E133</f>
        <v>0.84</v>
      </c>
      <c r="E133" s="6">
        <f t="shared" ref="E133:E196" si="4">C133*100</f>
        <v>1852.0000000000002</v>
      </c>
      <c r="F133" s="16">
        <v>2</v>
      </c>
      <c r="G133" s="6">
        <f t="shared" ref="G133:G196" si="5">ROUND(E133/VLOOKUP(F133,$I$5:$M$16,4),0)</f>
        <v>185</v>
      </c>
    </row>
    <row r="134" spans="2:7" x14ac:dyDescent="0.3">
      <c r="B134" s="6">
        <v>130</v>
      </c>
      <c r="C134" s="31">
        <f>Overview!F134</f>
        <v>19.470000000000002</v>
      </c>
      <c r="D134" s="6">
        <f>Overview!E134</f>
        <v>0.95</v>
      </c>
      <c r="E134" s="6">
        <f t="shared" si="4"/>
        <v>1947.0000000000002</v>
      </c>
      <c r="F134" s="16">
        <v>2</v>
      </c>
      <c r="G134" s="6">
        <f t="shared" si="5"/>
        <v>195</v>
      </c>
    </row>
    <row r="135" spans="2:7" x14ac:dyDescent="0.3">
      <c r="B135" s="6">
        <v>131</v>
      </c>
      <c r="C135" s="31">
        <f>Overview!F135</f>
        <v>20.570000000000004</v>
      </c>
      <c r="D135" s="6">
        <f>Overview!E135</f>
        <v>1.1000000000000001</v>
      </c>
      <c r="E135" s="6">
        <f t="shared" si="4"/>
        <v>2057.0000000000005</v>
      </c>
      <c r="F135" s="16">
        <v>2</v>
      </c>
      <c r="G135" s="6">
        <f t="shared" si="5"/>
        <v>206</v>
      </c>
    </row>
    <row r="136" spans="2:7" x14ac:dyDescent="0.3">
      <c r="B136" s="6">
        <v>132</v>
      </c>
      <c r="C136" s="31">
        <f>Overview!F136</f>
        <v>21.770000000000003</v>
      </c>
      <c r="D136" s="6">
        <f>Overview!E136</f>
        <v>1.2</v>
      </c>
      <c r="E136" s="6">
        <f t="shared" si="4"/>
        <v>2177.0000000000005</v>
      </c>
      <c r="F136" s="16">
        <v>2</v>
      </c>
      <c r="G136" s="6">
        <f t="shared" si="5"/>
        <v>218</v>
      </c>
    </row>
    <row r="137" spans="2:7" x14ac:dyDescent="0.3">
      <c r="B137" s="6">
        <v>133</v>
      </c>
      <c r="C137" s="31">
        <f>Overview!F137</f>
        <v>23.070000000000004</v>
      </c>
      <c r="D137" s="6">
        <f>Overview!E137</f>
        <v>1.3</v>
      </c>
      <c r="E137" s="6">
        <f t="shared" si="4"/>
        <v>2307.0000000000005</v>
      </c>
      <c r="F137" s="16">
        <v>2</v>
      </c>
      <c r="G137" s="6">
        <f t="shared" si="5"/>
        <v>231</v>
      </c>
    </row>
    <row r="138" spans="2:7" x14ac:dyDescent="0.3">
      <c r="B138" s="6">
        <v>134</v>
      </c>
      <c r="C138" s="31">
        <f>Overview!F138</f>
        <v>24.470000000000002</v>
      </c>
      <c r="D138" s="6">
        <f>Overview!E138</f>
        <v>1.4</v>
      </c>
      <c r="E138" s="6">
        <f t="shared" si="4"/>
        <v>2447.0000000000005</v>
      </c>
      <c r="F138" s="16">
        <v>2</v>
      </c>
      <c r="G138" s="6">
        <f t="shared" si="5"/>
        <v>245</v>
      </c>
    </row>
    <row r="139" spans="2:7" x14ac:dyDescent="0.3">
      <c r="B139" s="6">
        <v>135</v>
      </c>
      <c r="C139" s="31">
        <f>Overview!F139</f>
        <v>25.970000000000002</v>
      </c>
      <c r="D139" s="6">
        <f>Overview!E139</f>
        <v>1.5</v>
      </c>
      <c r="E139" s="6">
        <f t="shared" si="4"/>
        <v>2597.0000000000005</v>
      </c>
      <c r="F139" s="18">
        <v>3</v>
      </c>
      <c r="G139" s="6">
        <f t="shared" si="5"/>
        <v>26</v>
      </c>
    </row>
    <row r="140" spans="2:7" x14ac:dyDescent="0.3">
      <c r="B140" s="6">
        <v>136</v>
      </c>
      <c r="C140" s="32">
        <f>Overview!F140</f>
        <v>27.570000000000004</v>
      </c>
      <c r="D140" s="6">
        <f>Overview!E140</f>
        <v>1.6</v>
      </c>
      <c r="E140" s="6">
        <f t="shared" si="4"/>
        <v>2757.0000000000005</v>
      </c>
      <c r="F140" s="18">
        <v>3</v>
      </c>
      <c r="G140" s="6">
        <f t="shared" si="5"/>
        <v>28</v>
      </c>
    </row>
    <row r="141" spans="2:7" x14ac:dyDescent="0.3">
      <c r="B141" s="6">
        <v>137</v>
      </c>
      <c r="C141" s="32">
        <f>Overview!F141</f>
        <v>29.270000000000003</v>
      </c>
      <c r="D141" s="6">
        <f>Overview!E141</f>
        <v>1.7</v>
      </c>
      <c r="E141" s="6">
        <f t="shared" si="4"/>
        <v>2927.0000000000005</v>
      </c>
      <c r="F141" s="18">
        <v>3</v>
      </c>
      <c r="G141" s="6">
        <f t="shared" si="5"/>
        <v>29</v>
      </c>
    </row>
    <row r="142" spans="2:7" x14ac:dyDescent="0.3">
      <c r="B142" s="6">
        <v>138</v>
      </c>
      <c r="C142" s="32">
        <f>Overview!F142</f>
        <v>31.070000000000004</v>
      </c>
      <c r="D142" s="6">
        <f>Overview!E142</f>
        <v>1.8</v>
      </c>
      <c r="E142" s="6">
        <f t="shared" si="4"/>
        <v>3107.0000000000005</v>
      </c>
      <c r="F142" s="18">
        <v>3</v>
      </c>
      <c r="G142" s="6">
        <f t="shared" si="5"/>
        <v>31</v>
      </c>
    </row>
    <row r="143" spans="2:7" x14ac:dyDescent="0.3">
      <c r="B143" s="6">
        <v>139</v>
      </c>
      <c r="C143" s="32">
        <f>Overview!F143</f>
        <v>32.970000000000006</v>
      </c>
      <c r="D143" s="6">
        <f>Overview!E143</f>
        <v>1.9</v>
      </c>
      <c r="E143" s="6">
        <f t="shared" si="4"/>
        <v>3297.0000000000005</v>
      </c>
      <c r="F143" s="18">
        <v>3</v>
      </c>
      <c r="G143" s="6">
        <f t="shared" si="5"/>
        <v>33</v>
      </c>
    </row>
    <row r="144" spans="2:7" x14ac:dyDescent="0.3">
      <c r="B144" s="6">
        <v>140</v>
      </c>
      <c r="C144" s="32">
        <f>Overview!F144</f>
        <v>35.070000000000007</v>
      </c>
      <c r="D144" s="6">
        <f>Overview!E144</f>
        <v>2.1</v>
      </c>
      <c r="E144" s="6">
        <f t="shared" si="4"/>
        <v>3507.0000000000009</v>
      </c>
      <c r="F144" s="18">
        <v>3</v>
      </c>
      <c r="G144" s="6">
        <f t="shared" si="5"/>
        <v>35</v>
      </c>
    </row>
    <row r="145" spans="2:7" x14ac:dyDescent="0.3">
      <c r="B145" s="6">
        <v>141</v>
      </c>
      <c r="C145" s="32">
        <f>Overview!F145</f>
        <v>37.27000000000001</v>
      </c>
      <c r="D145" s="6">
        <f>Overview!E145</f>
        <v>2.2000000000000002</v>
      </c>
      <c r="E145" s="6">
        <f t="shared" si="4"/>
        <v>3727.0000000000009</v>
      </c>
      <c r="F145" s="18">
        <v>3</v>
      </c>
      <c r="G145" s="6">
        <f t="shared" si="5"/>
        <v>37</v>
      </c>
    </row>
    <row r="146" spans="2:7" x14ac:dyDescent="0.3">
      <c r="B146" s="6">
        <v>142</v>
      </c>
      <c r="C146" s="32">
        <f>Overview!F146</f>
        <v>39.570000000000007</v>
      </c>
      <c r="D146" s="6">
        <f>Overview!E146</f>
        <v>2.2999999999999998</v>
      </c>
      <c r="E146" s="6">
        <f t="shared" si="4"/>
        <v>3957.0000000000009</v>
      </c>
      <c r="F146" s="18">
        <v>3</v>
      </c>
      <c r="G146" s="6">
        <f t="shared" si="5"/>
        <v>40</v>
      </c>
    </row>
    <row r="147" spans="2:7" x14ac:dyDescent="0.3">
      <c r="B147" s="6">
        <v>143</v>
      </c>
      <c r="C147" s="32">
        <f>Overview!F147</f>
        <v>41.970000000000006</v>
      </c>
      <c r="D147" s="6">
        <f>Overview!E147</f>
        <v>2.4</v>
      </c>
      <c r="E147" s="6">
        <f t="shared" si="4"/>
        <v>4197.0000000000009</v>
      </c>
      <c r="F147" s="18">
        <v>3</v>
      </c>
      <c r="G147" s="6">
        <f t="shared" si="5"/>
        <v>42</v>
      </c>
    </row>
    <row r="148" spans="2:7" x14ac:dyDescent="0.3">
      <c r="B148" s="6">
        <v>144</v>
      </c>
      <c r="C148" s="32">
        <f>Overview!F148</f>
        <v>44.470000000000006</v>
      </c>
      <c r="D148" s="6">
        <f>Overview!E148</f>
        <v>2.5</v>
      </c>
      <c r="E148" s="6">
        <f t="shared" si="4"/>
        <v>4447.0000000000009</v>
      </c>
      <c r="F148" s="18">
        <v>3</v>
      </c>
      <c r="G148" s="6">
        <f t="shared" si="5"/>
        <v>44</v>
      </c>
    </row>
    <row r="149" spans="2:7" x14ac:dyDescent="0.3">
      <c r="B149" s="6">
        <v>145</v>
      </c>
      <c r="C149" s="32">
        <f>Overview!F149</f>
        <v>47.070000000000007</v>
      </c>
      <c r="D149" s="6">
        <f>Overview!E149</f>
        <v>2.6</v>
      </c>
      <c r="E149" s="6">
        <f t="shared" si="4"/>
        <v>4707.0000000000009</v>
      </c>
      <c r="F149" s="18">
        <v>3</v>
      </c>
      <c r="G149" s="6">
        <f t="shared" si="5"/>
        <v>47</v>
      </c>
    </row>
    <row r="150" spans="2:7" x14ac:dyDescent="0.3">
      <c r="B150" s="6">
        <v>146</v>
      </c>
      <c r="C150" s="32">
        <f>Overview!F150</f>
        <v>49.77000000000001</v>
      </c>
      <c r="D150" s="6">
        <f>Overview!E150</f>
        <v>2.7</v>
      </c>
      <c r="E150" s="6">
        <f t="shared" si="4"/>
        <v>4977.0000000000009</v>
      </c>
      <c r="F150" s="18">
        <v>3</v>
      </c>
      <c r="G150" s="6">
        <f t="shared" si="5"/>
        <v>50</v>
      </c>
    </row>
    <row r="151" spans="2:7" x14ac:dyDescent="0.3">
      <c r="B151" s="6">
        <v>147</v>
      </c>
      <c r="C151" s="32">
        <f>Overview!F151</f>
        <v>52.570000000000007</v>
      </c>
      <c r="D151" s="6">
        <f>Overview!E151</f>
        <v>2.8</v>
      </c>
      <c r="E151" s="6">
        <f t="shared" si="4"/>
        <v>5257.0000000000009</v>
      </c>
      <c r="F151" s="18">
        <v>3</v>
      </c>
      <c r="G151" s="6">
        <f t="shared" si="5"/>
        <v>53</v>
      </c>
    </row>
    <row r="152" spans="2:7" x14ac:dyDescent="0.3">
      <c r="B152" s="6">
        <v>148</v>
      </c>
      <c r="C152" s="32">
        <f>Overview!F152</f>
        <v>55.470000000000006</v>
      </c>
      <c r="D152" s="6">
        <f>Overview!E152</f>
        <v>2.9</v>
      </c>
      <c r="E152" s="6">
        <f t="shared" si="4"/>
        <v>5547.0000000000009</v>
      </c>
      <c r="F152" s="18">
        <v>3</v>
      </c>
      <c r="G152" s="6">
        <f t="shared" si="5"/>
        <v>55</v>
      </c>
    </row>
    <row r="153" spans="2:7" x14ac:dyDescent="0.3">
      <c r="B153" s="6">
        <v>149</v>
      </c>
      <c r="C153" s="32">
        <f>Overview!F153</f>
        <v>58.470000000000006</v>
      </c>
      <c r="D153" s="6">
        <f>Overview!E153</f>
        <v>3</v>
      </c>
      <c r="E153" s="6">
        <f t="shared" si="4"/>
        <v>5847.0000000000009</v>
      </c>
      <c r="F153" s="18">
        <v>3</v>
      </c>
      <c r="G153" s="6">
        <f t="shared" si="5"/>
        <v>58</v>
      </c>
    </row>
    <row r="154" spans="2:7" x14ac:dyDescent="0.3">
      <c r="B154" s="6">
        <v>150</v>
      </c>
      <c r="C154" s="32">
        <f>Overview!F154</f>
        <v>61.570000000000007</v>
      </c>
      <c r="D154" s="6">
        <f>Overview!E154</f>
        <v>3.1</v>
      </c>
      <c r="E154" s="6">
        <f t="shared" si="4"/>
        <v>6157.0000000000009</v>
      </c>
      <c r="F154" s="18">
        <v>3</v>
      </c>
      <c r="G154" s="6">
        <f t="shared" si="5"/>
        <v>62</v>
      </c>
    </row>
    <row r="155" spans="2:7" x14ac:dyDescent="0.3">
      <c r="B155" s="6">
        <v>151</v>
      </c>
      <c r="C155" s="32">
        <f>Overview!F155</f>
        <v>64.77000000000001</v>
      </c>
      <c r="D155" s="6">
        <f>Overview!E155</f>
        <v>3.2</v>
      </c>
      <c r="E155" s="6">
        <f t="shared" si="4"/>
        <v>6477.0000000000009</v>
      </c>
      <c r="F155" s="18">
        <v>3</v>
      </c>
      <c r="G155" s="6">
        <f t="shared" si="5"/>
        <v>65</v>
      </c>
    </row>
    <row r="156" spans="2:7" x14ac:dyDescent="0.3">
      <c r="B156" s="6">
        <v>152</v>
      </c>
      <c r="C156" s="32">
        <f>Overview!F156</f>
        <v>68.070000000000007</v>
      </c>
      <c r="D156" s="6">
        <f>Overview!E156</f>
        <v>3.3</v>
      </c>
      <c r="E156" s="6">
        <f t="shared" si="4"/>
        <v>6807.0000000000009</v>
      </c>
      <c r="F156" s="18">
        <v>3</v>
      </c>
      <c r="G156" s="6">
        <f t="shared" si="5"/>
        <v>68</v>
      </c>
    </row>
    <row r="157" spans="2:7" x14ac:dyDescent="0.3">
      <c r="B157" s="6">
        <v>153</v>
      </c>
      <c r="C157" s="32">
        <f>Overview!F157</f>
        <v>71.470000000000013</v>
      </c>
      <c r="D157" s="6">
        <f>Overview!E157</f>
        <v>3.4</v>
      </c>
      <c r="E157" s="6">
        <f t="shared" si="4"/>
        <v>7147.0000000000009</v>
      </c>
      <c r="F157" s="18">
        <v>3</v>
      </c>
      <c r="G157" s="6">
        <f t="shared" si="5"/>
        <v>71</v>
      </c>
    </row>
    <row r="158" spans="2:7" x14ac:dyDescent="0.3">
      <c r="B158" s="6">
        <v>154</v>
      </c>
      <c r="C158" s="32">
        <f>Overview!F158</f>
        <v>74.970000000000013</v>
      </c>
      <c r="D158" s="6">
        <f>Overview!E158</f>
        <v>3.5</v>
      </c>
      <c r="E158" s="6">
        <f t="shared" si="4"/>
        <v>7497.0000000000009</v>
      </c>
      <c r="F158" s="18">
        <v>3</v>
      </c>
      <c r="G158" s="6">
        <f t="shared" si="5"/>
        <v>75</v>
      </c>
    </row>
    <row r="159" spans="2:7" x14ac:dyDescent="0.3">
      <c r="B159" s="6">
        <v>155</v>
      </c>
      <c r="C159" s="32">
        <f>Overview!F159</f>
        <v>78.570000000000007</v>
      </c>
      <c r="D159" s="6">
        <f>Overview!E159</f>
        <v>3.6</v>
      </c>
      <c r="E159" s="6">
        <f t="shared" si="4"/>
        <v>7857.0000000000009</v>
      </c>
      <c r="F159" s="18">
        <v>3</v>
      </c>
      <c r="G159" s="6">
        <f t="shared" si="5"/>
        <v>79</v>
      </c>
    </row>
    <row r="160" spans="2:7" x14ac:dyDescent="0.3">
      <c r="B160" s="6">
        <v>156</v>
      </c>
      <c r="C160" s="32">
        <f>Overview!F160</f>
        <v>82.27000000000001</v>
      </c>
      <c r="D160" s="6">
        <f>Overview!E160</f>
        <v>3.7</v>
      </c>
      <c r="E160" s="6">
        <f t="shared" si="4"/>
        <v>8227.0000000000018</v>
      </c>
      <c r="F160" s="18">
        <v>3</v>
      </c>
      <c r="G160" s="6">
        <f t="shared" si="5"/>
        <v>82</v>
      </c>
    </row>
    <row r="161" spans="2:7" x14ac:dyDescent="0.3">
      <c r="B161" s="6">
        <v>157</v>
      </c>
      <c r="C161" s="32">
        <f>Overview!F161</f>
        <v>86.070000000000007</v>
      </c>
      <c r="D161" s="6">
        <f>Overview!E161</f>
        <v>3.8</v>
      </c>
      <c r="E161" s="6">
        <f t="shared" si="4"/>
        <v>8607</v>
      </c>
      <c r="F161" s="18">
        <v>3</v>
      </c>
      <c r="G161" s="6">
        <f t="shared" si="5"/>
        <v>86</v>
      </c>
    </row>
    <row r="162" spans="2:7" x14ac:dyDescent="0.3">
      <c r="B162" s="6">
        <v>158</v>
      </c>
      <c r="C162" s="32">
        <f>Overview!F162</f>
        <v>89.970000000000013</v>
      </c>
      <c r="D162" s="6">
        <f>Overview!E162</f>
        <v>3.9</v>
      </c>
      <c r="E162" s="6">
        <f t="shared" si="4"/>
        <v>8997.0000000000018</v>
      </c>
      <c r="F162" s="18">
        <v>3</v>
      </c>
      <c r="G162" s="6">
        <f t="shared" si="5"/>
        <v>90</v>
      </c>
    </row>
    <row r="163" spans="2:7" x14ac:dyDescent="0.3">
      <c r="B163" s="6">
        <v>159</v>
      </c>
      <c r="C163" s="32">
        <f>Overview!F163</f>
        <v>93.970000000000013</v>
      </c>
      <c r="D163" s="6">
        <f>Overview!E163</f>
        <v>4</v>
      </c>
      <c r="E163" s="6">
        <f t="shared" si="4"/>
        <v>9397.0000000000018</v>
      </c>
      <c r="F163" s="18">
        <v>3</v>
      </c>
      <c r="G163" s="6">
        <f t="shared" si="5"/>
        <v>94</v>
      </c>
    </row>
    <row r="164" spans="2:7" x14ac:dyDescent="0.3">
      <c r="B164" s="6">
        <v>160</v>
      </c>
      <c r="C164" s="32">
        <f>Overview!F164</f>
        <v>98.070000000000007</v>
      </c>
      <c r="D164" s="6">
        <f>Overview!E164</f>
        <v>4.0999999999999996</v>
      </c>
      <c r="E164" s="6">
        <f t="shared" si="4"/>
        <v>9807</v>
      </c>
      <c r="F164" s="18">
        <v>3</v>
      </c>
      <c r="G164" s="6">
        <f t="shared" si="5"/>
        <v>98</v>
      </c>
    </row>
    <row r="165" spans="2:7" x14ac:dyDescent="0.3">
      <c r="B165" s="6">
        <v>161</v>
      </c>
      <c r="C165" s="32">
        <f>Overview!F165</f>
        <v>102.27000000000001</v>
      </c>
      <c r="D165" s="6">
        <f>Overview!E165</f>
        <v>4.2</v>
      </c>
      <c r="E165" s="6">
        <f t="shared" si="4"/>
        <v>10227.000000000002</v>
      </c>
      <c r="F165" s="18">
        <v>3</v>
      </c>
      <c r="G165" s="6">
        <f t="shared" si="5"/>
        <v>102</v>
      </c>
    </row>
    <row r="166" spans="2:7" x14ac:dyDescent="0.3">
      <c r="B166" s="6">
        <v>162</v>
      </c>
      <c r="C166" s="32">
        <f>Overview!F166</f>
        <v>106.57000000000001</v>
      </c>
      <c r="D166" s="6">
        <f>Overview!E166</f>
        <v>4.3</v>
      </c>
      <c r="E166" s="6">
        <f t="shared" si="4"/>
        <v>10657</v>
      </c>
      <c r="F166" s="18">
        <v>3</v>
      </c>
      <c r="G166" s="6">
        <f t="shared" si="5"/>
        <v>107</v>
      </c>
    </row>
    <row r="167" spans="2:7" x14ac:dyDescent="0.3">
      <c r="B167" s="6">
        <v>163</v>
      </c>
      <c r="C167" s="32">
        <f>Overview!F167</f>
        <v>110.97000000000001</v>
      </c>
      <c r="D167" s="6">
        <f>Overview!E167</f>
        <v>4.4000000000000004</v>
      </c>
      <c r="E167" s="6">
        <f t="shared" si="4"/>
        <v>11097.000000000002</v>
      </c>
      <c r="F167" s="18">
        <v>3</v>
      </c>
      <c r="G167" s="6">
        <f t="shared" si="5"/>
        <v>111</v>
      </c>
    </row>
    <row r="168" spans="2:7" x14ac:dyDescent="0.3">
      <c r="B168" s="6">
        <v>164</v>
      </c>
      <c r="C168" s="32">
        <f>Overview!F168</f>
        <v>115.47000000000001</v>
      </c>
      <c r="D168" s="6">
        <f>Overview!E168</f>
        <v>4.5</v>
      </c>
      <c r="E168" s="6">
        <f t="shared" si="4"/>
        <v>11547.000000000002</v>
      </c>
      <c r="F168" s="18">
        <v>3</v>
      </c>
      <c r="G168" s="6">
        <f t="shared" si="5"/>
        <v>115</v>
      </c>
    </row>
    <row r="169" spans="2:7" x14ac:dyDescent="0.3">
      <c r="B169" s="6">
        <v>165</v>
      </c>
      <c r="C169" s="32">
        <f>Overview!F169</f>
        <v>120.07000000000001</v>
      </c>
      <c r="D169" s="6">
        <f>Overview!E169</f>
        <v>4.5999999999999996</v>
      </c>
      <c r="E169" s="6">
        <f t="shared" si="4"/>
        <v>12007</v>
      </c>
      <c r="F169" s="18">
        <v>3</v>
      </c>
      <c r="G169" s="6">
        <f t="shared" si="5"/>
        <v>120</v>
      </c>
    </row>
    <row r="170" spans="2:7" x14ac:dyDescent="0.3">
      <c r="B170" s="6">
        <v>166</v>
      </c>
      <c r="C170" s="32">
        <f>Overview!F170</f>
        <v>124.77000000000001</v>
      </c>
      <c r="D170" s="6">
        <f>Overview!E170</f>
        <v>4.7</v>
      </c>
      <c r="E170" s="6">
        <f t="shared" si="4"/>
        <v>12477.000000000002</v>
      </c>
      <c r="F170" s="18">
        <v>3</v>
      </c>
      <c r="G170" s="6">
        <f t="shared" si="5"/>
        <v>125</v>
      </c>
    </row>
    <row r="171" spans="2:7" x14ac:dyDescent="0.3">
      <c r="B171" s="6">
        <v>167</v>
      </c>
      <c r="C171" s="32">
        <f>Overview!F171</f>
        <v>129.57000000000002</v>
      </c>
      <c r="D171" s="6">
        <f>Overview!E171</f>
        <v>4.8</v>
      </c>
      <c r="E171" s="6">
        <f t="shared" si="4"/>
        <v>12957.000000000002</v>
      </c>
      <c r="F171" s="18">
        <v>3</v>
      </c>
      <c r="G171" s="6">
        <f t="shared" si="5"/>
        <v>130</v>
      </c>
    </row>
    <row r="172" spans="2:7" x14ac:dyDescent="0.3">
      <c r="B172" s="6">
        <v>168</v>
      </c>
      <c r="C172" s="32">
        <f>Overview!F172</f>
        <v>134.47000000000003</v>
      </c>
      <c r="D172" s="6">
        <f>Overview!E172</f>
        <v>4.9000000000000004</v>
      </c>
      <c r="E172" s="6">
        <f t="shared" si="4"/>
        <v>13447.000000000004</v>
      </c>
      <c r="F172" s="18">
        <v>3</v>
      </c>
      <c r="G172" s="6">
        <f t="shared" si="5"/>
        <v>134</v>
      </c>
    </row>
    <row r="173" spans="2:7" x14ac:dyDescent="0.3">
      <c r="B173" s="6">
        <v>169</v>
      </c>
      <c r="C173" s="32">
        <f>Overview!F173</f>
        <v>139.47000000000003</v>
      </c>
      <c r="D173" s="6">
        <f>Overview!E173</f>
        <v>5</v>
      </c>
      <c r="E173" s="6">
        <f t="shared" si="4"/>
        <v>13947.000000000004</v>
      </c>
      <c r="F173" s="18">
        <v>3</v>
      </c>
      <c r="G173" s="6">
        <f t="shared" si="5"/>
        <v>139</v>
      </c>
    </row>
    <row r="174" spans="2:7" x14ac:dyDescent="0.3">
      <c r="B174" s="6">
        <v>170</v>
      </c>
      <c r="C174" s="32">
        <f>Overview!F174</f>
        <v>144.65000000000003</v>
      </c>
      <c r="D174" s="6">
        <f>Overview!E174</f>
        <v>5.18</v>
      </c>
      <c r="E174" s="6">
        <f t="shared" si="4"/>
        <v>14465.000000000004</v>
      </c>
      <c r="F174" s="18">
        <v>3</v>
      </c>
      <c r="G174" s="6">
        <f t="shared" si="5"/>
        <v>145</v>
      </c>
    </row>
    <row r="175" spans="2:7" x14ac:dyDescent="0.3">
      <c r="B175" s="6">
        <v>171</v>
      </c>
      <c r="C175" s="32">
        <f>Overview!F175</f>
        <v>150.01000000000005</v>
      </c>
      <c r="D175" s="6">
        <f>Overview!E175</f>
        <v>5.36</v>
      </c>
      <c r="E175" s="6">
        <f t="shared" si="4"/>
        <v>15001.000000000005</v>
      </c>
      <c r="F175" s="18">
        <v>3</v>
      </c>
      <c r="G175" s="6">
        <f t="shared" si="5"/>
        <v>150</v>
      </c>
    </row>
    <row r="176" spans="2:7" x14ac:dyDescent="0.3">
      <c r="B176" s="6">
        <v>172</v>
      </c>
      <c r="C176" s="32">
        <f>Overview!F176</f>
        <v>155.55000000000004</v>
      </c>
      <c r="D176" s="6">
        <f>Overview!E176</f>
        <v>5.54</v>
      </c>
      <c r="E176" s="6">
        <f t="shared" si="4"/>
        <v>15555.000000000004</v>
      </c>
      <c r="F176" s="18">
        <v>3</v>
      </c>
      <c r="G176" s="6">
        <f t="shared" si="5"/>
        <v>156</v>
      </c>
    </row>
    <row r="177" spans="2:7" x14ac:dyDescent="0.3">
      <c r="B177" s="6">
        <v>173</v>
      </c>
      <c r="C177" s="32">
        <f>Overview!F177</f>
        <v>161.27000000000004</v>
      </c>
      <c r="D177" s="6">
        <f>Overview!E177</f>
        <v>5.72</v>
      </c>
      <c r="E177" s="6">
        <f t="shared" si="4"/>
        <v>16127.000000000004</v>
      </c>
      <c r="F177" s="18">
        <v>3</v>
      </c>
      <c r="G177" s="6">
        <f t="shared" si="5"/>
        <v>161</v>
      </c>
    </row>
    <row r="178" spans="2:7" x14ac:dyDescent="0.3">
      <c r="B178" s="6">
        <v>174</v>
      </c>
      <c r="C178" s="32">
        <f>Overview!F178</f>
        <v>167.17000000000004</v>
      </c>
      <c r="D178" s="6">
        <f>Overview!E178</f>
        <v>5.9</v>
      </c>
      <c r="E178" s="6">
        <f t="shared" si="4"/>
        <v>16717.000000000004</v>
      </c>
      <c r="F178" s="18">
        <v>3</v>
      </c>
      <c r="G178" s="6">
        <f t="shared" si="5"/>
        <v>167</v>
      </c>
    </row>
    <row r="179" spans="2:7" x14ac:dyDescent="0.3">
      <c r="B179" s="6">
        <v>175</v>
      </c>
      <c r="C179" s="32">
        <f>Overview!F179</f>
        <v>173.25000000000006</v>
      </c>
      <c r="D179" s="6">
        <f>Overview!E179</f>
        <v>6.08</v>
      </c>
      <c r="E179" s="6">
        <f t="shared" si="4"/>
        <v>17325.000000000007</v>
      </c>
      <c r="F179" s="18">
        <v>3</v>
      </c>
      <c r="G179" s="6">
        <f t="shared" si="5"/>
        <v>173</v>
      </c>
    </row>
    <row r="180" spans="2:7" x14ac:dyDescent="0.3">
      <c r="B180" s="6">
        <v>176</v>
      </c>
      <c r="C180" s="32">
        <f>Overview!F180</f>
        <v>179.51000000000005</v>
      </c>
      <c r="D180" s="6">
        <f>Overview!E180</f>
        <v>6.26</v>
      </c>
      <c r="E180" s="6">
        <f t="shared" si="4"/>
        <v>17951.000000000004</v>
      </c>
      <c r="F180" s="18">
        <v>3</v>
      </c>
      <c r="G180" s="6">
        <f t="shared" si="5"/>
        <v>180</v>
      </c>
    </row>
    <row r="181" spans="2:7" x14ac:dyDescent="0.3">
      <c r="B181" s="6">
        <v>177</v>
      </c>
      <c r="C181" s="32">
        <f>Overview!F181</f>
        <v>185.95000000000005</v>
      </c>
      <c r="D181" s="6">
        <f>Overview!E181</f>
        <v>6.44</v>
      </c>
      <c r="E181" s="6">
        <f t="shared" si="4"/>
        <v>18595.000000000004</v>
      </c>
      <c r="F181" s="18">
        <v>3</v>
      </c>
      <c r="G181" s="6">
        <f t="shared" si="5"/>
        <v>186</v>
      </c>
    </row>
    <row r="182" spans="2:7" x14ac:dyDescent="0.3">
      <c r="B182" s="6">
        <v>178</v>
      </c>
      <c r="C182" s="32">
        <f>Overview!F182</f>
        <v>192.57000000000005</v>
      </c>
      <c r="D182" s="6">
        <f>Overview!E182</f>
        <v>6.62</v>
      </c>
      <c r="E182" s="6">
        <f t="shared" si="4"/>
        <v>19257.000000000004</v>
      </c>
      <c r="F182" s="18">
        <v>3</v>
      </c>
      <c r="G182" s="6">
        <f t="shared" si="5"/>
        <v>193</v>
      </c>
    </row>
    <row r="183" spans="2:7" x14ac:dyDescent="0.3">
      <c r="B183" s="6">
        <v>179</v>
      </c>
      <c r="C183" s="32">
        <f>Overview!F183</f>
        <v>199.37000000000006</v>
      </c>
      <c r="D183" s="6">
        <f>Overview!E183</f>
        <v>6.8</v>
      </c>
      <c r="E183" s="6">
        <f t="shared" si="4"/>
        <v>19937.000000000007</v>
      </c>
      <c r="F183" s="18">
        <v>3</v>
      </c>
      <c r="G183" s="6">
        <f t="shared" si="5"/>
        <v>199</v>
      </c>
    </row>
    <row r="184" spans="2:7" x14ac:dyDescent="0.3">
      <c r="B184" s="6">
        <v>180</v>
      </c>
      <c r="C184" s="32">
        <f>Overview!F184</f>
        <v>206.35000000000005</v>
      </c>
      <c r="D184" s="6">
        <f>Overview!E184</f>
        <v>6.98</v>
      </c>
      <c r="E184" s="6">
        <f t="shared" si="4"/>
        <v>20635.000000000004</v>
      </c>
      <c r="F184" s="18">
        <v>3</v>
      </c>
      <c r="G184" s="6">
        <f t="shared" si="5"/>
        <v>206</v>
      </c>
    </row>
    <row r="185" spans="2:7" x14ac:dyDescent="0.3">
      <c r="B185" s="6">
        <v>181</v>
      </c>
      <c r="C185" s="32">
        <f>Overview!F185</f>
        <v>213.40000000000006</v>
      </c>
      <c r="D185" s="6">
        <f>Overview!E185</f>
        <v>7.05</v>
      </c>
      <c r="E185" s="6">
        <f t="shared" si="4"/>
        <v>21340.000000000007</v>
      </c>
      <c r="F185" s="18">
        <v>3</v>
      </c>
      <c r="G185" s="6">
        <f t="shared" si="5"/>
        <v>213</v>
      </c>
    </row>
    <row r="186" spans="2:7" x14ac:dyDescent="0.3">
      <c r="B186" s="6">
        <v>182</v>
      </c>
      <c r="C186" s="32">
        <f>Overview!F186</f>
        <v>220.50000000000006</v>
      </c>
      <c r="D186" s="6">
        <f>Overview!E186</f>
        <v>7.1</v>
      </c>
      <c r="E186" s="6">
        <f t="shared" si="4"/>
        <v>22050.000000000007</v>
      </c>
      <c r="F186" s="18">
        <v>3</v>
      </c>
      <c r="G186" s="6">
        <f t="shared" si="5"/>
        <v>221</v>
      </c>
    </row>
    <row r="187" spans="2:7" x14ac:dyDescent="0.3">
      <c r="B187" s="6">
        <v>183</v>
      </c>
      <c r="C187" s="32">
        <f>Overview!F187</f>
        <v>227.65000000000006</v>
      </c>
      <c r="D187" s="6">
        <f>Overview!E187</f>
        <v>7.15</v>
      </c>
      <c r="E187" s="6">
        <f t="shared" si="4"/>
        <v>22765.000000000007</v>
      </c>
      <c r="F187" s="18">
        <v>3</v>
      </c>
      <c r="G187" s="6">
        <f t="shared" si="5"/>
        <v>228</v>
      </c>
    </row>
    <row r="188" spans="2:7" x14ac:dyDescent="0.3">
      <c r="B188" s="6">
        <v>184</v>
      </c>
      <c r="C188" s="32">
        <f>Overview!F188</f>
        <v>234.85000000000005</v>
      </c>
      <c r="D188" s="6">
        <f>Overview!E188</f>
        <v>7.2</v>
      </c>
      <c r="E188" s="6">
        <f t="shared" si="4"/>
        <v>23485.000000000004</v>
      </c>
      <c r="F188" s="18">
        <v>3</v>
      </c>
      <c r="G188" s="6">
        <f t="shared" si="5"/>
        <v>235</v>
      </c>
    </row>
    <row r="189" spans="2:7" x14ac:dyDescent="0.3">
      <c r="B189" s="6">
        <v>185</v>
      </c>
      <c r="C189" s="32">
        <f>Overview!F189</f>
        <v>242.10000000000005</v>
      </c>
      <c r="D189" s="6">
        <f>Overview!E189</f>
        <v>7.25</v>
      </c>
      <c r="E189" s="6">
        <f t="shared" si="4"/>
        <v>24210.000000000004</v>
      </c>
      <c r="F189" s="18">
        <v>3</v>
      </c>
      <c r="G189" s="6">
        <f t="shared" si="5"/>
        <v>242</v>
      </c>
    </row>
    <row r="190" spans="2:7" x14ac:dyDescent="0.3">
      <c r="B190" s="6">
        <v>186</v>
      </c>
      <c r="C190" s="32">
        <f>Overview!F190</f>
        <v>249.40000000000006</v>
      </c>
      <c r="D190" s="6">
        <f>Overview!E190</f>
        <v>7.3</v>
      </c>
      <c r="E190" s="6">
        <f t="shared" si="4"/>
        <v>24940.000000000007</v>
      </c>
      <c r="F190" s="18">
        <v>3</v>
      </c>
      <c r="G190" s="6">
        <f t="shared" si="5"/>
        <v>249</v>
      </c>
    </row>
    <row r="191" spans="2:7" x14ac:dyDescent="0.3">
      <c r="B191" s="6">
        <v>187</v>
      </c>
      <c r="C191" s="32">
        <f>Overview!F191</f>
        <v>256.75000000000006</v>
      </c>
      <c r="D191" s="6">
        <f>Overview!E191</f>
        <v>7.35</v>
      </c>
      <c r="E191" s="6">
        <f t="shared" si="4"/>
        <v>25675.000000000007</v>
      </c>
      <c r="F191" s="15">
        <v>4</v>
      </c>
      <c r="G191" s="6">
        <f t="shared" si="5"/>
        <v>26</v>
      </c>
    </row>
    <row r="192" spans="2:7" x14ac:dyDescent="0.3">
      <c r="B192" s="6">
        <v>188</v>
      </c>
      <c r="C192" s="32">
        <f>Overview!F192</f>
        <v>264.15000000000003</v>
      </c>
      <c r="D192" s="6">
        <f>Overview!E192</f>
        <v>7.4</v>
      </c>
      <c r="E192" s="6">
        <f t="shared" si="4"/>
        <v>26415.000000000004</v>
      </c>
      <c r="F192" s="15">
        <v>4</v>
      </c>
      <c r="G192" s="6">
        <f t="shared" si="5"/>
        <v>26</v>
      </c>
    </row>
    <row r="193" spans="2:7" x14ac:dyDescent="0.3">
      <c r="B193" s="6">
        <v>189</v>
      </c>
      <c r="C193" s="32">
        <f>Overview!F193</f>
        <v>271.60000000000002</v>
      </c>
      <c r="D193" s="6">
        <f>Overview!E193</f>
        <v>7.45</v>
      </c>
      <c r="E193" s="6">
        <f t="shared" si="4"/>
        <v>27160.000000000004</v>
      </c>
      <c r="F193" s="15">
        <v>4</v>
      </c>
      <c r="G193" s="6">
        <f t="shared" si="5"/>
        <v>27</v>
      </c>
    </row>
    <row r="194" spans="2:7" x14ac:dyDescent="0.3">
      <c r="B194" s="6">
        <v>190</v>
      </c>
      <c r="C194" s="32">
        <f>Overview!F194</f>
        <v>279.10000000000002</v>
      </c>
      <c r="D194" s="6">
        <f>Overview!E194</f>
        <v>7.5</v>
      </c>
      <c r="E194" s="6">
        <f t="shared" si="4"/>
        <v>27910.000000000004</v>
      </c>
      <c r="F194" s="15">
        <v>4</v>
      </c>
      <c r="G194" s="6">
        <f t="shared" si="5"/>
        <v>28</v>
      </c>
    </row>
    <row r="195" spans="2:7" x14ac:dyDescent="0.3">
      <c r="B195" s="6">
        <v>191</v>
      </c>
      <c r="C195" s="32">
        <f>Overview!F195</f>
        <v>286.62</v>
      </c>
      <c r="D195" s="6">
        <f>Overview!E195</f>
        <v>7.52</v>
      </c>
      <c r="E195" s="6">
        <f t="shared" si="4"/>
        <v>28662</v>
      </c>
      <c r="F195" s="15">
        <v>4</v>
      </c>
      <c r="G195" s="6">
        <f t="shared" si="5"/>
        <v>29</v>
      </c>
    </row>
    <row r="196" spans="2:7" x14ac:dyDescent="0.3">
      <c r="B196" s="6">
        <v>192</v>
      </c>
      <c r="C196" s="32">
        <f>Overview!F196</f>
        <v>294.16000000000003</v>
      </c>
      <c r="D196" s="6">
        <f>Overview!E196</f>
        <v>7.54</v>
      </c>
      <c r="E196" s="6">
        <f t="shared" si="4"/>
        <v>29416.000000000004</v>
      </c>
      <c r="F196" s="15">
        <v>4</v>
      </c>
      <c r="G196" s="6">
        <f t="shared" si="5"/>
        <v>29</v>
      </c>
    </row>
    <row r="197" spans="2:7" x14ac:dyDescent="0.3">
      <c r="B197" s="6">
        <v>193</v>
      </c>
      <c r="C197" s="32">
        <f>Overview!F197</f>
        <v>301.72000000000003</v>
      </c>
      <c r="D197" s="6">
        <f>Overview!E197</f>
        <v>7.56</v>
      </c>
      <c r="E197" s="6">
        <f t="shared" ref="E197:E259" si="6">C197*100</f>
        <v>30172.000000000004</v>
      </c>
      <c r="F197" s="15">
        <v>4</v>
      </c>
      <c r="G197" s="6">
        <f t="shared" ref="G197:G259" si="7">ROUND(E197/VLOOKUP(F197,$I$5:$M$16,4),0)</f>
        <v>30</v>
      </c>
    </row>
    <row r="198" spans="2:7" x14ac:dyDescent="0.3">
      <c r="B198" s="6">
        <v>194</v>
      </c>
      <c r="C198" s="32">
        <f>Overview!F198</f>
        <v>309.3</v>
      </c>
      <c r="D198" s="6">
        <f>Overview!E198</f>
        <v>7.58</v>
      </c>
      <c r="E198" s="6">
        <f t="shared" si="6"/>
        <v>30930</v>
      </c>
      <c r="F198" s="15">
        <v>4</v>
      </c>
      <c r="G198" s="6">
        <f t="shared" si="7"/>
        <v>31</v>
      </c>
    </row>
    <row r="199" spans="2:7" x14ac:dyDescent="0.3">
      <c r="B199" s="6">
        <v>195</v>
      </c>
      <c r="C199" s="32">
        <f>Overview!F199</f>
        <v>316.90000000000003</v>
      </c>
      <c r="D199" s="6">
        <f>Overview!E199</f>
        <v>7.6</v>
      </c>
      <c r="E199" s="6">
        <f t="shared" si="6"/>
        <v>31690.000000000004</v>
      </c>
      <c r="F199" s="15">
        <v>4</v>
      </c>
      <c r="G199" s="6">
        <f t="shared" si="7"/>
        <v>32</v>
      </c>
    </row>
    <row r="200" spans="2:7" x14ac:dyDescent="0.3">
      <c r="B200" s="6">
        <v>196</v>
      </c>
      <c r="C200" s="32">
        <f>Overview!F200</f>
        <v>324.52000000000004</v>
      </c>
      <c r="D200" s="6">
        <f>Overview!E200</f>
        <v>7.62</v>
      </c>
      <c r="E200" s="6">
        <f t="shared" si="6"/>
        <v>32452.000000000004</v>
      </c>
      <c r="F200" s="15">
        <v>4</v>
      </c>
      <c r="G200" s="6">
        <f t="shared" si="7"/>
        <v>32</v>
      </c>
    </row>
    <row r="201" spans="2:7" x14ac:dyDescent="0.3">
      <c r="B201" s="6">
        <v>197</v>
      </c>
      <c r="C201" s="32">
        <f>Overview!F201</f>
        <v>332.16</v>
      </c>
      <c r="D201" s="6">
        <f>Overview!E201</f>
        <v>7.64</v>
      </c>
      <c r="E201" s="6">
        <f t="shared" si="6"/>
        <v>33216</v>
      </c>
      <c r="F201" s="15">
        <v>4</v>
      </c>
      <c r="G201" s="6">
        <f t="shared" si="7"/>
        <v>33</v>
      </c>
    </row>
    <row r="202" spans="2:7" x14ac:dyDescent="0.3">
      <c r="B202" s="6">
        <v>198</v>
      </c>
      <c r="C202" s="32">
        <f>Overview!F202</f>
        <v>339.82000000000005</v>
      </c>
      <c r="D202" s="6">
        <f>Overview!E202</f>
        <v>7.66</v>
      </c>
      <c r="E202" s="6">
        <f t="shared" si="6"/>
        <v>33982.000000000007</v>
      </c>
      <c r="F202" s="15">
        <v>4</v>
      </c>
      <c r="G202" s="6">
        <f t="shared" si="7"/>
        <v>34</v>
      </c>
    </row>
    <row r="203" spans="2:7" x14ac:dyDescent="0.3">
      <c r="B203" s="6">
        <v>199</v>
      </c>
      <c r="C203" s="32">
        <f>Overview!F203</f>
        <v>347.50000000000006</v>
      </c>
      <c r="D203" s="6">
        <f>Overview!E203</f>
        <v>7.68</v>
      </c>
      <c r="E203" s="6">
        <f t="shared" si="6"/>
        <v>34750.000000000007</v>
      </c>
      <c r="F203" s="15">
        <v>4</v>
      </c>
      <c r="G203" s="6">
        <f t="shared" si="7"/>
        <v>35</v>
      </c>
    </row>
    <row r="204" spans="2:7" x14ac:dyDescent="0.3">
      <c r="B204" s="6">
        <v>200</v>
      </c>
      <c r="C204" s="32">
        <f>Overview!F204</f>
        <v>355.20000000000005</v>
      </c>
      <c r="D204" s="6">
        <f>Overview!E204</f>
        <v>7.7</v>
      </c>
      <c r="E204" s="6">
        <f t="shared" si="6"/>
        <v>35520.000000000007</v>
      </c>
      <c r="F204" s="15">
        <v>4</v>
      </c>
      <c r="G204" s="6">
        <f t="shared" si="7"/>
        <v>36</v>
      </c>
    </row>
    <row r="205" spans="2:7" x14ac:dyDescent="0.3">
      <c r="B205" s="6">
        <v>201</v>
      </c>
      <c r="C205" s="32">
        <f>Overview!F205</f>
        <v>362.92000000000007</v>
      </c>
      <c r="D205" s="6">
        <f>Overview!E205</f>
        <v>7.72</v>
      </c>
      <c r="E205" s="6">
        <f t="shared" si="6"/>
        <v>36292.000000000007</v>
      </c>
      <c r="F205" s="15">
        <v>4</v>
      </c>
      <c r="G205" s="6">
        <f t="shared" si="7"/>
        <v>36</v>
      </c>
    </row>
    <row r="206" spans="2:7" x14ac:dyDescent="0.3">
      <c r="B206" s="6">
        <v>202</v>
      </c>
      <c r="C206" s="32">
        <f>Overview!F206</f>
        <v>370.66000000000008</v>
      </c>
      <c r="D206" s="6">
        <f>Overview!E206</f>
        <v>7.7399999999999904</v>
      </c>
      <c r="E206" s="6">
        <f t="shared" si="6"/>
        <v>37066.000000000007</v>
      </c>
      <c r="F206" s="15">
        <v>4</v>
      </c>
      <c r="G206" s="6">
        <f t="shared" si="7"/>
        <v>37</v>
      </c>
    </row>
    <row r="207" spans="2:7" x14ac:dyDescent="0.3">
      <c r="B207" s="6">
        <v>203</v>
      </c>
      <c r="C207" s="32">
        <f>Overview!F207</f>
        <v>378.42000000000007</v>
      </c>
      <c r="D207" s="6">
        <f>Overview!E207</f>
        <v>7.75999999999999</v>
      </c>
      <c r="E207" s="6">
        <f t="shared" si="6"/>
        <v>37842.000000000007</v>
      </c>
      <c r="F207" s="15">
        <v>4</v>
      </c>
      <c r="G207" s="6">
        <f t="shared" si="7"/>
        <v>38</v>
      </c>
    </row>
    <row r="208" spans="2:7" x14ac:dyDescent="0.3">
      <c r="B208" s="6">
        <v>204</v>
      </c>
      <c r="C208" s="32">
        <f>Overview!F208</f>
        <v>386.20000000000005</v>
      </c>
      <c r="D208" s="6">
        <f>Overview!E208</f>
        <v>7.7799999999999896</v>
      </c>
      <c r="E208" s="6">
        <f t="shared" si="6"/>
        <v>38620.000000000007</v>
      </c>
      <c r="F208" s="15">
        <v>4</v>
      </c>
      <c r="G208" s="6">
        <f t="shared" si="7"/>
        <v>39</v>
      </c>
    </row>
    <row r="209" spans="2:7" x14ac:dyDescent="0.3">
      <c r="B209" s="6">
        <v>205</v>
      </c>
      <c r="C209" s="32">
        <f>Overview!F209</f>
        <v>394.00000000000006</v>
      </c>
      <c r="D209" s="6">
        <f>Overview!E209</f>
        <v>7.7999999999999901</v>
      </c>
      <c r="E209" s="6">
        <f t="shared" si="6"/>
        <v>39400.000000000007</v>
      </c>
      <c r="F209" s="15">
        <v>4</v>
      </c>
      <c r="G209" s="6">
        <f t="shared" si="7"/>
        <v>39</v>
      </c>
    </row>
    <row r="210" spans="2:7" x14ac:dyDescent="0.3">
      <c r="B210" s="6">
        <v>206</v>
      </c>
      <c r="C210" s="32">
        <f>Overview!F210</f>
        <v>401.82000000000005</v>
      </c>
      <c r="D210" s="6">
        <f>Overview!E210</f>
        <v>7.8199999999999896</v>
      </c>
      <c r="E210" s="6">
        <f t="shared" si="6"/>
        <v>40182.000000000007</v>
      </c>
      <c r="F210" s="15">
        <v>4</v>
      </c>
      <c r="G210" s="6">
        <f t="shared" si="7"/>
        <v>40</v>
      </c>
    </row>
    <row r="211" spans="2:7" x14ac:dyDescent="0.3">
      <c r="B211" s="6">
        <v>207</v>
      </c>
      <c r="C211" s="32">
        <f>Overview!F211</f>
        <v>409.66</v>
      </c>
      <c r="D211" s="6">
        <f>Overview!E211</f>
        <v>7.8399999999999901</v>
      </c>
      <c r="E211" s="6">
        <f t="shared" si="6"/>
        <v>40966</v>
      </c>
      <c r="F211" s="15">
        <v>4</v>
      </c>
      <c r="G211" s="6">
        <f t="shared" si="7"/>
        <v>41</v>
      </c>
    </row>
    <row r="212" spans="2:7" x14ac:dyDescent="0.3">
      <c r="B212" s="6">
        <v>208</v>
      </c>
      <c r="C212" s="32">
        <f>Overview!F212</f>
        <v>417.52000000000004</v>
      </c>
      <c r="D212" s="6">
        <f>Overview!E212</f>
        <v>7.8599999999999897</v>
      </c>
      <c r="E212" s="6">
        <f t="shared" si="6"/>
        <v>41752.000000000007</v>
      </c>
      <c r="F212" s="15">
        <v>4</v>
      </c>
      <c r="G212" s="6">
        <f t="shared" si="7"/>
        <v>42</v>
      </c>
    </row>
    <row r="213" spans="2:7" x14ac:dyDescent="0.3">
      <c r="B213" s="6">
        <v>209</v>
      </c>
      <c r="C213" s="32">
        <f>Overview!F213</f>
        <v>425.40000000000003</v>
      </c>
      <c r="D213" s="6">
        <f>Overview!E213</f>
        <v>7.8799999999999901</v>
      </c>
      <c r="E213" s="6">
        <f t="shared" si="6"/>
        <v>42540</v>
      </c>
      <c r="F213" s="15">
        <v>4</v>
      </c>
      <c r="G213" s="6">
        <f t="shared" si="7"/>
        <v>43</v>
      </c>
    </row>
    <row r="214" spans="2:7" x14ac:dyDescent="0.3">
      <c r="B214" s="6">
        <v>210</v>
      </c>
      <c r="C214" s="32">
        <f>Overview!F214</f>
        <v>433.3</v>
      </c>
      <c r="D214" s="6">
        <f>Overview!E214</f>
        <v>7.8999999999999897</v>
      </c>
      <c r="E214" s="6">
        <f t="shared" si="6"/>
        <v>43330</v>
      </c>
      <c r="F214" s="15">
        <v>4</v>
      </c>
      <c r="G214" s="6">
        <f t="shared" si="7"/>
        <v>43</v>
      </c>
    </row>
    <row r="215" spans="2:7" x14ac:dyDescent="0.3">
      <c r="B215" s="6">
        <v>211</v>
      </c>
      <c r="C215" s="32">
        <f>Overview!F215</f>
        <v>441.22</v>
      </c>
      <c r="D215" s="6">
        <f>Overview!E215</f>
        <v>7.9199999999999902</v>
      </c>
      <c r="E215" s="6">
        <f t="shared" si="6"/>
        <v>44122</v>
      </c>
      <c r="F215" s="15">
        <v>4</v>
      </c>
      <c r="G215" s="6">
        <f t="shared" si="7"/>
        <v>44</v>
      </c>
    </row>
    <row r="216" spans="2:7" x14ac:dyDescent="0.3">
      <c r="B216" s="6">
        <v>212</v>
      </c>
      <c r="C216" s="32">
        <f>Overview!F216</f>
        <v>449.16</v>
      </c>
      <c r="D216" s="6">
        <f>Overview!E216</f>
        <v>7.9399999999999897</v>
      </c>
      <c r="E216" s="6">
        <f t="shared" si="6"/>
        <v>44916</v>
      </c>
      <c r="F216" s="15">
        <v>4</v>
      </c>
      <c r="G216" s="6">
        <f t="shared" si="7"/>
        <v>45</v>
      </c>
    </row>
    <row r="217" spans="2:7" x14ac:dyDescent="0.3">
      <c r="B217" s="6">
        <v>213</v>
      </c>
      <c r="C217" s="32">
        <f>Overview!F217</f>
        <v>457.12</v>
      </c>
      <c r="D217" s="6">
        <f>Overview!E217</f>
        <v>7.9599999999999902</v>
      </c>
      <c r="E217" s="6">
        <f t="shared" si="6"/>
        <v>45712</v>
      </c>
      <c r="F217" s="15">
        <v>4</v>
      </c>
      <c r="G217" s="6">
        <f t="shared" si="7"/>
        <v>46</v>
      </c>
    </row>
    <row r="218" spans="2:7" x14ac:dyDescent="0.3">
      <c r="B218" s="6">
        <v>214</v>
      </c>
      <c r="C218" s="32">
        <f>Overview!F218</f>
        <v>465.1</v>
      </c>
      <c r="D218" s="6">
        <f>Overview!E218</f>
        <v>7.9799999999999898</v>
      </c>
      <c r="E218" s="6">
        <f t="shared" si="6"/>
        <v>46510</v>
      </c>
      <c r="F218" s="15">
        <v>4</v>
      </c>
      <c r="G218" s="6">
        <f t="shared" si="7"/>
        <v>47</v>
      </c>
    </row>
    <row r="219" spans="2:7" x14ac:dyDescent="0.3">
      <c r="B219" s="6">
        <v>215</v>
      </c>
      <c r="C219" s="32">
        <f>Overview!F219</f>
        <v>473.1</v>
      </c>
      <c r="D219" s="6">
        <f>Overview!E219</f>
        <v>7.9999999999999902</v>
      </c>
      <c r="E219" s="6">
        <f t="shared" si="6"/>
        <v>47310</v>
      </c>
      <c r="F219" s="15">
        <v>4</v>
      </c>
      <c r="G219" s="6">
        <f t="shared" si="7"/>
        <v>47</v>
      </c>
    </row>
    <row r="220" spans="2:7" x14ac:dyDescent="0.3">
      <c r="B220" s="6">
        <v>216</v>
      </c>
      <c r="C220" s="32">
        <f>Overview!F220</f>
        <v>481.12</v>
      </c>
      <c r="D220" s="6">
        <f>Overview!E220</f>
        <v>8.0199999999999907</v>
      </c>
      <c r="E220" s="6">
        <f t="shared" si="6"/>
        <v>48112</v>
      </c>
      <c r="F220" s="15">
        <v>4</v>
      </c>
      <c r="G220" s="6">
        <f t="shared" si="7"/>
        <v>48</v>
      </c>
    </row>
    <row r="221" spans="2:7" x14ac:dyDescent="0.3">
      <c r="B221" s="6">
        <v>217</v>
      </c>
      <c r="C221" s="32">
        <f>Overview!F221</f>
        <v>489.15999999999997</v>
      </c>
      <c r="D221" s="6">
        <f>Overview!E221</f>
        <v>8.0399999999999903</v>
      </c>
      <c r="E221" s="6">
        <f t="shared" si="6"/>
        <v>48916</v>
      </c>
      <c r="F221" s="15">
        <v>4</v>
      </c>
      <c r="G221" s="6">
        <f t="shared" si="7"/>
        <v>49</v>
      </c>
    </row>
    <row r="222" spans="2:7" x14ac:dyDescent="0.3">
      <c r="B222" s="6">
        <v>218</v>
      </c>
      <c r="C222" s="32">
        <f>Overview!F222</f>
        <v>497.21999999999997</v>
      </c>
      <c r="D222" s="6">
        <f>Overview!E222</f>
        <v>8.0599999999999898</v>
      </c>
      <c r="E222" s="6">
        <f t="shared" si="6"/>
        <v>49722</v>
      </c>
      <c r="F222" s="15">
        <v>4</v>
      </c>
      <c r="G222" s="6">
        <f t="shared" si="7"/>
        <v>50</v>
      </c>
    </row>
    <row r="223" spans="2:7" x14ac:dyDescent="0.3">
      <c r="B223" s="6">
        <v>219</v>
      </c>
      <c r="C223" s="32">
        <f>Overview!F223</f>
        <v>505.29999999999995</v>
      </c>
      <c r="D223" s="6">
        <f>Overview!E223</f>
        <v>8.0799999999999894</v>
      </c>
      <c r="E223" s="6">
        <f t="shared" si="6"/>
        <v>50529.999999999993</v>
      </c>
      <c r="F223" s="15">
        <v>4</v>
      </c>
      <c r="G223" s="6">
        <f t="shared" si="7"/>
        <v>51</v>
      </c>
    </row>
    <row r="224" spans="2:7" x14ac:dyDescent="0.3">
      <c r="B224" s="6">
        <v>220</v>
      </c>
      <c r="C224" s="32">
        <f>Overview!F224</f>
        <v>513.4</v>
      </c>
      <c r="D224" s="6">
        <f>Overview!E224</f>
        <v>8.0999999999999908</v>
      </c>
      <c r="E224" s="6">
        <f t="shared" si="6"/>
        <v>51340</v>
      </c>
      <c r="F224" s="15">
        <v>4</v>
      </c>
      <c r="G224" s="6">
        <f t="shared" si="7"/>
        <v>51</v>
      </c>
    </row>
    <row r="225" spans="2:7" x14ac:dyDescent="0.3">
      <c r="B225" s="6">
        <v>221</v>
      </c>
      <c r="C225" s="32">
        <f>Overview!F225</f>
        <v>521.52</v>
      </c>
      <c r="D225" s="6">
        <f>Overview!E225</f>
        <v>8.1199999999999903</v>
      </c>
      <c r="E225" s="6">
        <f t="shared" si="6"/>
        <v>52152</v>
      </c>
      <c r="F225" s="15">
        <v>4</v>
      </c>
      <c r="G225" s="6">
        <f t="shared" si="7"/>
        <v>52</v>
      </c>
    </row>
    <row r="226" spans="2:7" x14ac:dyDescent="0.3">
      <c r="B226" s="6">
        <v>222</v>
      </c>
      <c r="C226" s="32">
        <f>Overview!F226</f>
        <v>529.66</v>
      </c>
      <c r="D226" s="6">
        <f>Overview!E226</f>
        <v>8.1399999999999899</v>
      </c>
      <c r="E226" s="6">
        <f t="shared" si="6"/>
        <v>52966</v>
      </c>
      <c r="F226" s="15">
        <v>4</v>
      </c>
      <c r="G226" s="6">
        <f t="shared" si="7"/>
        <v>53</v>
      </c>
    </row>
    <row r="227" spans="2:7" x14ac:dyDescent="0.3">
      <c r="B227" s="6">
        <v>223</v>
      </c>
      <c r="C227" s="32">
        <f>Overview!F227</f>
        <v>537.81999999999994</v>
      </c>
      <c r="D227" s="6">
        <f>Overview!E227</f>
        <v>8.1599999999999895</v>
      </c>
      <c r="E227" s="6">
        <f t="shared" si="6"/>
        <v>53781.999999999993</v>
      </c>
      <c r="F227" s="15">
        <v>4</v>
      </c>
      <c r="G227" s="6">
        <f t="shared" si="7"/>
        <v>54</v>
      </c>
    </row>
    <row r="228" spans="2:7" x14ac:dyDescent="0.3">
      <c r="B228" s="6">
        <v>224</v>
      </c>
      <c r="C228" s="32">
        <f>Overview!F228</f>
        <v>545.99999999999989</v>
      </c>
      <c r="D228" s="6">
        <f>Overview!E228</f>
        <v>8.18</v>
      </c>
      <c r="E228" s="6">
        <f t="shared" si="6"/>
        <v>54599.999999999985</v>
      </c>
      <c r="F228" s="15">
        <v>4</v>
      </c>
      <c r="G228" s="6">
        <f t="shared" si="7"/>
        <v>55</v>
      </c>
    </row>
    <row r="229" spans="2:7" x14ac:dyDescent="0.3">
      <c r="B229" s="6">
        <v>225</v>
      </c>
      <c r="C229" s="32">
        <f>Overview!F229</f>
        <v>554.19999999999993</v>
      </c>
      <c r="D229" s="6">
        <f>Overview!E229</f>
        <v>8.1999999999999993</v>
      </c>
      <c r="E229" s="6">
        <f t="shared" si="6"/>
        <v>55419.999999999993</v>
      </c>
      <c r="F229" s="15">
        <v>4</v>
      </c>
      <c r="G229" s="6">
        <f t="shared" si="7"/>
        <v>55</v>
      </c>
    </row>
    <row r="230" spans="2:7" x14ac:dyDescent="0.3">
      <c r="B230" s="6">
        <v>226</v>
      </c>
      <c r="C230" s="32">
        <f>Overview!F230</f>
        <v>562.41999999999996</v>
      </c>
      <c r="D230" s="6">
        <f>Overview!E230</f>
        <v>8.2200000000000006</v>
      </c>
      <c r="E230" s="6">
        <f t="shared" si="6"/>
        <v>56241.999999999993</v>
      </c>
      <c r="F230" s="15">
        <v>4</v>
      </c>
      <c r="G230" s="6">
        <f t="shared" si="7"/>
        <v>56</v>
      </c>
    </row>
    <row r="231" spans="2:7" x14ac:dyDescent="0.3">
      <c r="B231" s="6">
        <v>227</v>
      </c>
      <c r="C231" s="32">
        <f>Overview!F231</f>
        <v>570.66</v>
      </c>
      <c r="D231" s="6">
        <f>Overview!E231</f>
        <v>8.24</v>
      </c>
      <c r="E231" s="6">
        <f t="shared" si="6"/>
        <v>57066</v>
      </c>
      <c r="F231" s="15">
        <v>4</v>
      </c>
      <c r="G231" s="6">
        <f t="shared" si="7"/>
        <v>57</v>
      </c>
    </row>
    <row r="232" spans="2:7" x14ac:dyDescent="0.3">
      <c r="B232" s="6">
        <v>228</v>
      </c>
      <c r="C232" s="32">
        <f>Overview!F232</f>
        <v>578.91999999999996</v>
      </c>
      <c r="D232" s="6">
        <f>Overview!E232</f>
        <v>8.26</v>
      </c>
      <c r="E232" s="6">
        <f t="shared" si="6"/>
        <v>57891.999999999993</v>
      </c>
      <c r="F232" s="15">
        <v>4</v>
      </c>
      <c r="G232" s="6">
        <f t="shared" si="7"/>
        <v>58</v>
      </c>
    </row>
    <row r="233" spans="2:7" x14ac:dyDescent="0.3">
      <c r="B233" s="6">
        <v>229</v>
      </c>
      <c r="C233" s="32">
        <f>Overview!F233</f>
        <v>587.19999999999993</v>
      </c>
      <c r="D233" s="6">
        <f>Overview!E233</f>
        <v>8.2799999999999994</v>
      </c>
      <c r="E233" s="6">
        <f t="shared" si="6"/>
        <v>58719.999999999993</v>
      </c>
      <c r="F233" s="15">
        <v>4</v>
      </c>
      <c r="G233" s="6">
        <f t="shared" si="7"/>
        <v>59</v>
      </c>
    </row>
    <row r="234" spans="2:7" x14ac:dyDescent="0.3">
      <c r="B234" s="6">
        <v>230</v>
      </c>
      <c r="C234" s="32">
        <f>Overview!F234</f>
        <v>595.49999999999989</v>
      </c>
      <c r="D234" s="6">
        <f>Overview!E234</f>
        <v>8.3000000000000007</v>
      </c>
      <c r="E234" s="6">
        <f t="shared" si="6"/>
        <v>59549.999999999985</v>
      </c>
      <c r="F234" s="15">
        <v>4</v>
      </c>
      <c r="G234" s="6">
        <f t="shared" si="7"/>
        <v>60</v>
      </c>
    </row>
    <row r="235" spans="2:7" x14ac:dyDescent="0.3">
      <c r="B235" s="6">
        <v>231</v>
      </c>
      <c r="C235" s="32">
        <f>Overview!F235</f>
        <v>605.49999999999989</v>
      </c>
      <c r="D235" s="6">
        <f>Overview!E235</f>
        <v>10</v>
      </c>
      <c r="E235" s="6">
        <f t="shared" si="6"/>
        <v>60549.999999999985</v>
      </c>
      <c r="F235" s="15">
        <v>4</v>
      </c>
      <c r="G235" s="6">
        <f t="shared" si="7"/>
        <v>61</v>
      </c>
    </row>
    <row r="236" spans="2:7" x14ac:dyDescent="0.3">
      <c r="B236" s="6">
        <v>232</v>
      </c>
      <c r="C236" s="32">
        <f>Overview!F236</f>
        <v>625.49999999999989</v>
      </c>
      <c r="D236" s="6">
        <f>Overview!E236</f>
        <v>20</v>
      </c>
      <c r="E236" s="6">
        <f t="shared" si="6"/>
        <v>62549.999999999985</v>
      </c>
      <c r="F236" s="15">
        <v>4</v>
      </c>
      <c r="G236" s="6">
        <f t="shared" si="7"/>
        <v>63</v>
      </c>
    </row>
    <row r="237" spans="2:7" x14ac:dyDescent="0.3">
      <c r="B237" s="6">
        <v>233</v>
      </c>
      <c r="C237" s="32">
        <f>Overview!F237</f>
        <v>655.49999999999989</v>
      </c>
      <c r="D237" s="6">
        <f>Overview!E237</f>
        <v>30</v>
      </c>
      <c r="E237" s="6">
        <f t="shared" si="6"/>
        <v>65549.999999999985</v>
      </c>
      <c r="F237" s="15">
        <v>4</v>
      </c>
      <c r="G237" s="6">
        <f t="shared" si="7"/>
        <v>66</v>
      </c>
    </row>
    <row r="238" spans="2:7" x14ac:dyDescent="0.3">
      <c r="B238" s="6">
        <v>234</v>
      </c>
      <c r="C238" s="32">
        <f>Overview!F238</f>
        <v>695.49999999999989</v>
      </c>
      <c r="D238" s="6">
        <f>Overview!E238</f>
        <v>40</v>
      </c>
      <c r="E238" s="6">
        <f t="shared" si="6"/>
        <v>69549.999999999985</v>
      </c>
      <c r="F238" s="15">
        <v>4</v>
      </c>
      <c r="G238" s="6">
        <f t="shared" si="7"/>
        <v>70</v>
      </c>
    </row>
    <row r="239" spans="2:7" x14ac:dyDescent="0.3">
      <c r="B239" s="6">
        <v>235</v>
      </c>
      <c r="C239" s="32">
        <f>Overview!F239</f>
        <v>755.49999999999989</v>
      </c>
      <c r="D239" s="6">
        <f>Overview!E239</f>
        <v>60</v>
      </c>
      <c r="E239" s="6">
        <f t="shared" si="6"/>
        <v>75549.999999999985</v>
      </c>
      <c r="F239" s="15">
        <v>4</v>
      </c>
      <c r="G239" s="6">
        <f t="shared" si="7"/>
        <v>76</v>
      </c>
    </row>
    <row r="240" spans="2:7" x14ac:dyDescent="0.3">
      <c r="B240" s="6">
        <v>236</v>
      </c>
      <c r="C240" s="32">
        <f>Overview!F240</f>
        <v>845.49999999999989</v>
      </c>
      <c r="D240" s="6">
        <f>Overview!E240</f>
        <v>90</v>
      </c>
      <c r="E240" s="6">
        <f t="shared" si="6"/>
        <v>84549.999999999985</v>
      </c>
      <c r="F240" s="15">
        <v>4</v>
      </c>
      <c r="G240" s="6">
        <f t="shared" si="7"/>
        <v>85</v>
      </c>
    </row>
    <row r="241" spans="2:7" x14ac:dyDescent="0.3">
      <c r="B241" s="6">
        <v>237</v>
      </c>
      <c r="C241" s="32">
        <f>Overview!F241</f>
        <v>965.49999999999989</v>
      </c>
      <c r="D241" s="6">
        <f>Overview!E241</f>
        <v>120</v>
      </c>
      <c r="E241" s="6">
        <f t="shared" si="6"/>
        <v>96549.999999999985</v>
      </c>
      <c r="F241" s="15">
        <v>4</v>
      </c>
      <c r="G241" s="6">
        <f t="shared" si="7"/>
        <v>97</v>
      </c>
    </row>
    <row r="242" spans="2:7" x14ac:dyDescent="0.3">
      <c r="B242" s="6">
        <v>238</v>
      </c>
      <c r="C242" s="32">
        <f>Overview!F242</f>
        <v>1115.5</v>
      </c>
      <c r="D242" s="6">
        <f>Overview!E242</f>
        <v>150</v>
      </c>
      <c r="E242" s="6">
        <f t="shared" si="6"/>
        <v>111550</v>
      </c>
      <c r="F242" s="15">
        <v>4</v>
      </c>
      <c r="G242" s="6">
        <f t="shared" si="7"/>
        <v>112</v>
      </c>
    </row>
    <row r="243" spans="2:7" x14ac:dyDescent="0.3">
      <c r="B243" s="6">
        <v>239</v>
      </c>
      <c r="C243" s="32">
        <f>Overview!F243</f>
        <v>1315.5</v>
      </c>
      <c r="D243" s="6">
        <f>Overview!E243</f>
        <v>200</v>
      </c>
      <c r="E243" s="6">
        <f t="shared" si="6"/>
        <v>131550</v>
      </c>
      <c r="F243" s="15">
        <v>4</v>
      </c>
      <c r="G243" s="6">
        <f t="shared" si="7"/>
        <v>132</v>
      </c>
    </row>
    <row r="244" spans="2:7" x14ac:dyDescent="0.3">
      <c r="B244" s="6">
        <v>240</v>
      </c>
      <c r="C244" s="32">
        <f>Overview!F244</f>
        <v>1565.5</v>
      </c>
      <c r="D244" s="6">
        <f>Overview!E244</f>
        <v>250</v>
      </c>
      <c r="E244" s="6">
        <f t="shared" si="6"/>
        <v>156550</v>
      </c>
      <c r="F244" s="15">
        <v>4</v>
      </c>
      <c r="G244" s="6">
        <f t="shared" si="7"/>
        <v>157</v>
      </c>
    </row>
    <row r="245" spans="2:7" x14ac:dyDescent="0.3">
      <c r="B245" s="6">
        <v>241</v>
      </c>
      <c r="C245" s="32">
        <f>Overview!F245</f>
        <v>1865.5</v>
      </c>
      <c r="D245" s="6">
        <f>Overview!E245</f>
        <v>300</v>
      </c>
      <c r="E245" s="6">
        <f t="shared" si="6"/>
        <v>186550</v>
      </c>
      <c r="F245" s="15">
        <v>4</v>
      </c>
      <c r="G245" s="6">
        <f t="shared" si="7"/>
        <v>187</v>
      </c>
    </row>
    <row r="246" spans="2:7" x14ac:dyDescent="0.3">
      <c r="B246" s="6">
        <v>242</v>
      </c>
      <c r="C246" s="32">
        <f>Overview!F246</f>
        <v>2265.5</v>
      </c>
      <c r="D246" s="6">
        <f>Overview!E246</f>
        <v>400</v>
      </c>
      <c r="E246" s="6">
        <f t="shared" si="6"/>
        <v>226550</v>
      </c>
      <c r="F246" s="15">
        <v>4</v>
      </c>
      <c r="G246" s="6">
        <f t="shared" si="7"/>
        <v>227</v>
      </c>
    </row>
    <row r="247" spans="2:7" x14ac:dyDescent="0.3">
      <c r="B247" s="6">
        <v>243</v>
      </c>
      <c r="C247" s="32">
        <f>Overview!F247</f>
        <v>2765.5</v>
      </c>
      <c r="D247" s="6">
        <f>Overview!E247</f>
        <v>500</v>
      </c>
      <c r="E247" s="6">
        <f t="shared" si="6"/>
        <v>276550</v>
      </c>
      <c r="F247" s="18">
        <v>5</v>
      </c>
      <c r="G247" s="6">
        <f t="shared" si="7"/>
        <v>28</v>
      </c>
    </row>
    <row r="248" spans="2:7" x14ac:dyDescent="0.3">
      <c r="B248" s="6">
        <v>244</v>
      </c>
      <c r="C248" s="32">
        <f>Overview!F248</f>
        <v>3365.5</v>
      </c>
      <c r="D248" s="6">
        <f>Overview!E248</f>
        <v>600</v>
      </c>
      <c r="E248" s="6">
        <f t="shared" si="6"/>
        <v>336550</v>
      </c>
      <c r="F248" s="18">
        <v>5</v>
      </c>
      <c r="G248" s="6">
        <f t="shared" si="7"/>
        <v>34</v>
      </c>
    </row>
    <row r="249" spans="2:7" x14ac:dyDescent="0.3">
      <c r="B249" s="6">
        <v>245</v>
      </c>
      <c r="C249" s="32">
        <f>Overview!F249</f>
        <v>4165.5</v>
      </c>
      <c r="D249" s="6">
        <f>Overview!E249</f>
        <v>800</v>
      </c>
      <c r="E249" s="6">
        <f t="shared" si="6"/>
        <v>416550</v>
      </c>
      <c r="F249" s="18">
        <v>5</v>
      </c>
      <c r="G249" s="6">
        <f t="shared" si="7"/>
        <v>42</v>
      </c>
    </row>
    <row r="250" spans="2:7" x14ac:dyDescent="0.3">
      <c r="B250" s="6">
        <v>246</v>
      </c>
      <c r="C250" s="32">
        <f>Overview!F250</f>
        <v>5165.5</v>
      </c>
      <c r="D250" s="6">
        <f>Overview!E250</f>
        <v>1000</v>
      </c>
      <c r="E250" s="6">
        <f t="shared" si="6"/>
        <v>516550</v>
      </c>
      <c r="F250" s="18">
        <v>5</v>
      </c>
      <c r="G250" s="6">
        <f t="shared" si="7"/>
        <v>52</v>
      </c>
    </row>
    <row r="251" spans="2:7" x14ac:dyDescent="0.3">
      <c r="B251" s="6">
        <v>247</v>
      </c>
      <c r="C251" s="32">
        <f>Overview!F251</f>
        <v>6365.5</v>
      </c>
      <c r="D251" s="6">
        <f>Overview!E251</f>
        <v>1200</v>
      </c>
      <c r="E251" s="6">
        <f t="shared" si="6"/>
        <v>636550</v>
      </c>
      <c r="F251" s="18">
        <v>5</v>
      </c>
      <c r="G251" s="6">
        <f t="shared" si="7"/>
        <v>64</v>
      </c>
    </row>
    <row r="252" spans="2:7" x14ac:dyDescent="0.3">
      <c r="B252" s="6">
        <v>248</v>
      </c>
      <c r="C252" s="32">
        <f>Overview!F252</f>
        <v>7965.5</v>
      </c>
      <c r="D252" s="6">
        <f>Overview!E252</f>
        <v>1600</v>
      </c>
      <c r="E252" s="6">
        <f t="shared" si="6"/>
        <v>796550</v>
      </c>
      <c r="F252" s="18">
        <v>5</v>
      </c>
      <c r="G252" s="6">
        <f t="shared" si="7"/>
        <v>80</v>
      </c>
    </row>
    <row r="253" spans="2:7" x14ac:dyDescent="0.3">
      <c r="B253" s="6">
        <v>249</v>
      </c>
      <c r="C253" s="32">
        <f>Overview!F253</f>
        <v>9965.5</v>
      </c>
      <c r="D253" s="6">
        <f>Overview!E253</f>
        <v>2000</v>
      </c>
      <c r="E253" s="6">
        <f t="shared" si="6"/>
        <v>996550</v>
      </c>
      <c r="F253" s="18">
        <v>5</v>
      </c>
      <c r="G253" s="6">
        <f t="shared" si="7"/>
        <v>100</v>
      </c>
    </row>
    <row r="254" spans="2:7" x14ac:dyDescent="0.3">
      <c r="B254" s="6">
        <v>250</v>
      </c>
      <c r="C254" s="32">
        <f>Overview!F254</f>
        <v>12965.5</v>
      </c>
      <c r="D254" s="6">
        <f>Overview!E254</f>
        <v>3000</v>
      </c>
      <c r="E254" s="6">
        <f t="shared" si="6"/>
        <v>1296550</v>
      </c>
      <c r="F254" s="18">
        <v>5</v>
      </c>
      <c r="G254" s="6">
        <f t="shared" si="7"/>
        <v>130</v>
      </c>
    </row>
    <row r="255" spans="2:7" x14ac:dyDescent="0.3">
      <c r="B255" s="6">
        <v>251</v>
      </c>
      <c r="C255" s="32">
        <f>Overview!F255</f>
        <v>17965.5</v>
      </c>
      <c r="D255" s="6">
        <f>Overview!E255</f>
        <v>5000</v>
      </c>
      <c r="E255" s="6">
        <f t="shared" si="6"/>
        <v>1796550</v>
      </c>
      <c r="F255" s="18">
        <v>5</v>
      </c>
      <c r="G255" s="6">
        <f t="shared" si="7"/>
        <v>180</v>
      </c>
    </row>
    <row r="256" spans="2:7" x14ac:dyDescent="0.3">
      <c r="B256" s="6">
        <v>252</v>
      </c>
      <c r="C256" s="32">
        <f>Overview!F256</f>
        <v>24965.5</v>
      </c>
      <c r="D256" s="6">
        <f>Overview!E256</f>
        <v>7000</v>
      </c>
      <c r="E256" s="6">
        <f t="shared" si="6"/>
        <v>2496550</v>
      </c>
      <c r="F256" s="18">
        <v>5</v>
      </c>
      <c r="G256" s="6">
        <f t="shared" si="7"/>
        <v>250</v>
      </c>
    </row>
    <row r="257" spans="2:15" x14ac:dyDescent="0.3">
      <c r="B257" s="6">
        <v>253</v>
      </c>
      <c r="C257" s="32">
        <f>Overview!F257</f>
        <v>36965.5</v>
      </c>
      <c r="D257" s="6">
        <f>Overview!E257</f>
        <v>12000</v>
      </c>
      <c r="E257" s="6">
        <f t="shared" si="6"/>
        <v>3696550</v>
      </c>
      <c r="F257" s="17">
        <v>6</v>
      </c>
      <c r="G257" s="6">
        <f t="shared" si="7"/>
        <v>37</v>
      </c>
    </row>
    <row r="258" spans="2:15" x14ac:dyDescent="0.3">
      <c r="B258" s="6">
        <v>254</v>
      </c>
      <c r="C258" s="32">
        <f>Overview!F258</f>
        <v>54965.5</v>
      </c>
      <c r="D258" s="6">
        <f>Overview!E258</f>
        <v>18000</v>
      </c>
      <c r="E258" s="6">
        <f t="shared" si="6"/>
        <v>5496550</v>
      </c>
      <c r="F258" s="17">
        <v>6</v>
      </c>
      <c r="G258" s="6">
        <f t="shared" si="7"/>
        <v>55</v>
      </c>
    </row>
    <row r="259" spans="2:15" x14ac:dyDescent="0.3">
      <c r="B259" s="6">
        <v>255</v>
      </c>
      <c r="C259" s="32">
        <f>Overview!F259</f>
        <v>82965.5</v>
      </c>
      <c r="D259" s="6">
        <f>Overview!E259</f>
        <v>28000</v>
      </c>
      <c r="E259" s="6">
        <f t="shared" si="6"/>
        <v>8296550</v>
      </c>
      <c r="F259" s="17">
        <v>6</v>
      </c>
      <c r="G259" s="6">
        <f t="shared" si="7"/>
        <v>83</v>
      </c>
    </row>
    <row r="260" spans="2:15" x14ac:dyDescent="0.3">
      <c r="O260" t="s">
        <v>1085</v>
      </c>
    </row>
  </sheetData>
  <mergeCells count="1">
    <mergeCell ref="J2:K2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13</xdr:col>
                <xdr:colOff>784860</xdr:colOff>
                <xdr:row>0</xdr:row>
                <xdr:rowOff>129540</xdr:rowOff>
              </from>
              <to>
                <xdr:col>15</xdr:col>
                <xdr:colOff>160020</xdr:colOff>
                <xdr:row>1</xdr:row>
                <xdr:rowOff>243840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D3A4F-DDCB-40F7-BEC3-E8669CEF489A}">
  <sheetPr codeName="Tabelle5"/>
  <dimension ref="B2:L19"/>
  <sheetViews>
    <sheetView workbookViewId="0">
      <selection activeCell="J24" sqref="J24"/>
    </sheetView>
  </sheetViews>
  <sheetFormatPr baseColWidth="10" defaultRowHeight="14.4" x14ac:dyDescent="0.3"/>
  <cols>
    <col min="1" max="1" width="5.44140625" customWidth="1"/>
    <col min="2" max="5" width="8.33203125" customWidth="1"/>
    <col min="6" max="6" width="4.44140625" customWidth="1"/>
    <col min="7" max="7" width="9.33203125" customWidth="1"/>
    <col min="11" max="11" width="5.88671875" customWidth="1"/>
  </cols>
  <sheetData>
    <row r="2" spans="2:12" ht="23.4" x14ac:dyDescent="0.45">
      <c r="B2" s="33" t="s">
        <v>1086</v>
      </c>
      <c r="C2" s="33"/>
    </row>
    <row r="6" spans="2:12" ht="28.8" x14ac:dyDescent="0.3">
      <c r="B6" s="25" t="s">
        <v>0</v>
      </c>
      <c r="C6" s="25" t="s">
        <v>1</v>
      </c>
      <c r="D6" s="25" t="s">
        <v>2</v>
      </c>
      <c r="E6" s="25" t="s">
        <v>3</v>
      </c>
      <c r="F6" s="24"/>
      <c r="G6" s="28" t="s">
        <v>1087</v>
      </c>
      <c r="H6" s="21" t="s">
        <v>4</v>
      </c>
      <c r="I6" s="21" t="s">
        <v>6</v>
      </c>
      <c r="J6" s="22" t="s">
        <v>5</v>
      </c>
      <c r="L6" s="34" t="s">
        <v>1092</v>
      </c>
    </row>
    <row r="7" spans="2:12" x14ac:dyDescent="0.3">
      <c r="B7" s="1"/>
      <c r="C7" s="1"/>
      <c r="D7" s="1"/>
      <c r="E7" s="1"/>
      <c r="G7" s="2"/>
      <c r="H7" s="2"/>
      <c r="I7" s="2"/>
      <c r="J7" s="3"/>
    </row>
    <row r="8" spans="2:12" x14ac:dyDescent="0.3">
      <c r="B8" s="1">
        <v>0</v>
      </c>
      <c r="C8" s="1">
        <v>0</v>
      </c>
      <c r="D8" s="1">
        <v>0</v>
      </c>
      <c r="E8" s="1">
        <v>0</v>
      </c>
      <c r="G8" s="2">
        <v>4095</v>
      </c>
      <c r="H8" s="2">
        <v>0.01</v>
      </c>
      <c r="I8" s="2">
        <f>H8*100</f>
        <v>1</v>
      </c>
      <c r="J8" s="3">
        <f>G8*H8</f>
        <v>40.950000000000003</v>
      </c>
      <c r="L8">
        <f>G8*I8</f>
        <v>4095</v>
      </c>
    </row>
    <row r="9" spans="2:12" x14ac:dyDescent="0.3">
      <c r="B9" s="1">
        <v>0</v>
      </c>
      <c r="C9" s="1">
        <v>0</v>
      </c>
      <c r="D9" s="1">
        <v>0</v>
      </c>
      <c r="E9" s="1">
        <v>1</v>
      </c>
      <c r="G9" s="2">
        <v>4095</v>
      </c>
      <c r="H9" s="2">
        <v>0.02</v>
      </c>
      <c r="I9" s="2">
        <f>H9*100</f>
        <v>2</v>
      </c>
      <c r="J9" s="3">
        <f>G9*H9</f>
        <v>81.900000000000006</v>
      </c>
      <c r="L9">
        <f t="shared" ref="L9:L19" si="0">G9*I9</f>
        <v>8190</v>
      </c>
    </row>
    <row r="10" spans="2:12" x14ac:dyDescent="0.3">
      <c r="B10" s="1">
        <v>0</v>
      </c>
      <c r="C10" s="1">
        <v>0</v>
      </c>
      <c r="D10" s="1">
        <v>1</v>
      </c>
      <c r="E10" s="1">
        <v>0</v>
      </c>
      <c r="G10" s="2">
        <v>4095</v>
      </c>
      <c r="H10" s="2">
        <v>0.04</v>
      </c>
      <c r="I10" s="2">
        <f>H10*100</f>
        <v>4</v>
      </c>
      <c r="J10" s="3">
        <f>G10*H10</f>
        <v>163.80000000000001</v>
      </c>
      <c r="L10">
        <f t="shared" si="0"/>
        <v>16380</v>
      </c>
    </row>
    <row r="11" spans="2:12" x14ac:dyDescent="0.3">
      <c r="B11" s="1">
        <v>0</v>
      </c>
      <c r="C11" s="1">
        <v>0</v>
      </c>
      <c r="D11" s="1">
        <v>1</v>
      </c>
      <c r="E11" s="1">
        <v>1</v>
      </c>
      <c r="G11" s="2">
        <v>4095</v>
      </c>
      <c r="H11" s="2">
        <v>0.08</v>
      </c>
      <c r="I11" s="2">
        <f>H11*100</f>
        <v>8</v>
      </c>
      <c r="J11" s="3">
        <f>G11*H11</f>
        <v>327.60000000000002</v>
      </c>
      <c r="L11">
        <f t="shared" si="0"/>
        <v>32760</v>
      </c>
    </row>
    <row r="12" spans="2:12" x14ac:dyDescent="0.3">
      <c r="B12" s="1">
        <v>0</v>
      </c>
      <c r="C12" s="1">
        <v>1</v>
      </c>
      <c r="D12" s="1">
        <v>0</v>
      </c>
      <c r="E12" s="1">
        <v>0</v>
      </c>
      <c r="G12" s="2">
        <v>4095</v>
      </c>
      <c r="H12" s="2">
        <v>0.16</v>
      </c>
      <c r="I12" s="2">
        <f>H12*100</f>
        <v>16</v>
      </c>
      <c r="J12" s="3">
        <f>G12*H12</f>
        <v>655.20000000000005</v>
      </c>
      <c r="L12">
        <f t="shared" si="0"/>
        <v>65520</v>
      </c>
    </row>
    <row r="13" spans="2:12" x14ac:dyDescent="0.3">
      <c r="B13" s="1">
        <v>0</v>
      </c>
      <c r="C13" s="1">
        <v>1</v>
      </c>
      <c r="D13" s="1">
        <v>0</v>
      </c>
      <c r="E13" s="1">
        <v>1</v>
      </c>
      <c r="G13" s="2">
        <v>4095</v>
      </c>
      <c r="H13" s="2">
        <v>0.32</v>
      </c>
      <c r="I13" s="2">
        <f>H13*100</f>
        <v>32</v>
      </c>
      <c r="J13" s="3">
        <f>G13*H13</f>
        <v>1310.4000000000001</v>
      </c>
      <c r="L13">
        <f t="shared" si="0"/>
        <v>131040</v>
      </c>
    </row>
    <row r="14" spans="2:12" x14ac:dyDescent="0.3">
      <c r="B14" s="1">
        <v>0</v>
      </c>
      <c r="C14" s="1">
        <v>1</v>
      </c>
      <c r="D14" s="1">
        <v>1</v>
      </c>
      <c r="E14" s="1">
        <v>0</v>
      </c>
      <c r="G14" s="2">
        <v>4095</v>
      </c>
      <c r="H14" s="2">
        <v>0.64</v>
      </c>
      <c r="I14" s="2">
        <f>H14*100</f>
        <v>64</v>
      </c>
      <c r="J14" s="3">
        <f>G14*H14</f>
        <v>2620.8000000000002</v>
      </c>
      <c r="L14">
        <f t="shared" si="0"/>
        <v>262080</v>
      </c>
    </row>
    <row r="15" spans="2:12" x14ac:dyDescent="0.3">
      <c r="B15" s="1">
        <v>0</v>
      </c>
      <c r="C15" s="1">
        <v>1</v>
      </c>
      <c r="D15" s="1">
        <v>1</v>
      </c>
      <c r="E15" s="1">
        <v>1</v>
      </c>
      <c r="G15" s="2">
        <v>4095</v>
      </c>
      <c r="H15" s="2">
        <v>1.28</v>
      </c>
      <c r="I15" s="2">
        <f>H15*100</f>
        <v>128</v>
      </c>
      <c r="J15" s="3">
        <f>G15*H15</f>
        <v>5241.6000000000004</v>
      </c>
      <c r="L15">
        <f t="shared" si="0"/>
        <v>524160</v>
      </c>
    </row>
    <row r="16" spans="2:12" x14ac:dyDescent="0.3">
      <c r="B16" s="1">
        <v>1</v>
      </c>
      <c r="C16" s="1">
        <v>0</v>
      </c>
      <c r="D16" s="1">
        <v>0</v>
      </c>
      <c r="E16" s="1">
        <v>0</v>
      </c>
      <c r="G16" s="2">
        <v>4095</v>
      </c>
      <c r="H16" s="2">
        <v>2.56</v>
      </c>
      <c r="I16" s="2">
        <f>H16*100</f>
        <v>256</v>
      </c>
      <c r="J16" s="3">
        <f>G16*H16</f>
        <v>10483.200000000001</v>
      </c>
      <c r="L16">
        <f t="shared" si="0"/>
        <v>1048320</v>
      </c>
    </row>
    <row r="17" spans="2:12" x14ac:dyDescent="0.3">
      <c r="B17" s="1">
        <v>1</v>
      </c>
      <c r="C17" s="1">
        <v>0</v>
      </c>
      <c r="D17" s="1">
        <v>0</v>
      </c>
      <c r="E17" s="1">
        <v>1</v>
      </c>
      <c r="G17" s="2">
        <v>4095</v>
      </c>
      <c r="H17" s="2">
        <v>5.12</v>
      </c>
      <c r="I17" s="2">
        <f>H17*100</f>
        <v>512</v>
      </c>
      <c r="J17" s="3">
        <f>G17*H17</f>
        <v>20966.400000000001</v>
      </c>
      <c r="L17">
        <f t="shared" si="0"/>
        <v>2096640</v>
      </c>
    </row>
    <row r="18" spans="2:12" x14ac:dyDescent="0.3">
      <c r="B18" s="1">
        <v>1</v>
      </c>
      <c r="C18" s="1">
        <v>0</v>
      </c>
      <c r="D18" s="1">
        <v>1</v>
      </c>
      <c r="E18" s="1">
        <v>0</v>
      </c>
      <c r="G18" s="2">
        <v>4095</v>
      </c>
      <c r="H18" s="2">
        <v>10.24</v>
      </c>
      <c r="I18" s="2">
        <f>H18*100</f>
        <v>1024</v>
      </c>
      <c r="J18" s="3">
        <f>G18*H18</f>
        <v>41932.800000000003</v>
      </c>
      <c r="L18">
        <f t="shared" si="0"/>
        <v>4193280</v>
      </c>
    </row>
    <row r="19" spans="2:12" x14ac:dyDescent="0.3">
      <c r="B19" s="1">
        <v>1</v>
      </c>
      <c r="C19" s="1">
        <v>0</v>
      </c>
      <c r="D19" s="1">
        <v>1</v>
      </c>
      <c r="E19" s="1">
        <v>1</v>
      </c>
      <c r="G19" s="2">
        <v>4095</v>
      </c>
      <c r="H19" s="2">
        <v>20.48</v>
      </c>
      <c r="I19" s="2">
        <f>H19*100</f>
        <v>2048</v>
      </c>
      <c r="J19" s="3">
        <f>G19*H19</f>
        <v>83865.600000000006</v>
      </c>
      <c r="L19">
        <f t="shared" si="0"/>
        <v>8386560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Input</vt:lpstr>
      <vt:lpstr>Code gen</vt:lpstr>
      <vt:lpstr>LUX 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 Bittner</dc:creator>
  <cp:lastModifiedBy>Horst Bittner</cp:lastModifiedBy>
  <dcterms:created xsi:type="dcterms:W3CDTF">2021-05-13T11:17:39Z</dcterms:created>
  <dcterms:modified xsi:type="dcterms:W3CDTF">2021-05-24T14:08:08Z</dcterms:modified>
</cp:coreProperties>
</file>